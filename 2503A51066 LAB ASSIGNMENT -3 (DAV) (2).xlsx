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xploration" sheetId="2" r:id="rId6"/>
    <sheet state="visible" name="Data_Type_Audit" sheetId="3" r:id="rId7"/>
    <sheet state="visible" name="Missing_Audit" sheetId="4" r:id="rId8"/>
    <sheet state="visible" name="Raw_Data" sheetId="5" r:id="rId9"/>
    <sheet state="visible" name="Cleaned_Data" sheetId="6" r:id="rId10"/>
    <sheet state="visible" name="Title Pattern PivotTable." sheetId="7" r:id="rId11"/>
    <sheet state="visible" name="Pivot_Title_Pattern" sheetId="8" r:id="rId12"/>
    <sheet state="visible" name="Pivot_Year" sheetId="9" r:id="rId13"/>
    <sheet state="visible" name="Data_Quality_Summary" sheetId="10" r:id="rId14"/>
    <sheet state="visible" name="Dashboard" sheetId="11" r:id="rId15"/>
    <sheet state="visible" name="Pivot_MagType_Normalized" sheetId="12" r:id="rId16"/>
    <sheet state="visible" name="Pivot_Alert" sheetId="13" r:id="rId17"/>
    <sheet state="visible" name="Pivot_MagType" sheetId="14" r:id="rId18"/>
  </sheets>
  <definedNames/>
  <calcPr/>
  <pivotCaches>
    <pivotCache cacheId="0" r:id="rId19"/>
    <pivotCache cacheId="1" r:id="rId20"/>
    <pivotCache cacheId="2" r:id="rId21"/>
    <pivotCache cacheId="3" r:id="rId22"/>
  </pivotCaches>
</workbook>
</file>

<file path=xl/sharedStrings.xml><?xml version="1.0" encoding="utf-8"?>
<sst xmlns="http://schemas.openxmlformats.org/spreadsheetml/2006/main" count="10621" uniqueCount="2345">
  <si>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</si>
  <si>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</si>
  <si>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</si>
  <si>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</si>
  <si>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</si>
  <si>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</si>
  <si>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</si>
  <si>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</si>
  <si>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</si>
  <si>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</si>
  <si>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</si>
  <si>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</si>
  <si>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</si>
  <si>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</si>
  <si>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</si>
  <si>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</si>
  <si>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</si>
  <si>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</si>
  <si>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</si>
  <si>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Task 1 - Excel-Based Exploration</t>
  </si>
  <si>
    <t>Metric</t>
  </si>
  <si>
    <t>Value</t>
  </si>
  <si>
    <t>Magnitude Band</t>
  </si>
  <si>
    <t>Count</t>
  </si>
  <si>
    <t>Title Pattern</t>
  </si>
  <si>
    <t>Number of records</t>
  </si>
  <si>
    <t>6.5-&lt;7.0</t>
  </si>
  <si>
    <t>Distance/location</t>
  </si>
  <si>
    <t>Number of columns</t>
  </si>
  <si>
    <t>7.0-&lt;7.5</t>
  </si>
  <si>
    <t>Named-region</t>
  </si>
  <si>
    <t>Minimum magnitude</t>
  </si>
  <si>
    <t>7.5-&lt;8.0</t>
  </si>
  <si>
    <t>Maximum magnitude</t>
  </si>
  <si>
    <t>8.0-&lt;8.5</t>
  </si>
  <si>
    <t>Average magnitude</t>
  </si>
  <si>
    <t>8.5-&lt;9.0</t>
  </si>
  <si>
    <t>Minimum depth</t>
  </si>
  <si>
    <t>9.0+</t>
  </si>
  <si>
    <t>Maximum depth</t>
  </si>
  <si>
    <t>Average depth</t>
  </si>
  <si>
    <t>Task 2 - Data Type and Quality Audit</t>
  </si>
  <si>
    <t>Column</t>
  </si>
  <si>
    <t>Data Type</t>
  </si>
  <si>
    <t>Reason</t>
  </si>
  <si>
    <t>Title</t>
  </si>
  <si>
    <t>Text</t>
  </si>
  <si>
    <t>Descriptive earthquake title</t>
  </si>
  <si>
    <t>Magnitude</t>
  </si>
  <si>
    <t>Numeric</t>
  </si>
  <si>
    <t>Numerical earthquake magnitude</t>
  </si>
  <si>
    <t>Date_Time</t>
  </si>
  <si>
    <t>Stored as text in raw dataset</t>
  </si>
  <si>
    <t>Numerical intensity value</t>
  </si>
  <si>
    <t>Alert</t>
  </si>
  <si>
    <t>Categorial</t>
  </si>
  <si>
    <t>Hazard-level categories</t>
  </si>
  <si>
    <t>Tsunami</t>
  </si>
  <si>
    <t>Binary/category indicator</t>
  </si>
  <si>
    <t>Numerical significance score</t>
  </si>
  <si>
    <t>Network/source code</t>
  </si>
  <si>
    <t>Numerical station count</t>
  </si>
  <si>
    <t>Numerical minimum distance</t>
  </si>
  <si>
    <t>Numerical azimuthal gap</t>
  </si>
  <si>
    <t>MagType</t>
  </si>
  <si>
    <t>Magnitude calculation method</t>
  </si>
  <si>
    <t>Depth</t>
  </si>
  <si>
    <t>Numerical earthquake depth</t>
  </si>
  <si>
    <t>Latitude</t>
  </si>
  <si>
    <t>Numerical geographic coordinate</t>
  </si>
  <si>
    <t>Longitude</t>
  </si>
  <si>
    <t>Location</t>
  </si>
  <si>
    <t>Location description</t>
  </si>
  <si>
    <t>Continent</t>
  </si>
  <si>
    <t>Geographic category</t>
  </si>
  <si>
    <t>Country</t>
  </si>
  <si>
    <t>Missing Value Audit</t>
  </si>
  <si>
    <t>Field</t>
  </si>
  <si>
    <t>Blank Count</t>
  </si>
  <si>
    <t>Blank Percentage</t>
  </si>
  <si>
    <t>alert</t>
  </si>
  <si>
    <t>continent</t>
  </si>
  <si>
    <t>country</t>
  </si>
  <si>
    <t>location</t>
  </si>
  <si>
    <t>title</t>
  </si>
  <si>
    <t>magnitude</t>
  </si>
  <si>
    <t>date_time</t>
  </si>
  <si>
    <t>cdi</t>
  </si>
  <si>
    <t>mmi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</si>
  <si>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</si>
  <si>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</si>
  <si>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</si>
  <si>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</si>
  <si>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</si>
  <si>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</si>
  <si>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</si>
  <si>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</si>
  <si>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</si>
  <si>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</si>
  <si>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date_time_converted</t>
  </si>
  <si>
    <t>converted_is_number</t>
  </si>
  <si>
    <t>raw_date_is_number</t>
  </si>
  <si>
    <t>title_pattern</t>
  </si>
  <si>
    <t>magType_normalized</t>
  </si>
  <si>
    <t>duplicate_count</t>
  </si>
  <si>
    <t>duplicate_flag</t>
  </si>
  <si>
    <t>date_status</t>
  </si>
  <si>
    <t>M 6.5 - 42 km W of Sola, Vanuatu</t>
  </si>
  <si>
    <t>16/08/2023 12:47</t>
  </si>
  <si>
    <t>green</t>
  </si>
  <si>
    <t>us</t>
  </si>
  <si>
    <t>mww</t>
  </si>
  <si>
    <t>Sola, Vanuatu</t>
  </si>
  <si>
    <t>Vanuatu</t>
  </si>
  <si>
    <t>M 6.5 - 43 km S of Intipucá, El Salvador</t>
  </si>
  <si>
    <t>19/07/2023 00:22</t>
  </si>
  <si>
    <t>yellow</t>
  </si>
  <si>
    <t>Intipucá, El Salvador</t>
  </si>
  <si>
    <t>M 6.6 - 25 km ESE of Loncopué, Argentina</t>
  </si>
  <si>
    <t>17/07/2023 03:05</t>
  </si>
  <si>
    <t>Loncopué, Argentina</t>
  </si>
  <si>
    <t>South America</t>
  </si>
  <si>
    <t>Argentina</t>
  </si>
  <si>
    <t>M 7.2 - 98 km S of Sand Point, Alaska</t>
  </si>
  <si>
    <t>16/07/2023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</si>
  <si>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</si>
  <si>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</si>
  <si>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</si>
  <si>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</si>
  <si>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</si>
  <si>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</si>
  <si>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</si>
  <si>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</si>
  <si>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</si>
  <si>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</si>
  <si>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15/06/2023 18:06</t>
  </si>
  <si>
    <t>the Fiji Islands</t>
  </si>
  <si>
    <t>M 6.6 - Panama-Colombia border region</t>
  </si>
  <si>
    <t>25/05/2023 03:05</t>
  </si>
  <si>
    <t>Panama-Colombia border region</t>
  </si>
  <si>
    <t>Colombia</t>
  </si>
  <si>
    <t>M 7.1 - southeast of the Loyalty Islands</t>
  </si>
  <si>
    <t>20/05/2023 01:51</t>
  </si>
  <si>
    <t>the Loyalty Islands</t>
  </si>
  <si>
    <t>M 7.7 - southeast of the Loyalty Islands</t>
  </si>
  <si>
    <t>19/05/2023 02:57</t>
  </si>
  <si>
    <t>M 7.6 - 95 km WNW of Hihifo, Tonga</t>
  </si>
  <si>
    <t>Hihifo, Tonga</t>
  </si>
  <si>
    <t>M 6.6 - south of the Fiji Islands</t>
  </si>
  <si>
    <t>28/04/2023 03:13</t>
  </si>
  <si>
    <t>M 7.1 - 170 km SSE of Teluk Dalam, Indonesia</t>
  </si>
  <si>
    <t>24/04/2023 20:00</t>
  </si>
  <si>
    <t>Teluk Dalam, Indonesia</t>
  </si>
  <si>
    <t>Indonesia</t>
  </si>
  <si>
    <t>M 7.1 - Kermadec Islands, New Zealand</t>
  </si>
  <si>
    <t>24/04/2023 00:41</t>
  </si>
  <si>
    <t>Kermadec Islands, New Zealand</t>
  </si>
  <si>
    <t>M 6.7 - south of the Fiji Islands</t>
  </si>
  <si>
    <t>18/04/2023 04:31</t>
  </si>
  <si>
    <t>M 7.0 - 96 km N of Tuban, Indonesia</t>
  </si>
  <si>
    <t>14/04/2023 09:55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</si>
  <si>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</si>
  <si>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</si>
  <si>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</si>
  <si>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</si>
  <si>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</si>
  <si>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</si>
  <si>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</si>
  <si>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</si>
  <si>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</si>
  <si>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22/03/2023 16:00</t>
  </si>
  <si>
    <t>San Antonio de los Cobres, Argentina</t>
  </si>
  <si>
    <t>M 6.5 - 40 km SSE of Jurm, Afghanistan</t>
  </si>
  <si>
    <t>21/03/2023 16:47</t>
  </si>
  <si>
    <t>Jurm, Afghanistan</t>
  </si>
  <si>
    <t>Afghanistan</t>
  </si>
  <si>
    <t>M 6.8 - near the coast of Ecuador</t>
  </si>
  <si>
    <t>18/03/2023 17:12</t>
  </si>
  <si>
    <t>orange</t>
  </si>
  <si>
    <t>Ecuador</t>
  </si>
  <si>
    <t>M 7.0 - Kermadec Islands region</t>
  </si>
  <si>
    <t>16/03/2023 00:56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</si>
  <si>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</si>
  <si>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</si>
  <si>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</si>
  <si>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</si>
  <si>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</si>
  <si>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</si>
  <si>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</si>
  <si>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23/02/2023 00:37</t>
  </si>
  <si>
    <t>Murghob, Tajikistan</t>
  </si>
  <si>
    <t>Tajikistan</t>
  </si>
  <si>
    <t>M 7.5 - 4 km SSE of Ekinözü, Turkey</t>
  </si>
  <si>
    <t>Ekinözü, Turkey</t>
  </si>
  <si>
    <t>Turkiye</t>
  </si>
  <si>
    <t>M 6.7 - 18 km ESE of Nurdağı, Turkey</t>
  </si>
  <si>
    <t>Nurdağı, Turkey</t>
  </si>
  <si>
    <t>M 7.8 - Central Turkey</t>
  </si>
  <si>
    <t>red</t>
  </si>
  <si>
    <t>Central Turkey</t>
  </si>
  <si>
    <t>M 6.8 -</t>
  </si>
  <si>
    <t>20/01/2023 22:09</t>
  </si>
  <si>
    <t>M 7.0 - 153 km NW of Tobelo, Indonesia</t>
  </si>
  <si>
    <t>18/01/2023 06:06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</si>
  <si>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</si>
  <si>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</si>
  <si>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</si>
  <si>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</si>
  <si>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</si>
  <si>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</si>
  <si>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</si>
  <si>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22/11/2022 02:03</t>
  </si>
  <si>
    <t>Malango, Solomon Islands</t>
  </si>
  <si>
    <t>Oceania</t>
  </si>
  <si>
    <t>Solomon Islands</t>
  </si>
  <si>
    <t>M 6.9 - 204 km SW of Bengkulu, Indonesia</t>
  </si>
  <si>
    <t>18/11/2022 13:37</t>
  </si>
  <si>
    <t>Bengkulu, Indonesia</t>
  </si>
  <si>
    <t>M 7.0 -</t>
  </si>
  <si>
    <t>Fiji</t>
  </si>
  <si>
    <t>M 7.3 - 205 km ESE of Neiafu, Tonga</t>
  </si>
  <si>
    <t>Neiafu, Tonga</t>
  </si>
  <si>
    <t>M 6.6 -</t>
  </si>
  <si>
    <t>M 7.0 - south of the Fiji Islands</t>
  </si>
  <si>
    <t>mwb</t>
  </si>
  <si>
    <t>M 6.8 - south of the Fiji Islands</t>
  </si>
  <si>
    <t>M 6.7 - 60 km SSW of Boca Chica, Panama</t>
  </si>
  <si>
    <t>20/10/2022 11:57</t>
  </si>
  <si>
    <t>Boca Chica, Panama</t>
  </si>
  <si>
    <t>Panama</t>
  </si>
  <si>
    <t>M 6.8 - 55 km SSW of Aguililla, Mexico</t>
  </si>
  <si>
    <t>22/09/2022 06:16</t>
  </si>
  <si>
    <t>Aguililla, Mexico</t>
  </si>
  <si>
    <t>North America</t>
  </si>
  <si>
    <t>Mexico</t>
  </si>
  <si>
    <t>M 7.6 - 35 km SSW of Aguililla, Mexico</t>
  </si>
  <si>
    <t>19/09/2022 18:05</t>
  </si>
  <si>
    <t>M 6.9 - 90 km E of Yujing, Taiwan</t>
  </si>
  <si>
    <t>18/09/2022 06:44</t>
  </si>
  <si>
    <t>Yujing, Taiwan</t>
  </si>
  <si>
    <t>Taiwan</t>
  </si>
  <si>
    <t>M 6.5 - 96 km SE of Lugu, Taiwan</t>
  </si>
  <si>
    <t>17/09/2022 13:41</t>
  </si>
  <si>
    <t>Lugu, Taiwan</t>
  </si>
  <si>
    <t>M 7.0 - 209 km SSE of Isangel, Vanuatu</t>
  </si>
  <si>
    <t>14/09/2022 11:04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</si>
  <si>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</si>
  <si>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</si>
  <si>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</si>
  <si>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</si>
  <si>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</si>
  <si>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</si>
  <si>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</si>
  <si>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14/08/2022 13:44</t>
  </si>
  <si>
    <t>the Kermadec Islands</t>
  </si>
  <si>
    <t>M 7.0 - 11 km NE of Bantay, Philippines</t>
  </si>
  <si>
    <t>27/07/2022 00:43</t>
  </si>
  <si>
    <t>Bantay, Philippines</t>
  </si>
  <si>
    <t>Philippines</t>
  </si>
  <si>
    <t>M 6.5 - 107 km SSW of Tarauacá, Brazil</t>
  </si>
  <si>
    <t>Tarauacá, Brazil</t>
  </si>
  <si>
    <t>Brazil</t>
  </si>
  <si>
    <t>M 7.2 - 10 km W of Azángaro, Peru</t>
  </si>
  <si>
    <t>26/05/2022 12:02</t>
  </si>
  <si>
    <t>Azángaro, Peru</t>
  </si>
  <si>
    <t>Peru</t>
  </si>
  <si>
    <t>M 6.9 -</t>
  </si>
  <si>
    <t>19/05/2022 10:13</t>
  </si>
  <si>
    <t>M 6.8 - 86 km NNW of San Antonio de los Cobres, Argentina</t>
  </si>
  <si>
    <t>M 6.6 - 55 km WSW of Masachapa, Nicaragua</t>
  </si>
  <si>
    <t>21/04/2022 07:42</t>
  </si>
  <si>
    <t>Masachapa, Nicaragua</t>
  </si>
  <si>
    <t>M 7.0 - southeast of the Loyalty Islands</t>
  </si>
  <si>
    <t>31/03/2022 05:44</t>
  </si>
  <si>
    <t>M 6.9 - 284 km ESE of Tadine, New Caledonia</t>
  </si>
  <si>
    <t>30/03/2022 20:56</t>
  </si>
  <si>
    <t>Tadine, New Caledonia</t>
  </si>
  <si>
    <t>M 6.7 - 65 km S of Hualien City, Taiwan</t>
  </si>
  <si>
    <t>22/03/2022 17:41</t>
  </si>
  <si>
    <t>Hualien City, Taiwan</t>
  </si>
  <si>
    <t>M 7.3 - 57 km ENE of Namie, Japan</t>
  </si>
  <si>
    <t>16/03/2022 14:36</t>
  </si>
  <si>
    <t>Namie, Japan</t>
  </si>
  <si>
    <t>M 6.7 - 166 km W of Pariaman, Indonesia</t>
  </si>
  <si>
    <t>13/03/2022 21:09</t>
  </si>
  <si>
    <t>Pariaman, Indonesia</t>
  </si>
  <si>
    <t>M 6.6 - Kermadec Islands, New Zealand</t>
  </si>
  <si>
    <t>16/02/2022 20:21</t>
  </si>
  <si>
    <t>M 6.5 - 49 km NW of Barranca, Peru</t>
  </si>
  <si>
    <t>Barranca, Peru</t>
  </si>
  <si>
    <t>M 6.5 - Kermadec Islands region</t>
  </si>
  <si>
    <t>29/01/2022 02:46</t>
  </si>
  <si>
    <t>M 6.6 - 80 km SW of Labuan, Indonesia</t>
  </si>
  <si>
    <t>14/01/2022 09:05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</si>
  <si>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</si>
  <si>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</si>
  <si>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</si>
  <si>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</si>
  <si>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</si>
  <si>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</si>
  <si>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</si>
  <si>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Pólis, Cyprus</t>
  </si>
  <si>
    <t>Pólis, Cyprus</t>
  </si>
  <si>
    <t>M 6.6 - northern Qinghai, China</t>
  </si>
  <si>
    <t>northern Qinghai, China</t>
  </si>
  <si>
    <t>M 7.3 - 125 km NNE of Lospalos, Timor Leste</t>
  </si>
  <si>
    <t>29/12/2021 18:25</t>
  </si>
  <si>
    <t>Lospalos, Timor Leste</t>
  </si>
  <si>
    <t>M 7.3 - Flores Sea</t>
  </si>
  <si>
    <t>14/12/2021 03:20</t>
  </si>
  <si>
    <t>Flores Sea</t>
  </si>
  <si>
    <t>M 7.5 - 43 km NNW of Barranca, Peru</t>
  </si>
  <si>
    <t>28/11/2021 10:52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</si>
  <si>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</si>
  <si>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</si>
  <si>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</si>
  <si>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</si>
  <si>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</si>
  <si>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</si>
  <si>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</si>
  <si>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</si>
  <si>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</si>
  <si>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</si>
  <si>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22/09/2021 09:57</t>
  </si>
  <si>
    <t>Jiquilillo, Nicaragua</t>
  </si>
  <si>
    <t>M 7.0 - Acapulco, Mexico</t>
  </si>
  <si>
    <t>Acapulco, Mexico</t>
  </si>
  <si>
    <t>M 7.1 - South Sandwich Islands region</t>
  </si>
  <si>
    <t>22/08/2021 21:33</t>
  </si>
  <si>
    <t>South Sandwich Islands region</t>
  </si>
  <si>
    <t>Antarctica</t>
  </si>
  <si>
    <t>M 6.6 - South Sandwich Islands region</t>
  </si>
  <si>
    <t>22/08/2021 00:45</t>
  </si>
  <si>
    <t>M 6.9 - 17 km N of Port-Olry, Vanuatu</t>
  </si>
  <si>
    <t>18/08/2021 10:10</t>
  </si>
  <si>
    <t>M 6.9 - South Sandwich Islands region</t>
  </si>
  <si>
    <t>16/08/2021 11:10</t>
  </si>
  <si>
    <t>M 7.2 - Nippes, Haiti</t>
  </si>
  <si>
    <t>14/08/2021 12:29</t>
  </si>
  <si>
    <t>Nippes, Haiti</t>
  </si>
  <si>
    <t>Haiti</t>
  </si>
  <si>
    <t>M 6.9 - 136 km SE of Perryville, Alaska</t>
  </si>
  <si>
    <t>14/08/2021 11:57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</si>
  <si>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</si>
  <si>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</si>
  <si>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</si>
  <si>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</si>
  <si>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</si>
  <si>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</si>
  <si>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</si>
  <si>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29/07/2021 06:15</t>
  </si>
  <si>
    <t>M 8.2 - 99 km SE of Perryville, Alaska</t>
  </si>
  <si>
    <t>M 6.7 - 15 km S of Hukay, Philippines</t>
  </si>
  <si>
    <t>23/07/2021 20:48</t>
  </si>
  <si>
    <t>Hukay, Philippines</t>
  </si>
  <si>
    <t>M 6.7 - 71 km S of Burica, Panama</t>
  </si>
  <si>
    <t>21/07/2021 21:15</t>
  </si>
  <si>
    <t>Burica, Panama</t>
  </si>
  <si>
    <t>M 6.5 - Kermadec Islands, New Zealand</t>
  </si>
  <si>
    <t>20/06/2021 17:05</t>
  </si>
  <si>
    <t>M 6.5 - 265 km SSE of Alo, Wallis and Futuna</t>
  </si>
  <si>
    <t>21/05/2021 22:13</t>
  </si>
  <si>
    <t>Alo, Wallis and Futuna</t>
  </si>
  <si>
    <t>M 7.3 - Southern Qinghai, China</t>
  </si>
  <si>
    <t>21/05/2021 18:04</t>
  </si>
  <si>
    <t>Southern Qinghai, China</t>
  </si>
  <si>
    <t>M 6.7 - 260 km S of Sinabang, Indonesia</t>
  </si>
  <si>
    <t>14/05/2021 06:33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</si>
  <si>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</si>
  <si>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</si>
  <si>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</si>
  <si>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</si>
  <si>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</si>
  <si>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25/04/2021 22:28</t>
  </si>
  <si>
    <t>Haveluloto, Tonga</t>
  </si>
  <si>
    <t>M 6.5 - 225 km WNW of Pangai, Tonga</t>
  </si>
  <si>
    <t>24/04/2021 00:23</t>
  </si>
  <si>
    <t>Pangai, Tonga</t>
  </si>
  <si>
    <t>M 7.0 - 30 km E of Ishinomaki, Japan</t>
  </si>
  <si>
    <t>20/03/2021 09:09</t>
  </si>
  <si>
    <t>Ishinomaki, Japan</t>
  </si>
  <si>
    <t>M 6.6 - 171 km SSE of Ust’-Kamchatsk Staryy, Russia</t>
  </si>
  <si>
    <t>16/03/2021 18:38</t>
  </si>
  <si>
    <t>Ust’-Kamchatsk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</si>
  <si>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</si>
  <si>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</si>
  <si>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</si>
  <si>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</si>
  <si>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</si>
  <si>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13/02/2021 14:07</t>
  </si>
  <si>
    <t>M 6.9 - South Shetland Islands</t>
  </si>
  <si>
    <t>23/01/2021 23:36</t>
  </si>
  <si>
    <t>South Shetland Islands</t>
  </si>
  <si>
    <t>M 7.0 - 211 km SE of Pondaguitan, Philippines</t>
  </si>
  <si>
    <t>21/01/2021 12:23</t>
  </si>
  <si>
    <t>M 6.7 - 29 km SSW of Turt, Mongolia</t>
  </si>
  <si>
    <t>Turt, Mongolia</t>
  </si>
  <si>
    <t>Mongolia</t>
  </si>
  <si>
    <t>M 6.7 - 146 km WNW of Corral, Chile</t>
  </si>
  <si>
    <t>27/12/2020 21:39</t>
  </si>
  <si>
    <t>Corral, Chile</t>
  </si>
  <si>
    <t>M 7.0 - 13 km NNE of Néon Karlovásion, Greece</t>
  </si>
  <si>
    <t>30/10/2020 11:51</t>
  </si>
  <si>
    <t>Néon Karlovásion, Greece</t>
  </si>
  <si>
    <t>Europe</t>
  </si>
  <si>
    <t>Greece</t>
  </si>
  <si>
    <t>M 7.6 - 99 km SE of Sand Point, Alaska</t>
  </si>
  <si>
    <t>19/10/2020 20:54</t>
  </si>
  <si>
    <t>M 6.9 - central Mid-Atlantic Ridge</t>
  </si>
  <si>
    <t>18/09/2020 21:43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</si>
  <si>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</si>
  <si>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</si>
  <si>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</si>
  <si>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</si>
  <si>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</si>
  <si>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</si>
  <si>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30/08/2020 21:20</t>
  </si>
  <si>
    <t>M 6.9 - 222 km SSE of Katabu, Indonesia</t>
  </si>
  <si>
    <t>21/08/2020 04:09</t>
  </si>
  <si>
    <t>Katabu, Indonesia</t>
  </si>
  <si>
    <t>M 6.9 - 122 km WSW of Bengkulu, Indonesia</t>
  </si>
  <si>
    <t>18/08/2020 22:29</t>
  </si>
  <si>
    <t>M 6.8 - 138 km WSW of Bengkulu, Indonesia</t>
  </si>
  <si>
    <t>18/08/2020 22:23</t>
  </si>
  <si>
    <t>M 6.6 - 13 km E of San Pedro, Philippines</t>
  </si>
  <si>
    <t>18/08/2020 00:03</t>
  </si>
  <si>
    <t>San Pedro, Philippines</t>
  </si>
  <si>
    <t>M 7.8 - 99 km SSE of Perryville, Alaska</t>
  </si>
  <si>
    <t>22/07/2020 06:12</t>
  </si>
  <si>
    <t>M 7.0 - 114 km NNW of Popondetta, Papua New Guinea</t>
  </si>
  <si>
    <t>17/07/2020 02:50</t>
  </si>
  <si>
    <t>Popondetta, Papua New Guinea</t>
  </si>
  <si>
    <t>M 6.6 - 97 km N of Batang, Indonesia</t>
  </si>
  <si>
    <t>Batang, Indonesia</t>
  </si>
  <si>
    <t>M 7.4 - 9 km SE of Santa María Xadani, Mexico</t>
  </si>
  <si>
    <t>23/06/2020 15:29</t>
  </si>
  <si>
    <t>Santa María Xadani, Mexico</t>
  </si>
  <si>
    <t>M 7.4 - south of the Kermadec Islands</t>
  </si>
  <si>
    <t>18/06/2020 12:49</t>
  </si>
  <si>
    <t>M 6.6 - 130 km WNW of Naze, Japan</t>
  </si>
  <si>
    <t>13/06/2020 15:51</t>
  </si>
  <si>
    <t>Naze, Japan</t>
  </si>
  <si>
    <t>M 6.8 - 48 km SW of San Pedro de Atacama, Chile</t>
  </si>
  <si>
    <t>San Pedro de Atacama, Chile</t>
  </si>
  <si>
    <t>M 6.5 - Monte Cristo Range, NV Earthquake</t>
  </si>
  <si>
    <t>15/05/2020 11:03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</si>
  <si>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</si>
  <si>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</si>
  <si>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</si>
  <si>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</si>
  <si>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</si>
  <si>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</si>
  <si>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</si>
  <si>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Néa Anatolí, Greece</t>
  </si>
  <si>
    <t>Néa Anatolí, Greece</t>
  </si>
  <si>
    <t>M 6.5 - Stanley, Idaho</t>
  </si>
  <si>
    <t>31/03/2020 23:52</t>
  </si>
  <si>
    <t>Stanley, Idaho</t>
  </si>
  <si>
    <t>M 7.5 - 221 km SSE of Severo-Kuril’sk, Russia</t>
  </si>
  <si>
    <t>25/03/2020 02:49</t>
  </si>
  <si>
    <t>Severo-Kuril’sk, Russia</t>
  </si>
  <si>
    <t>M 7.0 - 95 km ENE of Kuril’sk, Russia</t>
  </si>
  <si>
    <t>13/02/2020 10:33</t>
  </si>
  <si>
    <t>Kuril’sk, Russia</t>
  </si>
  <si>
    <t>Russia</t>
  </si>
  <si>
    <t>M 7.7 - 123 km NNW of Lucea, Jamaica</t>
  </si>
  <si>
    <t>28/01/2020 19:10</t>
  </si>
  <si>
    <t>Lucea, Jamaica</t>
  </si>
  <si>
    <t>M 6.7 - 13 km N of Do?anyol, Turkey</t>
  </si>
  <si>
    <t>24/01/2020 17:55</t>
  </si>
  <si>
    <t>Do?anyol, Turkey</t>
  </si>
  <si>
    <t>Turkey</t>
  </si>
  <si>
    <t>M 6.8 - 7 km S of Magsaysay, Philippines</t>
  </si>
  <si>
    <t>15/12/2019 06:11</t>
  </si>
  <si>
    <t>Magsaysay, Philippines</t>
  </si>
  <si>
    <t>M 7.1 - 138km E of Bitung, Indonesia</t>
  </si>
  <si>
    <t>14/11/2019 16:17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</si>
  <si>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</si>
  <si>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</si>
  <si>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</si>
  <si>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</si>
  <si>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</si>
  <si>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31/10/2019 01:11</t>
  </si>
  <si>
    <t>Kisante, Philippines</t>
  </si>
  <si>
    <t>M 6.6 - 10 km NE of Columbio, Philippines</t>
  </si>
  <si>
    <t>29/10/2019 01:04</t>
  </si>
  <si>
    <t>Columbio, Philippines</t>
  </si>
  <si>
    <t>M 6.7 - 70 km WSW of Constitución, Chile</t>
  </si>
  <si>
    <t>29/09/2019 15:57</t>
  </si>
  <si>
    <t>Constitución, Chile</t>
  </si>
  <si>
    <t>M 6.5 - 11km S of Kairatu, Indonesia</t>
  </si>
  <si>
    <t>25/09/2019 23:46</t>
  </si>
  <si>
    <t>Kairatu, Indonesia</t>
  </si>
  <si>
    <t>M 6.6 - 34km NNE of Ndoi Island, Fiji</t>
  </si>
  <si>
    <t>M 6.6 - 131km S of Bristol Island, South Sandwich Islands</t>
  </si>
  <si>
    <t>27/08/2019 23:55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</si>
  <si>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</si>
  <si>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</si>
  <si>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</si>
  <si>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</si>
  <si>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</si>
  <si>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</si>
  <si>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31/07/2019 15:02</t>
  </si>
  <si>
    <t>Lakatoro, Vanuatu</t>
  </si>
  <si>
    <t>M 7.2 - 93km NNE of Laiwui, Indonesia</t>
  </si>
  <si>
    <t>14/07/2019 09:10</t>
  </si>
  <si>
    <t>Laiwui, Indonesia</t>
  </si>
  <si>
    <t>M 6.6 - 200km W of Broome, Australia</t>
  </si>
  <si>
    <t>14/07/2019 05:39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</si>
  <si>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</si>
  <si>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</si>
  <si>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</si>
  <si>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</si>
  <si>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</si>
  <si>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</si>
  <si>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</si>
  <si>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</si>
  <si>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24/06/2019 02:53</t>
  </si>
  <si>
    <t>Saumlaki, Indonesia</t>
  </si>
  <si>
    <t>M 7.3 - 116km NE of L'Esperance Rock, New Zealand</t>
  </si>
  <si>
    <t>15/06/2019 22:55</t>
  </si>
  <si>
    <t>L'Esperance Rock, New Zealand</t>
  </si>
  <si>
    <t>M 6.6 - 32 km S of La Libertad, El Salvador</t>
  </si>
  <si>
    <t>30/05/2019 09:03</t>
  </si>
  <si>
    <t>La Libertad, El Salvador</t>
  </si>
  <si>
    <t>M 8.0 - 78 km NE of Navarro, Peru</t>
  </si>
  <si>
    <t>26/05/2019 07:41</t>
  </si>
  <si>
    <t>Navarro, Peru</t>
  </si>
  <si>
    <t>M 7.6 - 46km SSE of Namatanai, Papua New Guinea</t>
  </si>
  <si>
    <t>14/05/2019 12:58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</si>
  <si>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</si>
  <si>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</si>
  <si>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</si>
  <si>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</si>
  <si>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</si>
  <si>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</si>
  <si>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Azángaro, Peru</t>
  </si>
  <si>
    <t>M 7.5 - 111km ESE of Palora, Ecuador</t>
  </si>
  <si>
    <t>22/02/2019 10:17</t>
  </si>
  <si>
    <t>Palora, Ecuador</t>
  </si>
  <si>
    <t>M 6.7 - 5 km SW of Puerto Madero, Mexico</t>
  </si>
  <si>
    <t>Puerto Madero, Mexico</t>
  </si>
  <si>
    <t>M 6.7 - Prince Edward Islands region</t>
  </si>
  <si>
    <t>22/01/2019 19:01</t>
  </si>
  <si>
    <t>Prince Edward Islands region</t>
  </si>
  <si>
    <t>M 6.7 - 10 km SSW of Coquimbo, Chile</t>
  </si>
  <si>
    <t>20/01/2019 01:32</t>
  </si>
  <si>
    <t>Coquimbo, Chile</t>
  </si>
  <si>
    <t>M 6.6 - 94 km NW of Sola, Vanuatu</t>
  </si>
  <si>
    <t>15/01/2019 18:06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</si>
  <si>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</si>
  <si>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</si>
  <si>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</si>
  <si>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</si>
  <si>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</si>
  <si>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29/12/2018 03:39</t>
  </si>
  <si>
    <t>M 7.3 - 187 km SE of Ust’-Kamchatsk Staryy, Russia</t>
  </si>
  <si>
    <t>20/12/2018 17:01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</si>
  <si>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</si>
  <si>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</si>
  <si>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</si>
  <si>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</si>
  <si>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30/11/2018 17:29</t>
  </si>
  <si>
    <t>Point MacKenzie, Alaska</t>
  </si>
  <si>
    <t>M 6.8 - 187 km E of Levuka, Fiji</t>
  </si>
  <si>
    <t>18/11/2018 20:25</t>
  </si>
  <si>
    <t>Levuka, Fiji</t>
  </si>
  <si>
    <t>M 6.7 - 120 km NW of Olonkinbyen, Svalbard and Jan Mayen</t>
  </si>
  <si>
    <t>Olonkinbyen, Svalbard and Jan Mayen</t>
  </si>
  <si>
    <t>M 6.8 - 32 km SW of Lithakiá, Greece</t>
  </si>
  <si>
    <t>25/10/2018 22:54</t>
  </si>
  <si>
    <t>Lithakiá, Greece</t>
  </si>
  <si>
    <t>M 6.5 - 237 km SW of Port McNeill, Canada</t>
  </si>
  <si>
    <t>22/10/2018 06:22</t>
  </si>
  <si>
    <t>Port McNeill, Canada</t>
  </si>
  <si>
    <t>M 6.8 - 210 km SW of Port McNeill, Canada</t>
  </si>
  <si>
    <t>22/10/2018 06:16</t>
  </si>
  <si>
    <t>M 6.5 - 223 km SW of Port McNeill, Canada</t>
  </si>
  <si>
    <t>22/10/2018 05:39</t>
  </si>
  <si>
    <t>M 6.5 - 171 km E of Tadine, New Caledonia</t>
  </si>
  <si>
    <t>16/10/2018 01:03</t>
  </si>
  <si>
    <t>M 6.7 - 269 km WNW of Ozernovskiy, Russia</t>
  </si>
  <si>
    <t>13/10/2018 11:10</t>
  </si>
  <si>
    <t>Ozernovskiy, Russia</t>
  </si>
  <si>
    <t>M 6.5 - 154 km S of Severo-Kuril’sk, Russia</t>
  </si>
  <si>
    <t>M 7.0 - 119 km E of Kimbe, Papua New Guinea</t>
  </si>
  <si>
    <t>M 6.7 - 279 km E of Levuka, Fiji</t>
  </si>
  <si>
    <t>30/09/2018 10:52</t>
  </si>
  <si>
    <t>M 7.5 - 72 km N of Palu, Indonesia</t>
  </si>
  <si>
    <t>28/09/2018 10:02</t>
  </si>
  <si>
    <t>Palu, Indonesia</t>
  </si>
  <si>
    <t>M 6.5 - south of the Fiji Islands</t>
  </si>
  <si>
    <t>16/09/2018 21:11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</si>
  <si>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</si>
  <si>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</si>
  <si>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</si>
  <si>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</si>
  <si>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</si>
  <si>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</si>
  <si>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</si>
  <si>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29/08/2018 03:51</t>
  </si>
  <si>
    <t>M 7.1 - 136 km W of Iñapari, Peru</t>
  </si>
  <si>
    <t>24/08/2018 09:04</t>
  </si>
  <si>
    <t>Iñapari, Peru</t>
  </si>
  <si>
    <t>M 6.5 - 78 km E of Lakatoro, Vanuatu</t>
  </si>
  <si>
    <t>21/08/2018 22:32</t>
  </si>
  <si>
    <t>M 7.3 - 40 km ENE of Carúpano, Venezuela</t>
  </si>
  <si>
    <t>21/08/2018 21:31</t>
  </si>
  <si>
    <t>Carúpano, Venezuela</t>
  </si>
  <si>
    <t>Venezuela</t>
  </si>
  <si>
    <t>M 6.9 - 20 km NNW of Labuan Lombok, Indonesia</t>
  </si>
  <si>
    <t>19/08/2018 14:56</t>
  </si>
  <si>
    <t>Labuan Lombok, Indonesia</t>
  </si>
  <si>
    <t>M 8.2 - 267 km E of Levuka, Fiji</t>
  </si>
  <si>
    <t>19/08/2018 00:19</t>
  </si>
  <si>
    <t>M 6.5 - 124 km N of Labuan Bajo, Indonesia</t>
  </si>
  <si>
    <t>17/08/2018 15:35</t>
  </si>
  <si>
    <t>Labuan Bajo, Indonesia</t>
  </si>
  <si>
    <t>M 6.5 - 108 km WSW of Adak, Alaska</t>
  </si>
  <si>
    <t>15/08/2018 21:56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</si>
  <si>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</si>
  <si>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</si>
  <si>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</si>
  <si>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</si>
  <si>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</si>
  <si>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</si>
  <si>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</si>
  <si>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</si>
  <si>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</si>
  <si>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29/03/2018 21:25</t>
  </si>
  <si>
    <t>M 6.7 - 140 km E of Kimbe, Papua New Guinea</t>
  </si>
  <si>
    <t>26/03/2018 09:51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</si>
  <si>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</si>
  <si>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</si>
  <si>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</si>
  <si>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</si>
  <si>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</si>
  <si>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25/02/2018 17:44</t>
  </si>
  <si>
    <t>M 7.2 - 4 km S of Pinotepa de Don Luis, Mexico</t>
  </si>
  <si>
    <t>16/02/2018 23:39</t>
  </si>
  <si>
    <t>Pinotepa de Don Luis, Mexico</t>
  </si>
  <si>
    <t>M 7.9 - 261 km SE of Chiniak, Alaska</t>
  </si>
  <si>
    <t>23/01/2018 09:31</t>
  </si>
  <si>
    <t>Chiniak, Alaska</t>
  </si>
  <si>
    <t>M 7.1 - 37 km W of Atiquipa, Peru</t>
  </si>
  <si>
    <t>14/01/2018 09:18</t>
  </si>
  <si>
    <t>Atiquipa, Peru</t>
  </si>
  <si>
    <t>M 7.5 - 203 km NNE of Barra Patuca, Honduras</t>
  </si>
  <si>
    <t>Barra Patuca, Honduras</t>
  </si>
  <si>
    <t>M 6.5 - 12 km SSW of Kawalu, Indonesia</t>
  </si>
  <si>
    <t>15/12/2017 16:47</t>
  </si>
  <si>
    <t>Kawalu, Indonesia</t>
  </si>
  <si>
    <t>M 6.5 - Bouvet Island region</t>
  </si>
  <si>
    <t>13/12/2017 18:03</t>
  </si>
  <si>
    <t>Bouvet Island region</t>
  </si>
  <si>
    <t>M 7.0 - 85 km ENE of Tadine, New Caledonia</t>
  </si>
  <si>
    <t>19/11/2017 22:43</t>
  </si>
  <si>
    <t>M 6.6 - 74 km E of Tadine, New Caledonia</t>
  </si>
  <si>
    <t>19/11/2017 15:09</t>
  </si>
  <si>
    <t>M 6.5 - 18 km W of Parrita, Costa Rica</t>
  </si>
  <si>
    <t>13/11/2017 02:28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</si>
  <si>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</si>
  <si>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</si>
  <si>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</si>
  <si>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</si>
  <si>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</si>
  <si>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</si>
  <si>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</si>
  <si>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</si>
  <si>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</si>
  <si>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</si>
  <si>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31/10/2017 00:42</t>
  </si>
  <si>
    <t>M 6.7 - 181 km NNE of Maumere, Indonesia</t>
  </si>
  <si>
    <t>24/10/2017 10:47</t>
  </si>
  <si>
    <t>Maumere, Indonesia</t>
  </si>
  <si>
    <t>M 6.5 - 247 km ESE of Attu Station, Alaska</t>
  </si>
  <si>
    <t>Attu Station, Alaska</t>
  </si>
  <si>
    <t>M 7.1 - 1 km S of Matzaco, Mexico</t>
  </si>
  <si>
    <t>19/09/2017 18:14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</si>
  <si>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</si>
  <si>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</si>
  <si>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</si>
  <si>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</si>
  <si>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</si>
  <si>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</si>
  <si>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20/07/2017 22:31</t>
  </si>
  <si>
    <t>Kos, Greece</t>
  </si>
  <si>
    <t>M 7.7 - Komandorskiye Ostrova, Russia region</t>
  </si>
  <si>
    <t>17/07/2017 23:34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</si>
  <si>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</si>
  <si>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</si>
  <si>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</si>
  <si>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</si>
  <si>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</si>
  <si>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José, Guatemala</t>
  </si>
  <si>
    <t>22/06/2017 12:31</t>
  </si>
  <si>
    <t>Puerto San José, Guatemala</t>
  </si>
  <si>
    <t>M 6.9 - 2 km SSW of San Pablo, Guatemala</t>
  </si>
  <si>
    <t>14/06/2017 07:29</t>
  </si>
  <si>
    <t>San Pablo, Guatemala</t>
  </si>
  <si>
    <t>Guatemala</t>
  </si>
  <si>
    <t>M 6.8 - 200 km NW of Attu Station, Alaska</t>
  </si>
  <si>
    <t>M 6.6 - 37 km WNW of Poso, Indonesia</t>
  </si>
  <si>
    <t>29/05/2017 14:35</t>
  </si>
  <si>
    <t>Poso, Indonesia</t>
  </si>
  <si>
    <t>M 6.5 - South Sandwich Islands region</t>
  </si>
  <si>
    <t>M 6.8 - 59 km NNE of Port-Olry, Vanuatu</t>
  </si>
  <si>
    <t>M 6.9 - 31 km SW of Burias, Philippines</t>
  </si>
  <si>
    <t>28/04/2017 20:23</t>
  </si>
  <si>
    <t>Burias, Philippines</t>
  </si>
  <si>
    <t>M 6.9 - 40 km W of Valparaíso, Chile</t>
  </si>
  <si>
    <t>24/04/2017 21:38</t>
  </si>
  <si>
    <t>Valparaíso, Chile</t>
  </si>
  <si>
    <t>M 6.5 - 132 km WSW of Moijabana, Botswana</t>
  </si>
  <si>
    <t>Moijabana, Botswana</t>
  </si>
  <si>
    <t>Africa</t>
  </si>
  <si>
    <t>Botswana</t>
  </si>
  <si>
    <t>M 6.6 - 81 km NNE of Ust’-Kamchatsk Staryy, Russia</t>
  </si>
  <si>
    <t>29/03/2017 04:09</t>
  </si>
  <si>
    <t>M 6.9 - south of the Fiji Islands</t>
  </si>
  <si>
    <t>24/02/2017 17:28</t>
  </si>
  <si>
    <t>M 6.5 - 41 km E of Padilla, Bolivia</t>
  </si>
  <si>
    <t>21/02/2017 14:09</t>
  </si>
  <si>
    <t>Padilla, Bolivia</t>
  </si>
  <si>
    <t>M 6.5 - 11 km N of Mabua, Philippines</t>
  </si>
  <si>
    <t>Mabua, Philippines</t>
  </si>
  <si>
    <t>M 7.9 - 35 km WNW of Panguna, Papua New Guinea</t>
  </si>
  <si>
    <t>22/01/2017 04:30</t>
  </si>
  <si>
    <t>Panguna, Papua New Guinea</t>
  </si>
  <si>
    <t>M 6.5 - 65 km W of Kirakira, Solomon Islands</t>
  </si>
  <si>
    <t>19/01/2017 23:04</t>
  </si>
  <si>
    <t>M 7.3 - 189 km SSE of Tabiauan, Philippines</t>
  </si>
  <si>
    <t>Tabiauan, Philippines</t>
  </si>
  <si>
    <t>M 6.9 - 225 km SW of Nadi, Fiji</t>
  </si>
  <si>
    <t>Nadi, Fiji</t>
  </si>
  <si>
    <t>M 7.6 - 41 km SW of Quellón, Chile</t>
  </si>
  <si>
    <t>25/12/2016 14:22</t>
  </si>
  <si>
    <t>Quellón, Chile</t>
  </si>
  <si>
    <t>M 6.7 - 151 km NE of Lospalos, Timor Leste</t>
  </si>
  <si>
    <t>21/12/2016 00:17</t>
  </si>
  <si>
    <t>M 7.9 - 140 km E of Kokopo, Papua New Guinea</t>
  </si>
  <si>
    <t>17/12/2016 10:51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</si>
  <si>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</si>
  <si>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</si>
  <si>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</si>
  <si>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</si>
  <si>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</si>
  <si>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</si>
  <si>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</si>
  <si>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</si>
  <si>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25/11/2016 14:24</t>
  </si>
  <si>
    <t>M 6.9 - 156 km SSW of Puerto El Triunfo, El Salvador</t>
  </si>
  <si>
    <t>24/11/2016 18:43</t>
  </si>
  <si>
    <t>Puerto El Triunfo, El Salvador</t>
  </si>
  <si>
    <t>M 6.9 - 35 km ESE of Namie, Japan</t>
  </si>
  <si>
    <t>21/11/2016 20:59</t>
  </si>
  <si>
    <t>M 6.5 - 74 km NE of Amberley, New Zealand</t>
  </si>
  <si>
    <t>14/11/2016 00:34</t>
  </si>
  <si>
    <t>Amberley, New Zealand</t>
  </si>
  <si>
    <t>New Zealand</t>
  </si>
  <si>
    <t>M 6.5 - 92 km SSW of Blenheim, New Zealand</t>
  </si>
  <si>
    <t>13/11/2016 11:32</t>
  </si>
  <si>
    <t>Blenheim, New Zealand</t>
  </si>
  <si>
    <t>M 7.8 - 53 km NNE of Amberley, New Zealand</t>
  </si>
  <si>
    <t>13/11/2016 11:02</t>
  </si>
  <si>
    <t>M 6.6 - 5 km ESE of Preci, Italy</t>
  </si>
  <si>
    <t>30/10/2016 06:40</t>
  </si>
  <si>
    <t>Preci, Italy</t>
  </si>
  <si>
    <t>Italy</t>
  </si>
  <si>
    <t>M 6.6 - 161 km NNE of Pamanukan, Indonesia</t>
  </si>
  <si>
    <t>19/10/2016 00:26</t>
  </si>
  <si>
    <t>Pamanukan, Indonesia</t>
  </si>
  <si>
    <t>M 6.8 - 76 km WNW of Kandrian, Papua New Guinea</t>
  </si>
  <si>
    <t>17/10/2016 06:14</t>
  </si>
  <si>
    <t>Kandrian, Papua New Guinea</t>
  </si>
  <si>
    <t>M 6.9 - Fiji region</t>
  </si>
  <si>
    <t>24/09/2016 21:28</t>
  </si>
  <si>
    <t>Fiji region</t>
  </si>
  <si>
    <t>M 7.0 - 175 km NE of Gisborne, New Zealand</t>
  </si>
  <si>
    <t>M 6.8 - 90 km NE of Rabaul, Papua New Guinea</t>
  </si>
  <si>
    <t>31/08/2016 03:11</t>
  </si>
  <si>
    <t>Rabaul, Papua New Guinea</t>
  </si>
  <si>
    <t>M 6.8 - 26 km W of Chauk, Myanmar</t>
  </si>
  <si>
    <t>24/08/2016 10:34</t>
  </si>
  <si>
    <t>Chauk, Myanmar</t>
  </si>
  <si>
    <t>Myanmar</t>
  </si>
  <si>
    <t>M 7.2 - southeast of the Loyalty Islands</t>
  </si>
  <si>
    <t>M 7.7 - Pagan region, Northern Mariana Islands</t>
  </si>
  <si>
    <t>29/07/2016 21:18</t>
  </si>
  <si>
    <t>Pagan region, Northern Mariana Islands</t>
  </si>
  <si>
    <t>M 6.6 - 80 km W of Sungai Penuh, Indonesia</t>
  </si>
  <si>
    <t>Sungai Penuh, Indonesia</t>
  </si>
  <si>
    <t>M 7.2 - South Sandwich Islands region</t>
  </si>
  <si>
    <t>28/05/2016 09:46</t>
  </si>
  <si>
    <t>28/05/2016 05:38</t>
  </si>
  <si>
    <t>M 6.9 - 24 km NW of Rosa Zarate, Ecuador</t>
  </si>
  <si>
    <t>18/05/2016 16:46</t>
  </si>
  <si>
    <t>Rosa Zarate, Ecuador</t>
  </si>
  <si>
    <t>M 6.7 - 32 km SE of Muisne, Ecuador</t>
  </si>
  <si>
    <t>18/05/2016 07:57</t>
  </si>
  <si>
    <t>Muisne, Ecuador</t>
  </si>
  <si>
    <t>M 7.0 - 3 km NW of Norsup, Vanuatu</t>
  </si>
  <si>
    <t>28/04/2016 19:33</t>
  </si>
  <si>
    <t>Norsup, Vanuatu</t>
  </si>
  <si>
    <t>M 7.8 - 27 km SSE of Muisne, Ecuador</t>
  </si>
  <si>
    <t>16/04/2016 23:58</t>
  </si>
  <si>
    <t>M 7.0 - 6 km ESE of Kumamoto, Japan</t>
  </si>
  <si>
    <t>15/04/2016 16:25</t>
  </si>
  <si>
    <t>Kumamoto, Japan</t>
  </si>
  <si>
    <t>M 6.9 - 76 km SE of Mawlaik, Myanmar</t>
  </si>
  <si>
    <t>13/04/2016 13:55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</si>
  <si>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</si>
  <si>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</si>
  <si>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</si>
  <si>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</si>
  <si>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</si>
  <si>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</si>
  <si>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</si>
  <si>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</si>
  <si>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Mil’kovo, Russia</t>
  </si>
  <si>
    <t>30/01/2016 03:25</t>
  </si>
  <si>
    <t>Mil’kovo, Russia</t>
  </si>
  <si>
    <t>M 7.1 - 47 km ESE of Pedro Bay, Alaska</t>
  </si>
  <si>
    <t>24/01/2016 10:30</t>
  </si>
  <si>
    <t>Pedro Bay, Alaska</t>
  </si>
  <si>
    <t>M 6.6 - 203 km SW of La Cruz de Loreto, Mexico</t>
  </si>
  <si>
    <t>21/01/2016 18:06</t>
  </si>
  <si>
    <t>La Cruz de Loreto, Mexico</t>
  </si>
  <si>
    <t>M 6.7 - 52 km SE of Shizunai-furukawach?, Japan</t>
  </si>
  <si>
    <t>14/01/2016 03:25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</si>
  <si>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</si>
  <si>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</si>
  <si>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</si>
  <si>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</si>
  <si>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</si>
  <si>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</si>
  <si>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Ávila Camacho (Ponte Duro), Mexico</t>
  </si>
  <si>
    <t>17/12/2015 19:49</t>
  </si>
  <si>
    <t>Manuel Ávila Camacho (Ponte Duro), Mexico</t>
  </si>
  <si>
    <t>M 6.9 - 107 km SE of Amahai, Indonesia</t>
  </si>
  <si>
    <t>Amahai, Indonesia</t>
  </si>
  <si>
    <t>M 7.2 - 104 km W of Murghob, Tajikistan</t>
  </si>
  <si>
    <t>M 6.7 - 125 km SSW of Tarauacá, Brazil</t>
  </si>
  <si>
    <t>26/11/2015 05:45</t>
  </si>
  <si>
    <t>M 7.6 - 185 km WNW of Iñapari, Peru</t>
  </si>
  <si>
    <t>24/11/2015 22:50</t>
  </si>
  <si>
    <t>M 7.6 - 155 km WNW of Iñapari, Peru</t>
  </si>
  <si>
    <t>24/11/2015 22:45</t>
  </si>
  <si>
    <t>M 6.8 - 153 km WSW of Buala, Solomon Islands</t>
  </si>
  <si>
    <t>18/11/2015 18:31</t>
  </si>
  <si>
    <t>Buala, Solomon Islands</t>
  </si>
  <si>
    <t>M 6.5 - 19 km SSW of Lefkáda, Greece</t>
  </si>
  <si>
    <t>17/11/2015 07:10</t>
  </si>
  <si>
    <t>Lefkáda, Greece</t>
  </si>
  <si>
    <t>M 6.7 - 140 km WSW of Makurazaki, Japan</t>
  </si>
  <si>
    <t>13/11/2015 20:51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</si>
  <si>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</si>
  <si>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</si>
  <si>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</si>
  <si>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</si>
  <si>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</si>
  <si>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</si>
  <si>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</si>
  <si>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</si>
  <si>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</si>
  <si>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</si>
  <si>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26/10/2015 09:09</t>
  </si>
  <si>
    <t>Hindu Kush region, Afghanistan</t>
  </si>
  <si>
    <t>M 7.1 - 31 km NE of Port-Olry, Vanuatu</t>
  </si>
  <si>
    <t>20/10/2015 21:52</t>
  </si>
  <si>
    <t>M 6.6 - 28 km N of Sorong, Indonesia</t>
  </si>
  <si>
    <t>24/09/2015 15:53</t>
  </si>
  <si>
    <t>Sorong, Indonesia</t>
  </si>
  <si>
    <t>M 6.6 - 22 km WSW of Illapel, Chile</t>
  </si>
  <si>
    <t>21/09/2015 17:40</t>
  </si>
  <si>
    <t>Illapel, Chile</t>
  </si>
  <si>
    <t>M 6.7 - 61 km WNW of Illapel, Chile</t>
  </si>
  <si>
    <t>17/09/2015 04:10</t>
  </si>
  <si>
    <t>M 6.5 - 54 km WNW of Illapel, Chile</t>
  </si>
  <si>
    <t>17/09/2015 03:55</t>
  </si>
  <si>
    <t>M 7.0 - 25 km WNW of Illapel, Chile</t>
  </si>
  <si>
    <t>16/09/2015 23:18</t>
  </si>
  <si>
    <t>M 8.3 - 48 km W of Illapel, Chile</t>
  </si>
  <si>
    <t>16/09/2015 22:54</t>
  </si>
  <si>
    <t>M 6.7 - 95 km SW of Topolobampo, Mexico</t>
  </si>
  <si>
    <t>13/09/2015 08:14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</si>
  <si>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</si>
  <si>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</si>
  <si>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</si>
  <si>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</si>
  <si>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</si>
  <si>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27/07/2015 21:41</t>
  </si>
  <si>
    <t>Abepura, Indonesia</t>
  </si>
  <si>
    <t>M 6.9 - Fox Islands, Aleutian Islands, Alaska</t>
  </si>
  <si>
    <t>27/07/2015 04:49</t>
  </si>
  <si>
    <t>Fox Islands, Aleutian Islands, Alaska</t>
  </si>
  <si>
    <t>M 7.0 - 80 km WNW of Lata, Solomon Islands</t>
  </si>
  <si>
    <t>18/07/2015 02:27</t>
  </si>
  <si>
    <t>M 6.5 - 128 km NE of Bathsheba, Barbados</t>
  </si>
  <si>
    <t>16/07/2015 15:16</t>
  </si>
  <si>
    <t>Bathsheba, Barbados</t>
  </si>
  <si>
    <t>M 6.7 - 150 km WNW of Malango, Solomon Islands</t>
  </si>
  <si>
    <t>M 6.5 - Bonin Islands, Japan region</t>
  </si>
  <si>
    <t>23/06/2015 12:18</t>
  </si>
  <si>
    <t>Bonin Islands, Japan region</t>
  </si>
  <si>
    <t>M 7.8 - Bonin Islands, Japan region</t>
  </si>
  <si>
    <t>30/05/2015 11:23</t>
  </si>
  <si>
    <t>M 6.8 - 117 km SSE of Ugashik, Alaska</t>
  </si>
  <si>
    <t>29/05/2015 07:00</t>
  </si>
  <si>
    <t>Ugashik, Alaska</t>
  </si>
  <si>
    <t>M 6.8 - 159 km ESE of Kirakira, Solomon Islands</t>
  </si>
  <si>
    <t>22/05/2015 23:59</t>
  </si>
  <si>
    <t>M 6.9 - 205 km ESE of Kirakira, Solomon Islands</t>
  </si>
  <si>
    <t>22/05/2015 21:45</t>
  </si>
  <si>
    <t>M 6.8 - 178 km W of Lata, Solomon Islands</t>
  </si>
  <si>
    <t>20/05/2015 22:48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</si>
  <si>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</si>
  <si>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</si>
  <si>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</si>
  <si>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</si>
  <si>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</si>
  <si>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</si>
  <si>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</si>
  <si>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</si>
  <si>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30/04/2015 10:45</t>
  </si>
  <si>
    <t>M 6.7 - 21 km SSE of Kod?ri??, Nepal</t>
  </si>
  <si>
    <t>26/04/2015 07:09</t>
  </si>
  <si>
    <t>Kod?ri??, Nepal</t>
  </si>
  <si>
    <t>M 6.6 - 71 km NNE of Bharatpur, Nepal</t>
  </si>
  <si>
    <t>25/04/2015 06:45</t>
  </si>
  <si>
    <t>Bharatpur, Nepal</t>
  </si>
  <si>
    <t>M 7.8 - 67 km NNE of Bharatpur, Nepal</t>
  </si>
  <si>
    <t>25/04/2015 06:11</t>
  </si>
  <si>
    <t>M 6.5 - 181 km SSW of Alo, Wallis and Futuna</t>
  </si>
  <si>
    <t>17/04/2015 15:52</t>
  </si>
  <si>
    <t>M 6.5 - 96 km ENE of Hihifo, Tonga</t>
  </si>
  <si>
    <t>30/03/2015 08:48</t>
  </si>
  <si>
    <t>M 7.5 - 53 km SE of Kokopo, Papua New Guinea</t>
  </si>
  <si>
    <t>29/03/2015 23:48</t>
  </si>
  <si>
    <t>M 7.0 - 150 km NNE of Maumere, Indonesia</t>
  </si>
  <si>
    <t>27/02/2015 13:45</t>
  </si>
  <si>
    <t>M 6.7 - 83 km ENE of Miyako, Japan</t>
  </si>
  <si>
    <t>16/02/2015 23:06</t>
  </si>
  <si>
    <t>Miyako, Japan</t>
  </si>
  <si>
    <t>M 6.7 - 103 km W of El Aguilar, Argentina</t>
  </si>
  <si>
    <t>El Aguilar, Argentina</t>
  </si>
  <si>
    <t>M 6.8 - 81 km NNE of Port-Vila, Vanuatu</t>
  </si>
  <si>
    <t>23/01/2015 03:47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</si>
  <si>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</si>
  <si>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</si>
  <si>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</si>
  <si>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</si>
  <si>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</si>
  <si>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</si>
  <si>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</si>
  <si>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</si>
  <si>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26/11/2014 14:33</t>
  </si>
  <si>
    <t>Ternate, Indonesia</t>
  </si>
  <si>
    <t>M 6.5 - 123 km WNW of Tobelo, Indonesia</t>
  </si>
  <si>
    <t>21/11/2014 10:10</t>
  </si>
  <si>
    <t>M 6.7 - 183 km NE of Gisborne, New Zealand</t>
  </si>
  <si>
    <t>16/11/2014 22:33</t>
  </si>
  <si>
    <t>M 7.1 - 155 km NW of Ternate, Indonesia</t>
  </si>
  <si>
    <t>15/11/2014 02:31</t>
  </si>
  <si>
    <t>M 6.6 - 76 km NE of Finschhafen, Papua New Guinea</t>
  </si>
  <si>
    <t>Finschhafen, Papua New Guinea</t>
  </si>
  <si>
    <t>M 7.1 - Fiji region</t>
  </si>
  <si>
    <t>M 7.3 - 74 km S of Intipucá, El Salvador</t>
  </si>
  <si>
    <t>14/10/2014 03:51</t>
  </si>
  <si>
    <t>M 6.7 - 43 km NW of Piti Village, Guam</t>
  </si>
  <si>
    <t>17/09/2014 06:14</t>
  </si>
  <si>
    <t>Piti Village, Guam</t>
  </si>
  <si>
    <t>M 6.8 - 38 km NW of Aniso, Peru</t>
  </si>
  <si>
    <t>24/08/2014 23:21</t>
  </si>
  <si>
    <t>Aniso, Peru</t>
  </si>
  <si>
    <t>M 6.9 - Federated States of Micronesia region</t>
  </si>
  <si>
    <t>Micronesia region</t>
  </si>
  <si>
    <t>21/07/2014 14:54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</si>
  <si>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</si>
  <si>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</si>
  <si>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</si>
  <si>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</si>
  <si>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29/06/2014 17:15</t>
  </si>
  <si>
    <t>Mata-Utu, Wallis and Futuna</t>
  </si>
  <si>
    <t>29/06/2014 07:52</t>
  </si>
  <si>
    <t>M 7.9 - Rat Islands, Aleutian Islands, Alaska</t>
  </si>
  <si>
    <t>23/06/2014 20:53</t>
  </si>
  <si>
    <t>Rat Islands, Aleutian Islands, Alaska</t>
  </si>
  <si>
    <t>M 6.7 - Kermadec Islands, New Zealand</t>
  </si>
  <si>
    <t>23/06/2014 20:06</t>
  </si>
  <si>
    <t>23/06/2014 19:21</t>
  </si>
  <si>
    <t>23/06/2014 19:19</t>
  </si>
  <si>
    <t>M 6.9 - 21 km SSW of Kamariótissa, Greece</t>
  </si>
  <si>
    <t>24/05/2014 09:25</t>
  </si>
  <si>
    <t>Kamariótissa, Greece</t>
  </si>
  <si>
    <t>M 6.5 - 110 km SE of Punta de Burica, Panama</t>
  </si>
  <si>
    <t>13/05/2014 06:35</t>
  </si>
  <si>
    <t>M 6.6 - 239 km SSE of Isangel, Vanuatu</t>
  </si>
  <si>
    <t>M 6.5 - 107 km WSW of Vernon, Canada</t>
  </si>
  <si>
    <t>24/04/2014 03:10</t>
  </si>
  <si>
    <t>Vernon, Canada</t>
  </si>
  <si>
    <t>M 7.5 - 70 km SW of Panguna, Papua New Guinea</t>
  </si>
  <si>
    <t>19/04/2014 13:28</t>
  </si>
  <si>
    <t>M 6.6 - 57 km SW of Panguna, Papua New Guinea</t>
  </si>
  <si>
    <t>19/04/2014 01:04</t>
  </si>
  <si>
    <t>M 7.2 - 9 km ENE of Coyuquilla Norte, Mexico</t>
  </si>
  <si>
    <t>18/04/2014 14:27</t>
  </si>
  <si>
    <t>Coyuquilla Norte, Mexico</t>
  </si>
  <si>
    <t>M 6.6 - 75 km S of Kirakira, Solomon Islands</t>
  </si>
  <si>
    <t>13/04/2014 13:24</t>
  </si>
  <si>
    <t>M 7.4 - 112 km S of Kirakira, Solomon Islands</t>
  </si>
  <si>
    <t>13/04/2014 12:36</t>
  </si>
  <si>
    <t>M 7.6 - 93 km SSE of Kirakira, Solomon Islands</t>
  </si>
  <si>
    <t>M 6.6 - 15 km N of Belén, Nicaragua</t>
  </si>
  <si>
    <t>Belén,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</si>
  <si>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</si>
  <si>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</si>
  <si>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</si>
  <si>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</si>
  <si>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</si>
  <si>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</si>
  <si>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</si>
  <si>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</si>
  <si>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</si>
  <si>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16/03/2014 21:16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</si>
  <si>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</si>
  <si>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</si>
  <si>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</si>
  <si>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</si>
  <si>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</si>
  <si>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</si>
  <si>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18/02/2014 09:27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</si>
  <si>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</si>
  <si>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</si>
  <si>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</si>
  <si>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</si>
  <si>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</si>
  <si>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</si>
  <si>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</si>
  <si>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23/11/2013 07:48</t>
  </si>
  <si>
    <t>M 7.7 - Scotia Sea</t>
  </si>
  <si>
    <t>17/11/2013 09:04</t>
  </si>
  <si>
    <t>Scotia Sea</t>
  </si>
  <si>
    <t>M 6.9 - Scotia Sea</t>
  </si>
  <si>
    <t>16/11/2013 03:34</t>
  </si>
  <si>
    <t>M 6.6 - 41 km SSW of Coquimbo, Chile</t>
  </si>
  <si>
    <t>31/10/2013 23:03</t>
  </si>
  <si>
    <t>M 7.1 - off the east coast of Honshu, Japan</t>
  </si>
  <si>
    <t>25/10/2013 17:10</t>
  </si>
  <si>
    <t>off the east coast of Honshu, Japan</t>
  </si>
  <si>
    <t>M 6.6 - 98 km SW of Etchoropo, Mexico</t>
  </si>
  <si>
    <t>19/10/2013 17:54</t>
  </si>
  <si>
    <t>Etchoropo, Mexico</t>
  </si>
  <si>
    <t>M 6.8 - 62 km WSW of Panguna, Papua New Guinea</t>
  </si>
  <si>
    <t>16/10/2013 10:30</t>
  </si>
  <si>
    <t>M 7.1 - 4 km SE of Sagbayan, Philippines</t>
  </si>
  <si>
    <t>15/10/2013 00:12</t>
  </si>
  <si>
    <t>Sagbayan, Philippines</t>
  </si>
  <si>
    <t>M 6.6 - 36 km W of Kíssamos, Greece</t>
  </si>
  <si>
    <t>Kíssamos, Greece</t>
  </si>
  <si>
    <t>M 6.7 - Sea of Okhotsk</t>
  </si>
  <si>
    <t>Okhotsk</t>
  </si>
  <si>
    <t>30/09/2013 05:55</t>
  </si>
  <si>
    <t>M 6.8 - 129 km WSW of Khuzdar, Pakistan</t>
  </si>
  <si>
    <t>28/09/2013 07:34</t>
  </si>
  <si>
    <t>Khuzdar, Pakistan</t>
  </si>
  <si>
    <t>Pakistan</t>
  </si>
  <si>
    <t>M 7.1 - 16 km WSW of Atiquipa, Peru</t>
  </si>
  <si>
    <t>25/09/2013 16:42</t>
  </si>
  <si>
    <t>M 7.7 - 113 km NW of Bela, Pakistan</t>
  </si>
  <si>
    <t>24/09/2013 11:29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</si>
  <si>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</si>
  <si>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</si>
  <si>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</si>
  <si>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</si>
  <si>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</si>
  <si>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</si>
  <si>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</si>
  <si>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30/08/2013 16:25</t>
  </si>
  <si>
    <t>M 6.5 - 29 km SE of Blenheim, New Zealand</t>
  </si>
  <si>
    <t>16/08/2013 02:31</t>
  </si>
  <si>
    <t>M 6.7 - 101 km WSW of Bahía Solano, Colombia</t>
  </si>
  <si>
    <t>13/08/2013 15:43</t>
  </si>
  <si>
    <t>Bahía Solano, Colombia</t>
  </si>
  <si>
    <t>M 6.5 - 38 km ESE of Blenheim, New Zealand</t>
  </si>
  <si>
    <t>21/07/2013 05:09</t>
  </si>
  <si>
    <t>M 7.3 - South Sandwich Islands region</t>
  </si>
  <si>
    <t>15/07/2013 14:03</t>
  </si>
  <si>
    <t>M 6.6 - 26 km NE of Kandrian, Papua New Guinea</t>
  </si>
  <si>
    <t>M 7.3 - 190 km ENE of Kokopo, Papua New Guinea</t>
  </si>
  <si>
    <t>M 6.6 - northern Mid-Atlantic Ridge</t>
  </si>
  <si>
    <t>24/06/2013 22:04</t>
  </si>
  <si>
    <t>northern Mid-Atlantic Ridge</t>
  </si>
  <si>
    <t>M 6.5 - 44 km W of Masachapa, Nicaragua</t>
  </si>
  <si>
    <t>15/06/2013 17:34</t>
  </si>
  <si>
    <t>M 6.7 - south of Java, Indonesia</t>
  </si>
  <si>
    <t>13/06/2013 16:47</t>
  </si>
  <si>
    <t>Java, Indonesia</t>
  </si>
  <si>
    <t>24/05/2013 14:56</t>
  </si>
  <si>
    <t>M 8.3 - Sea of Okhotsk</t>
  </si>
  <si>
    <t>24/05/2013 05:44</t>
  </si>
  <si>
    <t>M 7.4 - 292 km SW of Vaini, Tonga</t>
  </si>
  <si>
    <t>23/05/2013 17:19</t>
  </si>
  <si>
    <t>Vaini, Tonga</t>
  </si>
  <si>
    <t>M 6.8 - Pagan region, Northern Mariana Islands</t>
  </si>
  <si>
    <t>14/05/2013 00:32</t>
  </si>
  <si>
    <t>M 6.5 - 33 km N of Rabaul, Papua New Guinea</t>
  </si>
  <si>
    <t>23/04/2013 23:14</t>
  </si>
  <si>
    <t>M 6.6 - 56 km WSW of Linqiong, China</t>
  </si>
  <si>
    <t>20/04/2013 00:02</t>
  </si>
  <si>
    <t>Linqiong, China</t>
  </si>
  <si>
    <t>M 7.2 - 252 km ENE of Kuril’sk, Russia</t>
  </si>
  <si>
    <t>19/04/2013 03:05</t>
  </si>
  <si>
    <t>M 6.6 - 23 km ESE of Aitape, Papua New Guinea</t>
  </si>
  <si>
    <t>16/04/2013 22:55</t>
  </si>
  <si>
    <t>Aitape, Papua New Guinea</t>
  </si>
  <si>
    <t>M 7.7 - 79 km ESE of Kh?sh, Iran</t>
  </si>
  <si>
    <t>16/04/2013 10:44</t>
  </si>
  <si>
    <t>Kh?sh, Iran</t>
  </si>
  <si>
    <t>M 6.6 - 98 km W of Panguna, Papua New Guinea</t>
  </si>
  <si>
    <t>14/04/2013 01:32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</si>
  <si>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</si>
  <si>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</si>
  <si>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</si>
  <si>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</si>
  <si>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28/02/2013 14:05</t>
  </si>
  <si>
    <t>M 6.6 - 183 km SW of Belaya Gora, Russia</t>
  </si>
  <si>
    <t>14/02/2013 13:13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</si>
  <si>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</si>
  <si>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</si>
  <si>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</si>
  <si>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</si>
  <si>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</si>
  <si>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</si>
  <si>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</si>
  <si>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</si>
  <si>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</si>
  <si>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</si>
  <si>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</si>
  <si>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</si>
  <si>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</si>
  <si>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30/01/2013 20:15</t>
  </si>
  <si>
    <t>M 7.5 - 110 km SW of Edna Bay, Alaska</t>
  </si>
  <si>
    <t>Edna Bay, Alaska</t>
  </si>
  <si>
    <t>M 6.7 - 59 km SSW of Sola, Vanuatu</t>
  </si>
  <si>
    <t>21/12/2012 22:28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</si>
  <si>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</si>
  <si>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</si>
  <si>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</si>
  <si>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</si>
  <si>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</si>
  <si>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</si>
  <si>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</si>
  <si>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</si>
  <si>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28/10/2012 03:04</t>
  </si>
  <si>
    <t>Prince Rupert, Canada</t>
  </si>
  <si>
    <t>Canada</t>
  </si>
  <si>
    <t>M 6.5 - Costa Rica</t>
  </si>
  <si>
    <t>24/10/2012 00:45</t>
  </si>
  <si>
    <t>M 6.6 - 163 km ENE of Tual, Indonesia</t>
  </si>
  <si>
    <t>Tual, Indonesia</t>
  </si>
  <si>
    <t>M 7.3 - 11 km WNW of San Agustín, Colombia</t>
  </si>
  <si>
    <t>30/09/2012 16:31</t>
  </si>
  <si>
    <t>San Agustín, Colombia</t>
  </si>
  <si>
    <t>M 7.6 - 11 km ENE of Hojancha, Costa Rica</t>
  </si>
  <si>
    <t>Hojancha, Costa Rica</t>
  </si>
  <si>
    <t>M 7.6 - 89 km E of Sulangan, Philippines</t>
  </si>
  <si>
    <t>31/08/2012 12:47</t>
  </si>
  <si>
    <t>Sulangan, Philippines</t>
  </si>
  <si>
    <t>M 7.3 - 126 km S of Puerto El Triunfo, El Salvador</t>
  </si>
  <si>
    <t>27/08/2012 04:37</t>
  </si>
  <si>
    <t>M 6.6 - 140 km WNW of Tobelo, Indonesia</t>
  </si>
  <si>
    <t>26/08/2012 15:05</t>
  </si>
  <si>
    <t>M 7.7 - 156 km ENE of Poronaysk, Russia</t>
  </si>
  <si>
    <t>14/08/2012 02:59</t>
  </si>
  <si>
    <t>Poronaysk, Russia</t>
  </si>
  <si>
    <t>M 6.5 - 105 km ESE of Kokopo, Papua New Guinea</t>
  </si>
  <si>
    <t>28/07/2012 20:03</t>
  </si>
  <si>
    <t>M 6.6 - 76 km W of Neiafu, Tonga</t>
  </si>
  <si>
    <t>28/04/2012 10:08</t>
  </si>
  <si>
    <t>M 6.7 - 86 km SSE of Manokwari, Indonesia</t>
  </si>
  <si>
    <t>21/04/2012 01:16</t>
  </si>
  <si>
    <t>Manokwari, Indonesia</t>
  </si>
  <si>
    <t>M 6.8 - 140 km N of Lae, Papua New Guinea</t>
  </si>
  <si>
    <t>17/04/2012 07:13</t>
  </si>
  <si>
    <t>Lae, Papua New Guinea</t>
  </si>
  <si>
    <t>M 6.7 - 22 km NW of Hacienda La Calera, Chile</t>
  </si>
  <si>
    <t>17/04/2012 03:50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</si>
  <si>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</si>
  <si>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</si>
  <si>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</si>
  <si>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</si>
  <si>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</si>
  <si>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</si>
  <si>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</si>
  <si>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</si>
  <si>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</si>
  <si>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Constitución, Chile</t>
  </si>
  <si>
    <t>25/03/2012 22:37</t>
  </si>
  <si>
    <t>M 6.6 - 11 km ENE of Kainantu, Papua New Guinea</t>
  </si>
  <si>
    <t>21/03/2012 22:15</t>
  </si>
  <si>
    <t>M 7.4 - 6 km E of Santiago Llano Grande, Mexico</t>
  </si>
  <si>
    <t>20/03/2012 18:02</t>
  </si>
  <si>
    <t>Santiago Llano Grande, Mexico</t>
  </si>
  <si>
    <t>M 6.7 - 38 km NE of Saryg-Sep, Russia</t>
  </si>
  <si>
    <t>26/02/2012 06:17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</si>
  <si>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</si>
  <si>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</si>
  <si>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</si>
  <si>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</si>
  <si>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</si>
  <si>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</si>
  <si>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27/12/2011 15:21</t>
  </si>
  <si>
    <t>M 7.1 - 25 km SSE of Wau, Papua New Guinea</t>
  </si>
  <si>
    <t>14/12/2011 05:04</t>
  </si>
  <si>
    <t>Wau, Papua New Guinea</t>
  </si>
  <si>
    <t>M 6.5 - 6 km SSW of Nuevo Balsas, Mexico</t>
  </si>
  <si>
    <t>Nuevo Balsas, Mexico</t>
  </si>
  <si>
    <t>M 6.9 - 39 km SW of Santiago, Peru</t>
  </si>
  <si>
    <t>28/10/2011 18:54</t>
  </si>
  <si>
    <t>Santiago, Peru</t>
  </si>
  <si>
    <t>M 7.1 - 27 km NNE of Van, Turkey</t>
  </si>
  <si>
    <t>23/10/2011 10:41</t>
  </si>
  <si>
    <t>Van, Turkey</t>
  </si>
  <si>
    <t>M 6.5 - 4 km ESE of Finschhafen, Papua New Guinea</t>
  </si>
  <si>
    <t>14/10/2011 03:35</t>
  </si>
  <si>
    <t>M 6.9 - 43 km NW of Mangan, India</t>
  </si>
  <si>
    <t>18/09/2011 12:40</t>
  </si>
  <si>
    <t>Mangan, India</t>
  </si>
  <si>
    <t>M 6.7 - 99 km NE of Miyako, Japan</t>
  </si>
  <si>
    <t>16/09/2011 19:26</t>
  </si>
  <si>
    <t>M 6.7 - 68 km WSW of Kabanjahe, Indonesia</t>
  </si>
  <si>
    <t>Kabanjahe, Indonesia</t>
  </si>
  <si>
    <t>M 7.0 - 133 km SSE of Isangel, Vanuatu</t>
  </si>
  <si>
    <t>M 7.0 - 64 km ESE of Contamana, Peru</t>
  </si>
  <si>
    <t>24/08/2011 17:46</t>
  </si>
  <si>
    <t>Contamana, Peru</t>
  </si>
  <si>
    <t>M 7.1 - 64 km S of Port-Vila, Vanuatu</t>
  </si>
  <si>
    <t>20/08/2011 18:19</t>
  </si>
  <si>
    <t>M 6.5 - 65 km SSW of Port-Vila, Vanuatu</t>
  </si>
  <si>
    <t>20/08/2011 17:13</t>
  </si>
  <si>
    <t>M 7.2 - 71 km SSW of Port-Vila, Vanuatu</t>
  </si>
  <si>
    <t>20/08/2011 16:55</t>
  </si>
  <si>
    <t>M 6.6 - 103 km NE of Angoram, Papua New Guinea</t>
  </si>
  <si>
    <t>31/07/2011 23:38</t>
  </si>
  <si>
    <t>M 7.6 - Kermadec Islands region</t>
  </si>
  <si>
    <t>M 6.7 - 41 km NNE of Miyako, Japan</t>
  </si>
  <si>
    <t>22/06/2011 21:50</t>
  </si>
  <si>
    <t>M 6.8 - 124 km NE of Wé, New Caledonia</t>
  </si>
  <si>
    <t>Wé, New Caledonia</t>
  </si>
  <si>
    <t>M 6.8 - 79 km W of Kirakira, Solomon Islands</t>
  </si>
  <si>
    <t>23/04/2011 04:16</t>
  </si>
  <si>
    <t>M 6.6 - 17 km SSW of Ishikawa, Japan</t>
  </si>
  <si>
    <t>Ishikawa, Japan</t>
  </si>
  <si>
    <t>M 7.1 - 29 km ESE of Ishinomaki, Japan</t>
  </si>
  <si>
    <t>M 6.6 - 7 km SW of Helio García Alfaro, Mexico</t>
  </si>
  <si>
    <t>Helio García Alfaro, Mexico</t>
  </si>
  <si>
    <t>M 6.9 - 27 km NNW of Tachilek, Myanmar</t>
  </si>
  <si>
    <t>24/03/2011 13:55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</si>
  <si>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</si>
  <si>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</si>
  <si>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</si>
  <si>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</si>
  <si>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</si>
  <si>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</si>
  <si>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</si>
  <si>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</si>
  <si>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</si>
  <si>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</si>
  <si>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</si>
  <si>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</si>
  <si>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</si>
  <si>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</si>
  <si>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Constitución, Chile</t>
  </si>
  <si>
    <t>14/02/2011 03:40</t>
  </si>
  <si>
    <t>M 6.9 - 21 km N of Tomé, Chile</t>
  </si>
  <si>
    <t>Tomé, Chile</t>
  </si>
  <si>
    <t>M 7.2 - 46 km WSW of Dalbandin, Pakistan</t>
  </si>
  <si>
    <t>18/01/2011 20:23</t>
  </si>
  <si>
    <t>Dalbandin, Pakistan</t>
  </si>
  <si>
    <t>M 7.0 - 118 km NNE of Tadine, New Caledonia</t>
  </si>
  <si>
    <t>13/01/2011 16:16</t>
  </si>
  <si>
    <t>M 7.2 - 42 km NNW of Carahue, Chile</t>
  </si>
  <si>
    <t>Carahue, Chile</t>
  </si>
  <si>
    <t>M 7.3 - 141 km W of Isangel, Vanuatu</t>
  </si>
  <si>
    <t>25/12/2010 13:16</t>
  </si>
  <si>
    <t>M 6.7 - 111 km SE of Bam, Iran</t>
  </si>
  <si>
    <t>20/12/2010 18:41</t>
  </si>
  <si>
    <t>Bam, Iran</t>
  </si>
  <si>
    <t>M 6.6 - 52 km ENE of Kandrian, Papua New Guinea</t>
  </si>
  <si>
    <t>M 7.8 - 215 km SW of Sungai Penuh, Indonesia</t>
  </si>
  <si>
    <t>25/10/2010 14:42</t>
  </si>
  <si>
    <t>M 6.7 - 97 km SSW of El Huitusi, Mexico</t>
  </si>
  <si>
    <t>21/10/2010 17:53</t>
  </si>
  <si>
    <t>El Huitusi, Mexico</t>
  </si>
  <si>
    <t>M 7.0 - Near the south coast of Papua, Indonesia</t>
  </si>
  <si>
    <t>29/09/2010 17:11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</si>
  <si>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</si>
  <si>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</si>
  <si>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</si>
  <si>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</si>
  <si>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</si>
  <si>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</si>
  <si>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</si>
  <si>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</si>
  <si>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</si>
  <si>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23/07/2010 22:51</t>
  </si>
  <si>
    <t>Bantogon, Philippines</t>
  </si>
  <si>
    <t>M 7.3 - New Britain region, Papua New Guinea</t>
  </si>
  <si>
    <t>18/07/2010 13:34</t>
  </si>
  <si>
    <t>New Britain region, Papua New Guinea</t>
  </si>
  <si>
    <t>M 6.9 - 56 km SE of Kimbe, Papua New Guinea</t>
  </si>
  <si>
    <t>18/07/2010 13:04</t>
  </si>
  <si>
    <t>M 6.6 - 30 km SSE of Cañete, Chile</t>
  </si>
  <si>
    <t>14/07/2010 08:32</t>
  </si>
  <si>
    <t>Cañete, Chile</t>
  </si>
  <si>
    <t>M 6.7 - 55 km WSW of Kirakira, Solomon Islands</t>
  </si>
  <si>
    <t>26/06/2010 05:30</t>
  </si>
  <si>
    <t>M 6.6 - 135 km SSE of Biak, Indonesia</t>
  </si>
  <si>
    <t>16/06/2010 03:58</t>
  </si>
  <si>
    <t>Biak, Indonesia</t>
  </si>
  <si>
    <t>M 7.0 - 121 km SSE of Biak, Indonesia</t>
  </si>
  <si>
    <t>16/06/2010 03:16</t>
  </si>
  <si>
    <t>M 7.5 - Nicobar Islands, India region</t>
  </si>
  <si>
    <t>M 7.2 - 100 km WNW of Sola, Vanuatu</t>
  </si>
  <si>
    <t>27/05/2010 17:14</t>
  </si>
  <si>
    <t>M 7.2 - 45 km SSW of Meulaboh, Indonesia</t>
  </si>
  <si>
    <t>Meulaboh, Indonesia</t>
  </si>
  <si>
    <t>M 6.9 - 233 km NNW of Qamdo, China</t>
  </si>
  <si>
    <t>13/04/2010 23:49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</si>
  <si>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</si>
  <si>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</si>
  <si>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</si>
  <si>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</si>
  <si>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</si>
  <si>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</si>
  <si>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30/03/2010 16:54</t>
  </si>
  <si>
    <t>Bamboo Flat, India</t>
  </si>
  <si>
    <t>M 6.7 - 52 km NNW of Tomé, Chile</t>
  </si>
  <si>
    <t>16/03/2010 02:21</t>
  </si>
  <si>
    <t>M 6.5 - 59 km ENE of Namie, Japan</t>
  </si>
  <si>
    <t>14/03/2010 08:08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</si>
  <si>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</si>
  <si>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</si>
  <si>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</si>
  <si>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</si>
  <si>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</si>
  <si>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</si>
  <si>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</si>
  <si>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</si>
  <si>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27/02/2010 08:01</t>
  </si>
  <si>
    <t>Lebu, Chile</t>
  </si>
  <si>
    <t>M 8.8 - 36 km WNW of Quirihue, Chile</t>
  </si>
  <si>
    <t>27/02/2010 06:34</t>
  </si>
  <si>
    <t>Quirihue, Chile</t>
  </si>
  <si>
    <t>M 7.0 - 70 km SE of Katsuren-haebaru, Japan</t>
  </si>
  <si>
    <t>26/02/2010 20:31</t>
  </si>
  <si>
    <t>Katsuren-haebaru, Japan</t>
  </si>
  <si>
    <t>M 7.0 - 10 km SE of Léogâne, Haiti</t>
  </si>
  <si>
    <t>Léogâne,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</si>
  <si>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</si>
  <si>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</si>
  <si>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</si>
  <si>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</si>
  <si>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</si>
  <si>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13/11/2009 03:05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</si>
  <si>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</si>
  <si>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</si>
  <si>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</si>
  <si>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</si>
  <si>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</si>
  <si>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30/10/2009 07:03</t>
  </si>
  <si>
    <t>M 6.9 - 268 km WSW of Tual, Indonesia</t>
  </si>
  <si>
    <t>24/10/2009 14:40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</si>
  <si>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</si>
  <si>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</si>
  <si>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</si>
  <si>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</si>
  <si>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</si>
  <si>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</si>
  <si>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30/09/2009 10:16</t>
  </si>
  <si>
    <t>M 8.1 - 168 km SSW of Matavai, Samoa</t>
  </si>
  <si>
    <t>29/09/2009 17:48</t>
  </si>
  <si>
    <t>Matavai, Samoa</t>
  </si>
  <si>
    <t>M 7.0 - 66 km SSW of Banjar, Indonesia</t>
  </si>
  <si>
    <t>Banjar, Indonesia</t>
  </si>
  <si>
    <t>M 6.7 - 112 km WSW of Padang, Indonesia</t>
  </si>
  <si>
    <t>16/08/2009 07:38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</si>
  <si>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</si>
  <si>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</si>
  <si>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</si>
  <si>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</si>
  <si>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</si>
  <si>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</si>
  <si>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Bahía de Kino, Mexico</t>
  </si>
  <si>
    <t>Bahía de Kino, Mexico</t>
  </si>
  <si>
    <t>M 7.8 - 97 km WSW of Te Anau, New Zealand</t>
  </si>
  <si>
    <t>15/07/2009 09:22</t>
  </si>
  <si>
    <t>Te Anau, New Zealand</t>
  </si>
  <si>
    <t>M 6.7 - 190 km ESE of Kokopo, Papua New Guinea</t>
  </si>
  <si>
    <t>23/06/2009 14:19</t>
  </si>
  <si>
    <t>M 7.3 - 46 km NW of Guanaja, Honduras</t>
  </si>
  <si>
    <t>28/05/2009 08:24</t>
  </si>
  <si>
    <t>Guanaja, Honduras</t>
  </si>
  <si>
    <t>M 7.6 - 191 km S of ‘Ohonua, Tonga</t>
  </si>
  <si>
    <t>19/03/2009 18:17</t>
  </si>
  <si>
    <t>‘Ohonua,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</si>
  <si>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</si>
  <si>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</si>
  <si>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</si>
  <si>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</si>
  <si>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</si>
  <si>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16/11/2008 17:02</t>
  </si>
  <si>
    <t>Gorontalo, Indonesia</t>
  </si>
  <si>
    <t>M 6.7 - 19 km SW of Brisas Barra de Suchiate, Mexico</t>
  </si>
  <si>
    <t>16/10/2008 19:41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</si>
  <si>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</si>
  <si>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</si>
  <si>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</si>
  <si>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</si>
  <si>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</si>
  <si>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</si>
  <si>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</si>
  <si>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</si>
  <si>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25/08/2008 13:21</t>
  </si>
  <si>
    <t>Jumla, Nepal</t>
  </si>
  <si>
    <t>M 6.8 - 29 km ENE of Morioka, Japan</t>
  </si>
  <si>
    <t>23/07/2008 15:26</t>
  </si>
  <si>
    <t>Morioka, Japan</t>
  </si>
  <si>
    <t>M 7.0 - 107 km E of Namie, Japan</t>
  </si>
  <si>
    <t>19/07/2008 02:39</t>
  </si>
  <si>
    <t>M 6.9 - 151 km E of Namie, Japan</t>
  </si>
  <si>
    <t>duputel</t>
  </si>
  <si>
    <t>M 6.6 - 124 km SW of Bamboo Flat, India</t>
  </si>
  <si>
    <t>27/06/2008 11:40</t>
  </si>
  <si>
    <t>M 6.9 - 24 km WSW of Mizusawa, Japan</t>
  </si>
  <si>
    <t>13/06/2008 23:43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</si>
  <si>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</si>
  <si>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</si>
  <si>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</si>
  <si>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</si>
  <si>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</si>
  <si>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</si>
  <si>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20/03/2008 22:32</t>
  </si>
  <si>
    <t>M 6.9 - Philippine Islands region</t>
  </si>
  <si>
    <t>Philippine Islands region</t>
  </si>
  <si>
    <t>M 6.7 - 155 km SSW of Padang, Indonesia</t>
  </si>
  <si>
    <t>25/02/2008 21:02</t>
  </si>
  <si>
    <t>M 6.6 - 161 km SSW of Padang, Indonesia</t>
  </si>
  <si>
    <t>25/02/2008 18:06</t>
  </si>
  <si>
    <t>M 7.2 - 164 km WSW of Sungai Penuh, Indonesia</t>
  </si>
  <si>
    <t>25/02/2008 08:36</t>
  </si>
  <si>
    <t>M 6.5 - 166 km WSW of Sungai Penuh, Indonesia</t>
  </si>
  <si>
    <t>24/02/2008 14:46</t>
  </si>
  <si>
    <t>M 7.4 - 56 km NW of Sinabang, Indonesia</t>
  </si>
  <si>
    <t>20/02/2008 08:08</t>
  </si>
  <si>
    <t>M 6.5 - 50 km S of Koróni, Greece</t>
  </si>
  <si>
    <t>14/02/2008 12:08</t>
  </si>
  <si>
    <t>Koróni, Greece</t>
  </si>
  <si>
    <t>M 6.9 - 35 km S of Methóni, Greece</t>
  </si>
  <si>
    <t>14/02/2008 10:09</t>
  </si>
  <si>
    <t>Methóni, Greece</t>
  </si>
  <si>
    <t>M 6.5 - 9 km SSW of General Pascual Fentes, Mexico</t>
  </si>
  <si>
    <t>General Pascual Fentes, Mexico</t>
  </si>
  <si>
    <t>M 6.6 - 46 km SSE of Gisborne, New Zealand</t>
  </si>
  <si>
    <t>20/12/2007 07:55</t>
  </si>
  <si>
    <t>M 6.7 - 80 km NNE of Antofagasta, Chile</t>
  </si>
  <si>
    <t>16/12/2007 08:09</t>
  </si>
  <si>
    <t>Ant</t>
  </si>
  <si>
    <t>M 7.4 - 18 km WNW of Basse-Pointe, Martinique</t>
  </si>
  <si>
    <t>29/11/2007 19:00</t>
  </si>
  <si>
    <t>Basse-Pointe, Martinique</t>
  </si>
  <si>
    <t>Martinique</t>
  </si>
  <si>
    <t>M 6.6 - 60 km SSE of Kirakira, Solomon Islands</t>
  </si>
  <si>
    <t>27/11/2007 11:49</t>
  </si>
  <si>
    <t>M 6.5 - 34 km N of Dompu, Indonesia</t>
  </si>
  <si>
    <t>25/11/2007 19:53</t>
  </si>
  <si>
    <t>Dompu, Indonesia</t>
  </si>
  <si>
    <t>M 6.5 - 28 km NNW of Dompu, Indonesia</t>
  </si>
  <si>
    <t>25/11/2007 16:02</t>
  </si>
  <si>
    <t>M 6.8 - 107 km N of Lae, Papua New Guinea</t>
  </si>
  <si>
    <t>22/11/2007 08:48</t>
  </si>
  <si>
    <t>M 6.8 - 30 km E of Macas, Ecuador</t>
  </si>
  <si>
    <t>16/11/2007 03:13</t>
  </si>
  <si>
    <t>Macas, Ecuador</t>
  </si>
  <si>
    <t>M 6.8 - 82 km NNE of Antofagasta, Chile</t>
  </si>
  <si>
    <t>15/11/2007 15:05</t>
  </si>
  <si>
    <t>M 7.7 - 36 km ESE of Tocopilla, Chile</t>
  </si>
  <si>
    <t>14/11/2007 15:40</t>
  </si>
  <si>
    <t>Tocopilla, Chile</t>
  </si>
  <si>
    <t>M 6.8 - 138 km W of Bengkulu, Indonesia</t>
  </si>
  <si>
    <t>24/10/2007 21:02</t>
  </si>
  <si>
    <t>M 6.8 - 70 km N of Te Anau, New Zealand</t>
  </si>
  <si>
    <t>15/10/2007 12:29</t>
  </si>
  <si>
    <t>M 6.8 - 154 km ESE of Kokopo, Papua New Guinea</t>
  </si>
  <si>
    <t>26/09/2007 12:36</t>
  </si>
  <si>
    <t>M 6.7 - 118 km SSW of Padang, Indonesia</t>
  </si>
  <si>
    <t>20/09/2007 08:31</t>
  </si>
  <si>
    <t>M 7.0 - 153 km SSW of Padang, Indonesia</t>
  </si>
  <si>
    <t>13/09/2007 03:35</t>
  </si>
  <si>
    <t>M 6.5 - Kepulauan Mentawai region, Indonesia</t>
  </si>
  <si>
    <t>13/09/2007 02:30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</si>
  <si>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</si>
  <si>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</si>
  <si>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</si>
  <si>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</si>
  <si>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Timbiquí, Colombia</t>
  </si>
  <si>
    <t>Timbiquí, Colombia</t>
  </si>
  <si>
    <t>M 7.2 - 97 km S of Lata, Solomon Islands</t>
  </si>
  <si>
    <t>M 6.5 - 31 km WSW of Malango, Solomon Islands</t>
  </si>
  <si>
    <t>16/08/2007 08:39</t>
  </si>
  <si>
    <t>M 8.0 - 41 km SW of San Vicente de Cañete, Peru</t>
  </si>
  <si>
    <t>15/08/2007 23:40</t>
  </si>
  <si>
    <t>San Vicente de Cañete,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</si>
  <si>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</si>
  <si>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</si>
  <si>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</si>
  <si>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</si>
  <si>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</si>
  <si>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26/07/2007 05:40</t>
  </si>
  <si>
    <t>M 6.8 - 133 km WNW of Mikuni, Japan</t>
  </si>
  <si>
    <t>16/07/2007 14:17</t>
  </si>
  <si>
    <t>Mikuni, Japan</t>
  </si>
  <si>
    <t>M 6.6 - 20 km NNW of Kashiwazaki, Japan</t>
  </si>
  <si>
    <t>16/07/2007 01:13</t>
  </si>
  <si>
    <t>Kashiwazaki, Japan</t>
  </si>
  <si>
    <t>M 6.7 - 43 km SSE of Iztapa, Guatemala</t>
  </si>
  <si>
    <t>13/06/2007 19:29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</si>
  <si>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</si>
  <si>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</si>
  <si>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</si>
  <si>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</si>
  <si>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</si>
  <si>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25/03/2007 00:41</t>
  </si>
  <si>
    <t>Nanao, Japan</t>
  </si>
  <si>
    <t>M 7.1 - 119 km S of Isangel, Vanuatu</t>
  </si>
  <si>
    <t>25/03/2007 00:40</t>
  </si>
  <si>
    <t>M 6.7 - 206 km SSW of Sofifi, Indonesia</t>
  </si>
  <si>
    <t>20/02/2007 08:04</t>
  </si>
  <si>
    <t>S</t>
  </si>
  <si>
    <t>M 7.5 - 126 km WNW of Ternate, Indonesia</t>
  </si>
  <si>
    <t>21/01/2007 11:27</t>
  </si>
  <si>
    <t>M 8.1 - east of the Kuril Islands</t>
  </si>
  <si>
    <t>13/01/2007 04:23</t>
  </si>
  <si>
    <t>the Kuril Islands</t>
  </si>
  <si>
    <t>M 6.9 - 26 km W of Hengchun, Taiwan</t>
  </si>
  <si>
    <t>26/12/2006 12:34</t>
  </si>
  <si>
    <t>Hengchun, Taiwan</t>
  </si>
  <si>
    <t>M 7.1 - 30 km SW of Hengchun, Taiwan</t>
  </si>
  <si>
    <t>26/12/2006 12:26</t>
  </si>
  <si>
    <t>M 8.3 - Kuril Islands</t>
  </si>
  <si>
    <t>15/11/2006 11:14</t>
  </si>
  <si>
    <t>Kuril Islands</t>
  </si>
  <si>
    <t>M 6.6 - 155 km SE of Kimbe, Papua New Guinea</t>
  </si>
  <si>
    <t>M 6.7 - 52 km SW of San Vicente de Cañete, Peru</t>
  </si>
  <si>
    <t>20/10/2006 10:48</t>
  </si>
  <si>
    <t>M 6.7 - 100 km ESE of Kimbe, Papua New Guinea</t>
  </si>
  <si>
    <t>17/10/2006 01:25</t>
  </si>
  <si>
    <t>M 6.7 - 14 km SW of Puako, Hawaii</t>
  </si>
  <si>
    <t>15/10/2006 17:07</t>
  </si>
  <si>
    <t>md</t>
  </si>
  <si>
    <t>Puako, Hawaii</t>
  </si>
  <si>
    <t>M 6.9 - 201 km ESE of Hihifo, Tonga</t>
  </si>
  <si>
    <t>28/09/2006 06:22</t>
  </si>
  <si>
    <t>M 6.8 - 49 km S of Panguna, Papua New Guinea</t>
  </si>
  <si>
    <t>M 6.5 - 81 km ESE of Ozernovskiy, Russia</t>
  </si>
  <si>
    <t>24/08/2006 21:50</t>
  </si>
  <si>
    <t>M 6.8 - 51 km NE of Norsup, Vanuatu</t>
  </si>
  <si>
    <t>M 7.7 - 226 km SSW of Singaparna, Indonesia</t>
  </si>
  <si>
    <t>17/07/2006 08:19</t>
  </si>
  <si>
    <t>Singaparna, Indonesia</t>
  </si>
  <si>
    <t>M 6.5 - 111 km E of Kimbe, Papua New Guinea</t>
  </si>
  <si>
    <t>28/05/2006 03:12</t>
  </si>
  <si>
    <t>M 6.6 - 42 km NNW of Tilichiki, Russia</t>
  </si>
  <si>
    <t>22/05/2006 11:12</t>
  </si>
  <si>
    <t>Tilichiki, Russia</t>
  </si>
  <si>
    <t>M 6.8 - 256 km SSW of Singkil, Indonesia</t>
  </si>
  <si>
    <t>16/05/2006 15:28</t>
  </si>
  <si>
    <t>Singkil, Indonesia</t>
  </si>
  <si>
    <t>M 8.0 - 47 km SSE of Pangai, Tonga</t>
  </si>
  <si>
    <t>M 8.0 - 50 km ESE of Pangai, Tonga</t>
  </si>
  <si>
    <t>M 6.5 - 73 km WNW of Copiapó, Chile</t>
  </si>
  <si>
    <t>30/04/2006 21:40</t>
  </si>
  <si>
    <t>Copiapó, Chile</t>
  </si>
  <si>
    <t>M 6.7 - 78 km WNW of Copiapó, Chile</t>
  </si>
  <si>
    <t>30/04/2006 19:17</t>
  </si>
  <si>
    <t>M 6.6 - 80 km E of Tilichiki, Russia</t>
  </si>
  <si>
    <t>29/04/2006 16:58</t>
  </si>
  <si>
    <t>M 7.6 - 80 km NE of Tilichiki, Russia</t>
  </si>
  <si>
    <t>20/04/2006 23:25</t>
  </si>
  <si>
    <t>M 6.5 - 130 km NNW of Lautoka, Fiji</t>
  </si>
  <si>
    <t>Lautoka, Fiji</t>
  </si>
  <si>
    <t>M 6.7 - 108 km W of Ambon, Indonesia</t>
  </si>
  <si>
    <t>14/03/2006 06:57</t>
  </si>
  <si>
    <t>Ambon, Indonesia</t>
  </si>
  <si>
    <t>M 7.0 - 160 km SE of Chipinge, Zimbabwe</t>
  </si>
  <si>
    <t>22/02/2006 22:19</t>
  </si>
  <si>
    <t>Chipinge, Zimbabwe</t>
  </si>
  <si>
    <t>Mozambique</t>
  </si>
  <si>
    <t>M 6.7 - 26 km NE of Kýthira, Greece</t>
  </si>
  <si>
    <t>Kýthira, Greece</t>
  </si>
  <si>
    <t>M 6.6 - 75 km SSW of Bahía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</si>
  <si>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</si>
  <si>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</si>
  <si>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</si>
  <si>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</si>
  <si>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</si>
  <si>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</si>
  <si>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19/11/2005 14:10</t>
  </si>
  <si>
    <t>M 6.8 - 68 km NNE of San Pedro de Atacama, Chile</t>
  </si>
  <si>
    <t>17/11/2005 19:26</t>
  </si>
  <si>
    <t>M 7.6 - 21 km NNE of Muzaffar?b?d, Pakistan</t>
  </si>
  <si>
    <t>Muzaffar?b?d, Pakistan</t>
  </si>
  <si>
    <t>M 6.6 - 129 km SSW of Kokopo, Papua New Guinea</t>
  </si>
  <si>
    <t>29/09/2005 15:50</t>
  </si>
  <si>
    <t>M 7.5 - 39 km NW of Yurimaguas, Peru</t>
  </si>
  <si>
    <t>26/09/2005 01:55</t>
  </si>
  <si>
    <t>Yurimaguas, Peru</t>
  </si>
  <si>
    <t>M 7.6 - 135 km E of Kokopo, Papua New Guinea</t>
  </si>
  <si>
    <t>M 7.2 - 66 km ESE of Ishinomaki, Japan</t>
  </si>
  <si>
    <t>16/08/2005 02:46</t>
  </si>
  <si>
    <t>M 7.2 - Nicobar Islands, India region</t>
  </si>
  <si>
    <t>24/07/2005 15:42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</si>
  <si>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</si>
  <si>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</si>
  <si>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</si>
  <si>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</si>
  <si>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15/06/2005 02:50</t>
  </si>
  <si>
    <t>Big Lagoon, California</t>
  </si>
  <si>
    <t>M 7.8 - 102 km ENE of Iquique, Chile</t>
  </si>
  <si>
    <t>13/06/2005 22:44</t>
  </si>
  <si>
    <t>M 6.9 - 89 km WSW of Singkil, Indonesia</t>
  </si>
  <si>
    <t>19/05/2005 01:54</t>
  </si>
  <si>
    <t>M 6.7 - 125 km SW of Padangsidempuan, Indonesia</t>
  </si>
  <si>
    <t>14/05/2005 05:05</t>
  </si>
  <si>
    <t>Padangsidempuan, Indonesia</t>
  </si>
  <si>
    <t>M 6.5 - 106 km SW of Padang, Indonesia</t>
  </si>
  <si>
    <t>M 6.7 - 113 km SW of Padang, Indonesia</t>
  </si>
  <si>
    <t>M 8.6 - 78 km WSW of Singkil, Indonesia</t>
  </si>
  <si>
    <t>28/03/2005 16:09</t>
  </si>
  <si>
    <t>M 6.6 - 28 km NNW of Maebaru-ch??, Japan</t>
  </si>
  <si>
    <t>20/03/2005 01:53</t>
  </si>
  <si>
    <t>Maebaru-ch??, Japan</t>
  </si>
  <si>
    <t>M 6.8 - 99 km WNW of Sinabang, Indonesia</t>
  </si>
  <si>
    <t>26/02/2005 12:56</t>
  </si>
  <si>
    <t>M 6.5 - 81 km SSW of Katabu, Indonesia</t>
  </si>
  <si>
    <t>19/02/2005 00:04</t>
  </si>
  <si>
    <t>M 6.5 - Pulau-Pulau Talaud, Indonesia</t>
  </si>
  <si>
    <t>15/02/2005 14:42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</si>
  <si>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</si>
  <si>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</si>
  <si>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</si>
  <si>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</si>
  <si>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</si>
  <si>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19/01/2005 06:11</t>
  </si>
  <si>
    <t>Katsuura, Japan</t>
  </si>
  <si>
    <t>26/12/2004 09:20</t>
  </si>
  <si>
    <t>M 7.2 - 284 km WNW of Sabang, Indonesia</t>
  </si>
  <si>
    <t>26/12/2004 04:21</t>
  </si>
  <si>
    <t>Sabang, Indonesia</t>
  </si>
  <si>
    <t>M 9.1 - 2004 Sumatra - Andaman Islands Earthquake</t>
  </si>
  <si>
    <t>26/12/2004 00:58</t>
  </si>
  <si>
    <t>2004 Sumatra - Andaman Islands Earthquake</t>
  </si>
  <si>
    <t>M 8.1 - north of Macquarie Island</t>
  </si>
  <si>
    <t>23/12/2004 14:59</t>
  </si>
  <si>
    <t>Macquarie Island</t>
  </si>
  <si>
    <t>M 6.8 - 36 km S of George Town, Cayman Islands</t>
  </si>
  <si>
    <t>14/12/2004 23:20</t>
  </si>
  <si>
    <t>George Town, Cayman Islands</t>
  </si>
  <si>
    <t>M 6.8 - 54 km SSW of Nemuro, Japan</t>
  </si>
  <si>
    <t>Nemuro, Japan</t>
  </si>
  <si>
    <t>M 7.0 - 51 km SW of Nemuro, Japan</t>
  </si>
  <si>
    <t>28/11/2004 18:32</t>
  </si>
  <si>
    <t>M 7.1 - 29 km SSW of Nabire, Indonesia</t>
  </si>
  <si>
    <t>26/11/2004 02:25</t>
  </si>
  <si>
    <t>Nabire, Indonesia</t>
  </si>
  <si>
    <t>M 7.1 - 255 km W of Riverton, New Zealand</t>
  </si>
  <si>
    <t>22/11/2004 20:26</t>
  </si>
  <si>
    <t>Riverton, New Zealand</t>
  </si>
  <si>
    <t>M 7.2 - 32 km SSW of Pizarro, Colombia</t>
  </si>
  <si>
    <t>15/11/2004 09:06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</si>
  <si>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</si>
  <si>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</si>
  <si>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</si>
  <si>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</si>
  <si>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</si>
  <si>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23/10/2004 08:56</t>
  </si>
  <si>
    <t>Ojiya, Japan</t>
  </si>
  <si>
    <t>M 6.7 - 31 km WNW of Yonakuni, Japan</t>
  </si>
  <si>
    <t>15/10/2004 04:08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</si>
  <si>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</si>
  <si>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</si>
  <si>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</si>
  <si>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</si>
  <si>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</si>
  <si>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</si>
  <si>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</si>
  <si>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</si>
  <si>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</si>
  <si>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</si>
  <si>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28/08/2004 13:41</t>
  </si>
  <si>
    <t>Teno, Chile</t>
  </si>
  <si>
    <t>M 6.5 - 117 km WNW of Manokwari, Indonesia</t>
  </si>
  <si>
    <t>28/07/2004 03:56</t>
  </si>
  <si>
    <t>M 6.9 - 24 km ENE of Atlasovo, Russia</t>
  </si>
  <si>
    <t>Atlasovo, Russia</t>
  </si>
  <si>
    <t>M 6.6 - 11 km N of Cañete, Chile</t>
  </si>
  <si>
    <t>M 6.7 - 105 km WNW of Naisano Dua, Indonesia</t>
  </si>
  <si>
    <t>23/04/2004 01:50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</si>
  <si>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</si>
  <si>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</si>
  <si>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</si>
  <si>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</si>
  <si>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</si>
  <si>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</si>
  <si>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</si>
  <si>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</si>
  <si>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28/01/2004 22:15</t>
  </si>
  <si>
    <t>M 7.3 - 201 km ESE of Tadine, New Caledonia</t>
  </si>
  <si>
    <t>27/12/2003 16:00</t>
  </si>
  <si>
    <t>M 6.6 - 13 km SSW of Bam, Iran</t>
  </si>
  <si>
    <t>26/12/2003 01:56</t>
  </si>
  <si>
    <t>M 6.5 - 3 km SSE of Progreso, Panama</t>
  </si>
  <si>
    <t>25/12/2003 07:11</t>
  </si>
  <si>
    <t>Progreso, Panama</t>
  </si>
  <si>
    <t>M 6.5 - 10 km NE of San Simeon, California</t>
  </si>
  <si>
    <t>22/12/2003 19:15</t>
  </si>
  <si>
    <t>San Simeon, California</t>
  </si>
  <si>
    <t>M 6.8 - 92 km E of Yujing, Taiwan</t>
  </si>
  <si>
    <t>M 6.6 - 82 km E of Kimbe, Papua New Guinea</t>
  </si>
  <si>
    <t>25/11/2003 20:19</t>
  </si>
  <si>
    <t>M 6.5 - 4 km NW of Can-Avid, Philippines</t>
  </si>
  <si>
    <t>18/11/2003 17:14</t>
  </si>
  <si>
    <t>Can-Avid, Philippines</t>
  </si>
  <si>
    <t>M 6.6 - 51 km NW of Isangel, Vanuatu</t>
  </si>
  <si>
    <t>M 7.0 - 133 km ESE of Ishinomaki, Japan</t>
  </si>
  <si>
    <t>31/10/2003 01:06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</si>
  <si>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</si>
  <si>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</si>
  <si>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</si>
  <si>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</si>
  <si>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</si>
  <si>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29/09/2003 02:36</t>
  </si>
  <si>
    <t>M 7.3 - 29 km S of Aktash, Russia</t>
  </si>
  <si>
    <t>27/09/2003 11:33</t>
  </si>
  <si>
    <t>M 7.4 - 119 km ESE of Shizunai-furukawach?, Japan</t>
  </si>
  <si>
    <t>25/09/2003 21:08</t>
  </si>
  <si>
    <t>M 8.2 - 134 km SSW of Kushiro, Japan</t>
  </si>
  <si>
    <t>25/09/2003 19:50</t>
  </si>
  <si>
    <t>M 6.6 - 16 km SE of Taungdwingyi, Myanmar</t>
  </si>
  <si>
    <t>21/09/2003 18:16</t>
  </si>
  <si>
    <t>Taungdwingyi, Myanmar</t>
  </si>
  <si>
    <t>M 7.2 - 56 km NW of Te Anau, New Zealand</t>
  </si>
  <si>
    <t>21/08/2003 12:12</t>
  </si>
  <si>
    <t>M 7.6 - Scotia Sea</t>
  </si>
  <si>
    <t>M 6.5 - 41 km N of Rabaul, Papua New Guinea</t>
  </si>
  <si>
    <t>15/07/2003 18:46</t>
  </si>
  <si>
    <t>M 6.8 - 42 km W of Ovalle, Chile</t>
  </si>
  <si>
    <t>20/06/2003 13:30</t>
  </si>
  <si>
    <t>M 6.9 - 25 km ESE of Atlasovo, Russia</t>
  </si>
  <si>
    <t>16/06/2003 22:08</t>
  </si>
  <si>
    <t>M 6.6 - 87 km SSE of Kokopo, Papua New Guinea</t>
  </si>
  <si>
    <t>M 7.0 - 116 km NE of Tobelo, Indonesia</t>
  </si>
  <si>
    <t>26/05/2003 19:23</t>
  </si>
  <si>
    <t>M 7.0 - 27 km SSW of ?funato, Japan</t>
  </si>
  <si>
    <t>26/05/2003 09:24</t>
  </si>
  <si>
    <t>M 6.8 - 25 km WNW of Dellys, Algeria</t>
  </si>
  <si>
    <t>21/05/2003 18:44</t>
  </si>
  <si>
    <t>Dellys, Algeria</t>
  </si>
  <si>
    <t>Algeria</t>
  </si>
  <si>
    <t>M 6.5 - 46 km NE of Ruteng, Indonesia</t>
  </si>
  <si>
    <t>25/03/2003 02:53</t>
  </si>
  <si>
    <t>Ruteng, Indonesia</t>
  </si>
  <si>
    <t>M 6.8 - 114 km ESE of Kokopo, Papua New Guinea</t>
  </si>
  <si>
    <t>M 7.6 - 16 km SSW of Cuyutlán, Mexico</t>
  </si>
  <si>
    <t>22/01/2003 02:06</t>
  </si>
  <si>
    <t>Cuyutlán, Mexico</t>
  </si>
  <si>
    <t>M 6.5 - 33 km S of Puerto San José, Guatemala</t>
  </si>
  <si>
    <t>21/01/2003 02:46</t>
  </si>
  <si>
    <t>M 7.3 - 126 km W of Kirakira, Solomon Islands</t>
  </si>
  <si>
    <t>20/01/2003 08:43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</si>
  <si>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</si>
  <si>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</si>
  <si>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</si>
  <si>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</si>
  <si>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</si>
  <si>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</si>
  <si>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</si>
  <si>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23/10/2002 11:27</t>
  </si>
  <si>
    <t>M 6.7 - 72 km S of Manokwari, Indonesia</t>
  </si>
  <si>
    <t>M 7.6 - 102 km SSE of Manokwari, Indonesia</t>
  </si>
  <si>
    <t>M 6.5 - 152 km NNE of Bamboo Flat, India</t>
  </si>
  <si>
    <t>13/09/2002 22:28</t>
  </si>
  <si>
    <t>M 7.6 - 68 km ESE of Aitape, Papua New Guinea</t>
  </si>
  <si>
    <t>M 6.5 - 114 km SSE of San Jose Village, Northern Mariana Islands</t>
  </si>
  <si>
    <t>14/08/2002 13:57</t>
  </si>
  <si>
    <t>San Jose Village, Northern Mariana Islands</t>
  </si>
  <si>
    <t>M 6.5 - 14 km SE of Punta de Burica, Panama</t>
  </si>
  <si>
    <t>31/07/2002 00:16</t>
  </si>
  <si>
    <t>M 6.5 - 59 km SSW of Abhar, Iran</t>
  </si>
  <si>
    <t>22/06/2002 02:58</t>
  </si>
  <si>
    <t>Abhar, Iran</t>
  </si>
  <si>
    <t>M 6.6 - 20 km SW of Monte Patria, Chile</t>
  </si>
  <si>
    <t>18/06/2002 13:56</t>
  </si>
  <si>
    <t>Monte Patria, Chile</t>
  </si>
  <si>
    <t>M 6.7 - 190 km NW of Sola, Vanuatu</t>
  </si>
  <si>
    <t>17/06/2002 21:26</t>
  </si>
  <si>
    <t>M 7.1 - 20 km SSW of Merizo Village, Guam</t>
  </si>
  <si>
    <t>26/04/2002 16:06</t>
  </si>
  <si>
    <t>Merizo Village, Guam</t>
  </si>
  <si>
    <t>M 6.7 - 31 km SW of Copiapó, Chile</t>
  </si>
  <si>
    <t>18/04/2002 16:08</t>
  </si>
  <si>
    <t>M 6.8 - 27 km SSW of Nuxco, Mexico</t>
  </si>
  <si>
    <t>18/04/2002 05:02</t>
  </si>
  <si>
    <t>Nuxco, Mexico</t>
  </si>
  <si>
    <t>M 7.1 - 67 km ENE of Hualien City, Taiwan</t>
  </si>
  <si>
    <t>31/03/2002 06:52</t>
  </si>
  <si>
    <t>M 6.5 - 107 km NE of Calama, Chile</t>
  </si>
  <si>
    <t>28/03/2002 04:56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</si>
  <si>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</si>
  <si>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</si>
  <si>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</si>
  <si>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</si>
  <si>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</si>
  <si>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</si>
  <si>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</si>
  <si>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</si>
  <si>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</si>
  <si>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</si>
  <si>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</si>
  <si>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23/12/2001 22:52</t>
  </si>
  <si>
    <t>M 6.8 - 62 km SSW of Yonakuni, Japan</t>
  </si>
  <si>
    <t>18/12/2001 04:02</t>
  </si>
  <si>
    <t>M 6.5 - 3 km NW of Hanamaki, Japan</t>
  </si>
  <si>
    <t>Hanamaki, Japan</t>
  </si>
  <si>
    <t>M 7.8 - Southern Qinghai, China</t>
  </si>
  <si>
    <t>14/11/2001 09:26</t>
  </si>
  <si>
    <t>M 7.0 - 40 km S of Kimbe, Papua New Guinea</t>
  </si>
  <si>
    <t>31/10/2001 09:10</t>
  </si>
  <si>
    <t>M 7.5 - 155 km E of Kendari, Indonesia</t>
  </si>
  <si>
    <t>19/10/2001 03:28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</si>
  <si>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</si>
  <si>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</si>
  <si>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</si>
  <si>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</si>
  <si>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</si>
  <si>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28/07/2001 07:32</t>
  </si>
  <si>
    <t>Kokhanok, Alaska</t>
  </si>
  <si>
    <t>M 6.5 - 32 km WNW of Skýros, Greece</t>
  </si>
  <si>
    <t>26/07/2001 00:21</t>
  </si>
  <si>
    <t>Skýros, Greece</t>
  </si>
  <si>
    <t>M 7.6 - 51 km SW of Punta de Bombón, Peru</t>
  </si>
  <si>
    <t>Punta de Bombón, Peru</t>
  </si>
  <si>
    <t>M 6.6 - 31 km S of Achanizo, Peru</t>
  </si>
  <si>
    <t>Achanizo, Peru</t>
  </si>
  <si>
    <t>M 6.7 - 34 km WSW of Pacocha, Peru</t>
  </si>
  <si>
    <t>26/06/2001 04:18</t>
  </si>
  <si>
    <t>Pacocha, Peru</t>
  </si>
  <si>
    <t>M 8.4 - 6 km SSW of Atico, Peru</t>
  </si>
  <si>
    <t>23/06/2001 20:33</t>
  </si>
  <si>
    <t>Atico, Peru</t>
  </si>
  <si>
    <t>M 6.7 - 128 km SSE of Panguna, Papua New Guinea</t>
  </si>
  <si>
    <t>19/04/2001 21:43</t>
  </si>
  <si>
    <t>M 6.8 - 16 km SSW of Kure, Japan</t>
  </si>
  <si>
    <t>24/03/2001 06:27</t>
  </si>
  <si>
    <t>Kure, Japan</t>
  </si>
  <si>
    <t>M 6.5 - 41 km SSW of Ambon, Indonesia</t>
  </si>
  <si>
    <t>19/03/2001 05:52</t>
  </si>
  <si>
    <t>M 6.8 - 7 km SSE of Longbranch, Washington</t>
  </si>
  <si>
    <t>28/02/2001 18:54</t>
  </si>
  <si>
    <t>uw</t>
  </si>
  <si>
    <t>Longbranch, Washington</t>
  </si>
  <si>
    <t>M 7.1 - 137 km WNW of Ternate, Indonesia</t>
  </si>
  <si>
    <t>24/02/2001 07:23</t>
  </si>
  <si>
    <t>M 7.4 - 102 km SSE of Bengkulu, Indonesia</t>
  </si>
  <si>
    <t>13/02/2001 19:28</t>
  </si>
  <si>
    <t>M 6.6 - 5 km S of Cojutepeque, El Salvador</t>
  </si>
  <si>
    <t>13/02/2001 14:22</t>
  </si>
  <si>
    <t>Cojutepeque, El Salvador</t>
  </si>
  <si>
    <t>El Salvador</t>
  </si>
  <si>
    <t>M 7.7 - 17 km NW of Bhach?u, India</t>
  </si>
  <si>
    <t>26/01/2001 03:16</t>
  </si>
  <si>
    <t>Bhach?u, India</t>
  </si>
  <si>
    <t>M 6.9 - 59 km WSW of Bengkulu, Indonesia</t>
  </si>
  <si>
    <t>16/01/2001 13:25</t>
  </si>
  <si>
    <t>M 7.7 - 28 km SSW of Puerto El Triunfo, El Salvador</t>
  </si>
  <si>
    <t>13/01/2001 17:33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</si>
  <si>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</si>
  <si>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</si>
  <si>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</si>
  <si>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</si>
  <si>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</si>
  <si>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</si>
  <si>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</si>
  <si>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</si>
  <si>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</si>
  <si>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</si>
  <si>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</si>
  <si>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25/11/2000 18:10</t>
  </si>
  <si>
    <t>Badamdar, Azerbaijan</t>
  </si>
  <si>
    <t>Azerbaijan</t>
  </si>
  <si>
    <t>M 6.8 - 15 km SSE of Baku, Azerbaijan</t>
  </si>
  <si>
    <t>25/11/2000 18:09</t>
  </si>
  <si>
    <t>Baku, Azerbaijan</t>
  </si>
  <si>
    <t>M 6.8 - 112 km SSW of Kokopo, Papua New Guinea</t>
  </si>
  <si>
    <t>18/11/2000 06:54</t>
  </si>
  <si>
    <t>M 6.6 - 131 km SE of Kokopo, Papua New Guinea</t>
  </si>
  <si>
    <t>18/11/2000 02:05</t>
  </si>
  <si>
    <t>M 7.8 - 138 km SSW of Kokopo, Papua New Guinea</t>
  </si>
  <si>
    <t>17/11/2000 21:01</t>
  </si>
  <si>
    <t>M 6.5 - 118 km ESE of Kokopo, Papua New Guinea</t>
  </si>
  <si>
    <t>16/11/2000 07:45</t>
  </si>
  <si>
    <t>M 7.8 - 135 km SE of Kokopo, Papua New Guinea</t>
  </si>
  <si>
    <t>16/11/2000 07:42</t>
  </si>
  <si>
    <t>M 8.0 - 24 km N of Rabaul, Papua New Guinea</t>
  </si>
  <si>
    <t>16/11/2000 04:54</t>
  </si>
  <si>
    <t>M 6.5 - 10 km SW of Juradó, Colombia</t>
  </si>
  <si>
    <t>Juradó, Colombia</t>
  </si>
  <si>
    <t>M 7.0 - 191 km ESE of Kokopo, Papua New Guinea</t>
  </si>
  <si>
    <t>29/10/2000 08:37</t>
  </si>
  <si>
    <t>M 6.8 - 29 km SW of Labuan, Indonesia</t>
  </si>
  <si>
    <t>25/10/2000 09:32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</si>
  <si>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</si>
  <si>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</si>
  <si>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</si>
  <si>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</si>
  <si>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</si>
  <si>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</si>
  <si>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28/08/2000 15:05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</si>
  <si>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</si>
  <si>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</si>
  <si>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</si>
  <si>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</si>
  <si>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</si>
  <si>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30/07/2000 12:25</t>
  </si>
  <si>
    <t>Shimoda, Japan</t>
  </si>
  <si>
    <t>M 6.6 - 227 km SE of Kandrian, Papua New Guinea</t>
  </si>
  <si>
    <t>16/07/2000 03:57</t>
  </si>
  <si>
    <t>M 6.5 - 24 km SSW of Larsen Bay, Alaska</t>
  </si>
  <si>
    <t>Larsen Bay, Alaska</t>
  </si>
  <si>
    <t>M 6.5 - 12 km ENE of Selfoss, Iceland</t>
  </si>
  <si>
    <t>21/06/2000 00:51</t>
  </si>
  <si>
    <t>Selfoss, Iceland</t>
  </si>
  <si>
    <t>Iceland</t>
  </si>
  <si>
    <t>M 7.9 - South Indian Ocean</t>
  </si>
  <si>
    <t>18/06/2000 14:44</t>
  </si>
  <si>
    <t>South Indian Ocean</t>
  </si>
  <si>
    <t>M 6.5 - 25 km E of Selfoss, Iceland</t>
  </si>
  <si>
    <t>17/06/2000 15:40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</si>
  <si>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</si>
  <si>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</si>
  <si>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</si>
  <si>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</si>
  <si>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</si>
  <si>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</si>
  <si>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</si>
  <si>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</si>
  <si>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</si>
  <si>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28/01/2000 14:21</t>
  </si>
  <si>
    <t>Shikotan, Russia</t>
  </si>
  <si>
    <t>M 7.2 - 117 km SSW of Hihifo, Tonga</t>
  </si>
  <si>
    <t>M 6.9 - 50 km WSW of Lata, Solomon Islands</t>
  </si>
  <si>
    <t>29/12/1999 13:29</t>
  </si>
  <si>
    <t>M 6.5 - 59 km SSW of Labuan, Indonesia</t>
  </si>
  <si>
    <t>21/12/1999 14:14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</si>
  <si>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</si>
  <si>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</si>
  <si>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</si>
  <si>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</si>
  <si>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</si>
  <si>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30/11/1999 04:01</t>
  </si>
  <si>
    <t>Arica, Chile</t>
  </si>
  <si>
    <t>M 7.5 - 92 km ESE of Lakatoro, Vanuatu</t>
  </si>
  <si>
    <t>26/11/1999 13:21</t>
  </si>
  <si>
    <t>M 7.0 - 88 km W of Kandrian, Papua New Guinea</t>
  </si>
  <si>
    <t>19/11/1999 13:56</t>
  </si>
  <si>
    <t>M 6.9 - 84 km WNW of Kandrian, Papua New Guinea</t>
  </si>
  <si>
    <t>17/11/1999 03:27</t>
  </si>
  <si>
    <t>M 7.2 - 8 km S of Düzce, Turkey</t>
  </si>
  <si>
    <t>Düzce, Turkey</t>
  </si>
  <si>
    <t>M 6.5 - 31 km SW of Ashk?sham, Afghanistan</t>
  </si>
  <si>
    <t>M 7.1 - Hector Mine, CA Earthquake</t>
  </si>
  <si>
    <t>16/10/1999 09:46</t>
  </si>
  <si>
    <t>Hector Mine, CA Earthquake</t>
  </si>
  <si>
    <t>M 7.5 - 15 km W of San Baltazar Loxicha, Mexico</t>
  </si>
  <si>
    <t>30/09/1999 16:31</t>
  </si>
  <si>
    <t>San Baltazar Loxicha, Mexico</t>
  </si>
  <si>
    <t>M 6.5 - 31 km SE of Puli, Taiwan</t>
  </si>
  <si>
    <t>25/09/1999 23:52</t>
  </si>
  <si>
    <t>Puli, Taiwan</t>
  </si>
  <si>
    <t>M 7.7 - 21 km S of Puli, Taiwan</t>
  </si>
  <si>
    <t>20/09/1999 17:47</t>
  </si>
  <si>
    <t>M 6.6 - 66 km E of Lakatoro, Vanuatu</t>
  </si>
  <si>
    <t>22/08/1999 12:40</t>
  </si>
  <si>
    <t>M 6.9 - 42 km S of Quepos, Costa Rica</t>
  </si>
  <si>
    <t>20/08/1999 10:02</t>
  </si>
  <si>
    <t>Quepos, Costa Rica</t>
  </si>
  <si>
    <t>M 7.6 - 4 km ESE of Derince, Turkey</t>
  </si>
  <si>
    <t>17/08/1999 00:01</t>
  </si>
  <si>
    <t>Derince, Turkey</t>
  </si>
  <si>
    <t>M 6.7 - 16 km N of Potrerillos, Honduras</t>
  </si>
  <si>
    <t>Potrerillos, Honduras</t>
  </si>
  <si>
    <t>M 7.0 - 1 km SE of Texcala, Mexico</t>
  </si>
  <si>
    <t>15/06/1999 20:42</t>
  </si>
  <si>
    <t>Texcala, Mexico</t>
  </si>
  <si>
    <t>M 6.6 - 113 km SE of Kokopo, Papua New Guinea</t>
  </si>
  <si>
    <t>17/05/1999 10:07</t>
  </si>
  <si>
    <t>M 7.1 - 51 km SSE of Kokopo, Papua New Guinea</t>
  </si>
  <si>
    <t>16/05/1999 00:51</t>
  </si>
  <si>
    <t>M 7.1 - 92 km ENE of Kimbe, Papua New Guinea</t>
  </si>
  <si>
    <t>M 6.8 - 132 km WSW of Haveluloto, Tonga</t>
  </si>
  <si>
    <t>13/04/1999 10:38</t>
  </si>
  <si>
    <t>M 7.4 - 63 km W of Kimbe, Papua New Guinea</t>
  </si>
  <si>
    <t>M 6.8 - 6 km SE of Camaná, Peru</t>
  </si>
  <si>
    <t>Camaná, Peru</t>
  </si>
  <si>
    <t>M 6.6 - 9 km NNW of P?palkoti, India</t>
  </si>
  <si>
    <t>28/03/1999 19:05</t>
  </si>
  <si>
    <t>P?palkoti, India</t>
  </si>
  <si>
    <t>M 6.9 - 78 km WSW of Adak, Alaska</t>
  </si>
  <si>
    <t>20/03/1999 10:47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</si>
  <si>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</si>
  <si>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</si>
  <si>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</si>
  <si>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</si>
  <si>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</si>
  <si>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</si>
  <si>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</si>
  <si>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28/01/1999 08:10</t>
  </si>
  <si>
    <t>M 7.0 - 110 km ESE of Kokopo, Papua New Guinea</t>
  </si>
  <si>
    <t>19/01/1999 03:35</t>
  </si>
  <si>
    <t>M 6.8 - 131 km WSW of Haveluloto, Tonga</t>
  </si>
  <si>
    <t>27/12/1998 00:38</t>
  </si>
  <si>
    <t>M 7.7 - 264 km ESE of Luwuk, Indonesia</t>
  </si>
  <si>
    <t>29/11/1998 14:10</t>
  </si>
  <si>
    <t>M 7.0 - 278 km NE of Lospalos, Timor Leste</t>
  </si>
  <si>
    <t>M 6.7 - 282 km NE of Lospalos, Timor Leste</t>
  </si>
  <si>
    <t>M 6.6 - 8 km WSW of Sumberpucung, Indonesia</t>
  </si>
  <si>
    <t>28/09/1998 13:34</t>
  </si>
  <si>
    <t>Sumberpucung, Indonesia</t>
  </si>
  <si>
    <t>M 6.6 - 66 km NNW of Coquimbo, Chile</t>
  </si>
  <si>
    <t>M 6.8 - 123 km SSE of Pondaguitan, Philippines</t>
  </si>
  <si>
    <t>M 7.2 - 3 km E of Bahía de Caráquez, Ecuador</t>
  </si>
  <si>
    <t>Bahía de Caráquez, Ecuador</t>
  </si>
  <si>
    <t>M 6.7 - 192 km W of Abepura, Indonesia</t>
  </si>
  <si>
    <t>29/07/1998 18:00</t>
  </si>
  <si>
    <t>M 7.0 - 50 km WNW of Aitape, Papua New Guinea</t>
  </si>
  <si>
    <t>17/07/1998 08:49</t>
  </si>
  <si>
    <t>M 7.0 - 52 km SE of Lata, Solomon Islands</t>
  </si>
  <si>
    <t>16/07/1998 11:56</t>
  </si>
  <si>
    <t>M 6.6 - 24 km E of Rust?q, Afghanistan</t>
  </si>
  <si>
    <t>30/05/1998 06:22</t>
  </si>
  <si>
    <t>Rust?q, Afghanistan</t>
  </si>
  <si>
    <t>M 6.6 - 25 km NNW of Mizque, Bolivia</t>
  </si>
  <si>
    <t>22/05/1998 04:48</t>
  </si>
  <si>
    <t>Mizque, Bolivia</t>
  </si>
  <si>
    <t>M 6.7 - 127 km NNW of Palu, Indonesia</t>
  </si>
  <si>
    <t>21/05/1998 05:34</t>
  </si>
  <si>
    <t>M 6.6 - 108 km SW of Kokopo, Papua New Guinea</t>
  </si>
  <si>
    <t>13/05/1998 23:02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</si>
  <si>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</si>
  <si>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</si>
  <si>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</si>
  <si>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</si>
  <si>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</si>
  <si>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</si>
  <si>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14/03/1998 19:40</t>
  </si>
  <si>
    <t>Kerman, Iran</t>
  </si>
  <si>
    <t>M 7.1 - 34 km SSE of Antofagasta, Chile</t>
  </si>
  <si>
    <t>30/01/1998 12:16</t>
  </si>
  <si>
    <t>M 6.7 - 149 km ENE of Labasa, Fiji</t>
  </si>
  <si>
    <t>Labasa, Fiji</t>
  </si>
  <si>
    <t>M 6.6 - 47 km SSW of Ovalle, Chile</t>
  </si>
  <si>
    <t>M 6.6 - 10 km SSW of San José El Ídolo, Guatemala</t>
  </si>
  <si>
    <t>San José El Ídolo, Guatemala</t>
  </si>
  <si>
    <t>M 7.2 - 117 km N of Finschhafen, Papua New Guinea</t>
  </si>
  <si>
    <t>22/12/1997 02:05</t>
  </si>
  <si>
    <t>M 7.8 - 156 km S of Ust’-Kamchatsk Staryy, Russia</t>
  </si>
  <si>
    <t>M 7.0 - 97 km NW of Gorontalo, Indonesia</t>
  </si>
  <si>
    <t>25/11/1997 12:14</t>
  </si>
  <si>
    <t>M 6.6 - 22 km SW of Lithakiá, Greece</t>
  </si>
  <si>
    <t>18/11/1997 13:07</t>
  </si>
  <si>
    <t>M 7.0 - 34 km ESE of Port-Olry, Vanuatu</t>
  </si>
  <si>
    <t>15/11/1997 18:59</t>
  </si>
  <si>
    <t>M 6.5 - 13 km NNE of San Sebastián, El Salvador</t>
  </si>
  <si>
    <t>San Sebastián, El Salvador</t>
  </si>
  <si>
    <t>M 7.5 - western Xizang</t>
  </si>
  <si>
    <t>western Xizang</t>
  </si>
  <si>
    <t>M 7.2 - 51 km N of Barranca, Peru</t>
  </si>
  <si>
    <t>28/10/1997 06:15</t>
  </si>
  <si>
    <t>M 7.1 - 36 km SW of Monte Patria, Chile</t>
  </si>
  <si>
    <t>15/10/1997 01:03</t>
  </si>
  <si>
    <t>M 7.8 - 192 km WSW of Haveluloto, Tonga</t>
  </si>
  <si>
    <t>14/10/1997 09:53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</si>
  <si>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</si>
  <si>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</si>
  <si>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</si>
  <si>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</si>
  <si>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29/08/1997 08:14</t>
  </si>
  <si>
    <t>M 6.9 - 4 km ENE of El Ciruelo, Mexico</t>
  </si>
  <si>
    <t>19/07/1997 14:22</t>
  </si>
  <si>
    <t>El Ciruelo, Mexico</t>
  </si>
  <si>
    <t>M 7.0 - 26 km WSW of Carúpano, Venezuela</t>
  </si>
  <si>
    <t>M 6.8 - 52 km WSW of Coquimbo, Chile</t>
  </si>
  <si>
    <t>M 6.5 - 5 km ENE of Churumuco de Morelos, Mexico</t>
  </si>
  <si>
    <t>22/05/1997 07:50</t>
  </si>
  <si>
    <t>Churumuco de Morelos, Mexico</t>
  </si>
  <si>
    <t>M 6.8 - 99 km S of Isangel, Vanuatu</t>
  </si>
  <si>
    <t>21/05/1997 14:10</t>
  </si>
  <si>
    <t>M 6.5 - 51 km S of Jurm, Afghanistan</t>
  </si>
  <si>
    <t>13/05/1997 14:13</t>
  </si>
  <si>
    <t>M 7.3 - 58 km E of Q?’en, Iran</t>
  </si>
  <si>
    <t>Q?’en, Iran</t>
  </si>
  <si>
    <t>M 6.5 - 49 km N of Yigo Village, Guam</t>
  </si>
  <si>
    <t>23/04/1997 19:44</t>
  </si>
  <si>
    <t>Yigo Village, Guam</t>
  </si>
  <si>
    <t>M 6.7 - 18 km WSW of Scarborough, Trinidad and Tobago</t>
  </si>
  <si>
    <t>22/04/1997 09:31</t>
  </si>
  <si>
    <t>Scarborough, Trinidad and Tobago</t>
  </si>
  <si>
    <t>Trinidad and Tobago</t>
  </si>
  <si>
    <t>M 7.7 - 171 km NNW of Sola, Vanuatu</t>
  </si>
  <si>
    <t>21/04/1997 12:02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</si>
  <si>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</si>
  <si>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</si>
  <si>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</si>
  <si>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</si>
  <si>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27/02/1997 21:08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</si>
  <si>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</si>
  <si>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</si>
  <si>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</si>
  <si>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</si>
  <si>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</si>
  <si>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22/12/1996 14:53</t>
  </si>
  <si>
    <t>Iwanai, Japan</t>
  </si>
  <si>
    <t>M 6.7 - 17 km SW of Miyazaki, Japan</t>
  </si>
  <si>
    <t>Miyazaki, Japan</t>
  </si>
  <si>
    <t>M 6.9 - 130 km ENE of Thang, India</t>
  </si>
  <si>
    <t>19/11/1996 10:44</t>
  </si>
  <si>
    <t>Thang, India</t>
  </si>
  <si>
    <t>M 7.7 - 60 km SW of Changuillo, Peru</t>
  </si>
  <si>
    <t>Changuillo, Peru</t>
  </si>
  <si>
    <t>M 6.7 - 5 km SE of Miyazaki, Japan</t>
  </si>
  <si>
    <t>19/10/1996 14:44</t>
  </si>
  <si>
    <t>M 6.6 - 20 km SSE of Nishinoomote, Japan</t>
  </si>
  <si>
    <t>18/10/1996 10:50</t>
  </si>
  <si>
    <t>Nishinoomote, Japan</t>
  </si>
  <si>
    <t>M 6.8 - 90 km S of Panguna, Papua New Guinea</t>
  </si>
  <si>
    <t>14/10/1996 23:26</t>
  </si>
  <si>
    <t>M 6.8 - 36 km SW of Paphos, Cyprus</t>
  </si>
  <si>
    <t>Paphos, Cyprus</t>
  </si>
  <si>
    <t>M 6.6 - 24 km NE of Cortes, Philippines</t>
  </si>
  <si>
    <t>20/09/1996 04:11</t>
  </si>
  <si>
    <t>Cortes, Philippines</t>
  </si>
  <si>
    <t>M 6.6 - 22 km NNE of Cortes, Philippines</t>
  </si>
  <si>
    <t>20/09/1996 04:10</t>
  </si>
  <si>
    <t>M 6.8 - 78 km E of Hengchun, Taiwan</t>
  </si>
  <si>
    <t>M 6.9 - 62 km WSW of Kirakira, Solomon Islands</t>
  </si>
  <si>
    <t>M 7.0 - 220 km NNE of Palu, Indonesia</t>
  </si>
  <si>
    <t>22/07/1996 14:19</t>
  </si>
  <si>
    <t>M 6.6 - 217 km NNE of Palu, Indonesia</t>
  </si>
  <si>
    <t>16/07/1996 10:07</t>
  </si>
  <si>
    <t>M 6.8 - 26 km NNE of Coyuquilla Norte, Mexico</t>
  </si>
  <si>
    <t>15/07/1996 21:23</t>
  </si>
  <si>
    <t>M 7.9 - 169 km NNE of Maumere, Indonesia</t>
  </si>
  <si>
    <t>17/06/1996 11:22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</si>
  <si>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</si>
  <si>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</si>
  <si>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</si>
  <si>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</si>
  <si>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</si>
  <si>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</si>
  <si>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29/04/1996 14:40</t>
  </si>
  <si>
    <t>M 6.6 - 44 km SE of Antofagasta, Chile</t>
  </si>
  <si>
    <t>19/04/1996 00:19</t>
  </si>
  <si>
    <t>M 6.7 - 44 km NNE of Port-Olry, Vanuatu</t>
  </si>
  <si>
    <t>17/03/1996 14:48</t>
  </si>
  <si>
    <t>M 6.7 - 30 km WSW of Villa El Carmen, Nicaragua</t>
  </si>
  <si>
    <t>Villa El Carmen, Nicaragua</t>
  </si>
  <si>
    <t>M 6.6 - 39 km WSW of Masachapa, Nicaragua</t>
  </si>
  <si>
    <t>M 7.1 - 24 km SSW of Santa María Chico Ometepec, Mexico</t>
  </si>
  <si>
    <t>25/02/1996 03:08</t>
  </si>
  <si>
    <t>Santa María Chico Ometepec, Mexico</t>
  </si>
  <si>
    <t>M 7.5 - 123 km WSW of Puerto Santa, Peru</t>
  </si>
  <si>
    <t>21/02/1996 12:51</t>
  </si>
  <si>
    <t>Puerto Santa, Peru</t>
  </si>
  <si>
    <t>M 6.5 - 32 km NNE of Biak, Indonesia</t>
  </si>
  <si>
    <t>17/02/1996 20:18</t>
  </si>
  <si>
    <t>M 6.5 - 67 km NNW of Insrom, Indonesia</t>
  </si>
  <si>
    <t>17/02/1996 14:21</t>
  </si>
  <si>
    <t>Insrom, Indonesia</t>
  </si>
  <si>
    <t>M 8.1 - 101 km ENE of Biak, Indonesia</t>
  </si>
  <si>
    <t>17/02/1996 05:59</t>
  </si>
  <si>
    <t>M 6.7 - 123 km E of Namie, Japan</t>
  </si>
  <si>
    <t>16/02/1996 15:22</t>
  </si>
  <si>
    <t>M 7.2 - 158 km E of Kuril’sk,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</si>
  <si>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</si>
  <si>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</si>
  <si>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</si>
  <si>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</si>
  <si>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</si>
  <si>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</si>
  <si>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25/12/1995 04:43</t>
  </si>
  <si>
    <t>M 6.5 - 130 km SSW of Abepura, Indonesia</t>
  </si>
  <si>
    <t>19/12/1995 23:28</t>
  </si>
  <si>
    <t>M 7.9 - 128 km ESE of Kuril’sk, Russia</t>
  </si>
  <si>
    <t>M 7.2 - 27 km SSE of Nuwaybi‘a, Egypt</t>
  </si>
  <si>
    <t>22/11/1995 04:15</t>
  </si>
  <si>
    <t>Nuwaybi‘a, Egypt</t>
  </si>
  <si>
    <t>Saudi Arabia</t>
  </si>
  <si>
    <t>M 6.7 - 73 km WSW of Vallenar, Chile</t>
  </si>
  <si>
    <t>M 7.2 - 13 km NW of Ocozocoautla de Espinosa, Mexico</t>
  </si>
  <si>
    <t>21/10/1995 02:38</t>
  </si>
  <si>
    <t>Ocozocoautla de Espinosa, Mexico</t>
  </si>
  <si>
    <t>M 6.8 - 71 km ESE of Naze, Japan</t>
  </si>
  <si>
    <t>19/10/1995 02:41</t>
  </si>
  <si>
    <t>M 7.1 - 83 km SE of Naze, Japan</t>
  </si>
  <si>
    <t>18/10/1995 10:37</t>
  </si>
  <si>
    <t>M 8.0 - 5 km E of El Colomo, Mexico</t>
  </si>
  <si>
    <t>El Colomo, Mexico</t>
  </si>
  <si>
    <t>M 6.8 - 5 km ENE of Sungai Penuh, Indonesia</t>
  </si>
  <si>
    <t>M 6.5 - 50 km SE of Sucúa, Ecuador</t>
  </si>
  <si>
    <t>Sucúa, Ecuador</t>
  </si>
  <si>
    <t>M 7.0 - 45 km SE of Sucúa, Ecuador</t>
  </si>
  <si>
    <t>M 6.5 - 81 km W of Paramonga, Peru</t>
  </si>
  <si>
    <t>23/09/1995 22:31</t>
  </si>
  <si>
    <t>Paramonga, Peru</t>
  </si>
  <si>
    <t>M 7.4 - 5 km N of Azoyú, Mexico</t>
  </si>
  <si>
    <t>14/09/1995 14:04</t>
  </si>
  <si>
    <t>Azoyú, Mexico</t>
  </si>
  <si>
    <t>M 6.6 - 95 km SW of Etchoropo, Mexico</t>
  </si>
  <si>
    <t>28/08/1995 10:46</t>
  </si>
  <si>
    <t>M 6.6 - 7 km WSW of Neira, Colombia</t>
  </si>
  <si>
    <t>19/08/1995 21:43</t>
  </si>
  <si>
    <t>Neira, Colombia</t>
  </si>
  <si>
    <t>M 7.2 - 139 km WNW of Panguna, Papua New Guinea</t>
  </si>
  <si>
    <t>16/08/1995 23:10</t>
  </si>
  <si>
    <t>M 6.6 - 205 km SE of Kokopo, Papua New Guinea</t>
  </si>
  <si>
    <t>16/08/1995 16:24</t>
  </si>
  <si>
    <t>M 7.7 - 155 km WNW of Panguna, Papua New Guinea</t>
  </si>
  <si>
    <t>16/08/1995 10:27</t>
  </si>
  <si>
    <t>M 6.7 - 99 km WSW of Kokopo, Papua New Guinea</t>
  </si>
  <si>
    <t>14/08/1995 04:37</t>
  </si>
  <si>
    <t>M 8.0 - 36 km NNE of Antofagasta, Chile</t>
  </si>
  <si>
    <t>30/07/1995 05:11</t>
  </si>
  <si>
    <t>M 6.8 - 158 km W of Jinghong, China</t>
  </si>
  <si>
    <t>Jinghong, China</t>
  </si>
  <si>
    <t>M 6.6 - 0 km ESE of Isangel, Vanuatu</t>
  </si>
  <si>
    <t>29/06/1995 12:24</t>
  </si>
  <si>
    <t>M 6.5 - 8 km WNW of Galaxídhion, Greece</t>
  </si>
  <si>
    <t>15/06/1995 00:15</t>
  </si>
  <si>
    <t>Galaxídhion, Greece</t>
  </si>
  <si>
    <t>M 7.1 - 85 km S of Tungor, Russia</t>
  </si>
  <si>
    <t>27/05/1995 13:03</t>
  </si>
  <si>
    <t>Tungor, Russia</t>
  </si>
  <si>
    <t>M 7.7 - 249 km E of Vao, New Caledonia</t>
  </si>
  <si>
    <t>16/05/1995 20:12</t>
  </si>
  <si>
    <t>Vao, New Caledonia</t>
  </si>
  <si>
    <t>M 6.9 - 27 km NNW of Maubara, Timor Leste</t>
  </si>
  <si>
    <t>14/05/1995 11:33</t>
  </si>
  <si>
    <t>M 6.6 - 10 km W of Aianí, Greece</t>
  </si>
  <si>
    <t>13/05/1995 08:47</t>
  </si>
  <si>
    <t>Aianí, Greece</t>
  </si>
  <si>
    <t>M 7.1 - 14 km NE of Cabatuan, Philippines</t>
  </si>
  <si>
    <t>Cabatuan, Philippines</t>
  </si>
  <si>
    <t>alert_cleaned</t>
  </si>
  <si>
    <t>location_cleaned</t>
  </si>
  <si>
    <t>continent_cleaned</t>
  </si>
  <si>
    <t>country_cleaned</t>
  </si>
  <si>
    <t>COUNT of title_pattern</t>
  </si>
  <si>
    <t>Distance/Location</t>
  </si>
  <si>
    <t>Named Region</t>
  </si>
  <si>
    <t>Grand Total</t>
  </si>
  <si>
    <t>date_time - Year</t>
  </si>
  <si>
    <t>COUNT of date_time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</si>
  <si>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</si>
  <si>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</si>
  <si>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</si>
  <si>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</si>
  <si>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</si>
  <si>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</si>
  <si>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</si>
  <si>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</si>
  <si>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</si>
  <si>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</si>
  <si>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</si>
  <si>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</si>
  <si>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</si>
  <si>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</si>
  <si>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</si>
  <si>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</si>
  <si>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</si>
  <si>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</si>
  <si>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</si>
  <si>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</si>
  <si>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</si>
  <si>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</si>
  <si>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</si>
  <si>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</si>
  <si>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</si>
  <si>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</si>
  <si>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</si>
  <si>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</si>
  <si>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</si>
  <si>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Issue</t>
  </si>
  <si>
    <t>Evidence / Finding</t>
  </si>
  <si>
    <t>Lab 4 Fix</t>
  </si>
  <si>
    <t>Missing alert values</t>
  </si>
  <si>
    <t>551 blanks (55.10%)</t>
  </si>
  <si>
    <t>Handle missing alert values as Unknown</t>
  </si>
  <si>
    <t>Missing continent values</t>
  </si>
  <si>
    <t>716 blanks (71.60%)</t>
  </si>
  <si>
    <t>Handle missing continent values as Unknown</t>
  </si>
  <si>
    <t>Missing country values</t>
  </si>
  <si>
    <t>349 blanks (34.90%)</t>
  </si>
  <si>
    <t>Handle missing country values as Unknown</t>
  </si>
  <si>
    <t>Missing location values</t>
  </si>
  <si>
    <t>6 blanks (0.60%)</t>
  </si>
  <si>
    <t>Handle missing location values as Unknown</t>
  </si>
  <si>
    <t>date_time stored as text</t>
  </si>
  <si>
    <t>Raw values fail ISNUMBER</t>
  </si>
  <si>
    <t>Convert to proper datetime</t>
  </si>
  <si>
    <t>Title has mixed patterns</t>
  </si>
  <si>
    <t>Distance/location and Named-region formats</t>
  </si>
  <si>
    <t>Classify/handle the two title patterns</t>
  </si>
  <si>
    <t>magType inconsistent casing</t>
  </si>
  <si>
    <t>Mi vs lowercase categories</t>
  </si>
  <si>
    <t>Normalize using LOWER()</t>
  </si>
  <si>
    <t>Duplicate events</t>
  </si>
  <si>
    <t>4 rows flagged as duplicates</t>
  </si>
  <si>
    <t>Check duplicates using title + date_time; remove/handle duplicates if found</t>
  </si>
  <si>
    <t>Duplicate Audit Result</t>
  </si>
  <si>
    <t>Total Rows</t>
  </si>
  <si>
    <t>Rows with Duplicates</t>
  </si>
  <si>
    <t>Rows Unique</t>
  </si>
  <si>
    <t>Earthquake Data Exploration Dashboard</t>
  </si>
  <si>
    <t>Total Records</t>
  </si>
  <si>
    <t>Minimum Magnitude</t>
  </si>
  <si>
    <t>Maximum Magnitude</t>
  </si>
  <si>
    <t>Average Magnitude</t>
  </si>
  <si>
    <t>Minimum Depth</t>
  </si>
  <si>
    <t>Maximum Depth</t>
  </si>
  <si>
    <t>Average Depth</t>
  </si>
  <si>
    <t>COUNT of magType_normalized</t>
  </si>
  <si>
    <t>mi</t>
  </si>
  <si>
    <t>count</t>
  </si>
  <si>
    <t>COUNT of magType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</si>
</sst>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/dd/yyyy h:mm"/>
    <numFmt numFmtId="166" formatCode="m/d/yyyy h:m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theme="1"/>
      <name val="Arial"/>
      <scheme val="minor"/>
    </font>
    <font>
      <b/>
      <sz val="23.0"/>
      <color theme="1"/>
      <name val="Arial"/>
      <scheme val="minor"/>
    </font>
    <font>
      <sz val="2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24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6.0"/>
      <color theme="1"/>
      <name val="Arial"/>
      <scheme val="minor"/>
    </font>
    <font/>
    <font>
      <b/>
      <sz val="2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8" numFmtId="10" xfId="0" applyBorder="1" applyFont="1" applyNumberFormat="1"/>
    <xf borderId="0" fillId="0" fontId="9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0" numFmtId="0" xfId="0" applyBorder="1" applyFont="1"/>
    <xf borderId="1" fillId="0" fontId="11" numFmtId="0" xfId="0" applyBorder="1" applyFont="1"/>
    <xf borderId="1" fillId="0" fontId="12" numFmtId="0" xfId="0" applyBorder="1" applyFont="1"/>
    <xf borderId="1" fillId="0" fontId="13" numFmtId="164" xfId="0" applyBorder="1" applyFont="1" applyNumberFormat="1"/>
    <xf borderId="1" fillId="0" fontId="13" numFmtId="0" xfId="0" applyBorder="1" applyFont="1"/>
    <xf borderId="1" fillId="0" fontId="9" numFmtId="0" xfId="0" applyAlignment="1" applyBorder="1" applyFont="1">
      <alignment horizontal="center" readingOrder="0"/>
    </xf>
    <xf borderId="2" fillId="0" fontId="14" numFmtId="0" xfId="0" applyAlignment="1" applyBorder="1" applyFont="1">
      <alignment readingOrder="0"/>
    </xf>
    <xf borderId="3" fillId="0" fontId="15" numFmtId="0" xfId="0" applyBorder="1" applyFont="1"/>
    <xf borderId="0" fillId="0" fontId="16" numFmtId="0" xfId="0" applyAlignment="1" applyFont="1">
      <alignment readingOrder="0"/>
    </xf>
    <xf borderId="0" fillId="0" fontId="17" numFmtId="0" xfId="0" applyFont="1"/>
    <xf borderId="1" fillId="0" fontId="17" numFmtId="0" xfId="0" applyAlignment="1" applyBorder="1" applyFont="1">
      <alignment readingOrder="0"/>
    </xf>
    <xf borderId="1" fillId="0" fontId="5" numFmtId="0" xfId="0" applyBorder="1" applyFont="1"/>
    <xf borderId="1" fillId="0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Data_Type_Aud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4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3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Distribution by Magnitude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Exploration!$H$3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Exploration!$G$4:$G$9</c:f>
            </c:strRef>
          </c:cat>
          <c:val>
            <c:numRef>
              <c:f>Exploration!$H$4:$H$9</c:f>
              <c:numCache/>
            </c:numRef>
          </c:val>
        </c:ser>
        <c:axId val="1184031934"/>
        <c:axId val="43748902"/>
      </c:barChart>
      <c:catAx>
        <c:axId val="1184031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Magnitude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48902"/>
      </c:catAx>
      <c:valAx>
        <c:axId val="43748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031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Title Pattern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'Title Pattern PivotTable.'!$B$1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'Title Pattern PivotTable.'!$A$2:$A$3</c:f>
            </c:strRef>
          </c:cat>
          <c:val>
            <c:numRef>
              <c:f>'Title Pattern PivotTable.'!$B$2:$B$3</c:f>
              <c:numCache/>
            </c:numRef>
          </c:val>
        </c:ser>
        <c:axId val="1178586608"/>
        <c:axId val="1535881434"/>
      </c:barChart>
      <c:catAx>
        <c:axId val="117858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title_pattern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881434"/>
      </c:catAx>
      <c:valAx>
        <c:axId val="1535881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title_pattern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586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Year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Pivot_Year!$B$1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Pivot_Year!$A$2:$A$30</c:f>
            </c:strRef>
          </c:cat>
          <c:val>
            <c:numRef>
              <c:f>Pivot_Year!$B$2:$B$30</c:f>
              <c:numCache/>
            </c:numRef>
          </c:val>
        </c:ser>
        <c:axId val="571856867"/>
        <c:axId val="1185117183"/>
      </c:barChart>
      <c:catAx>
        <c:axId val="571856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date_time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117183"/>
      </c:catAx>
      <c:valAx>
        <c:axId val="118511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date_time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856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Magnitude Type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Pivot_MagType_Normalized!$B$1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Pivot_MagType_Normalized!$A$2:$A$10</c:f>
            </c:strRef>
          </c:cat>
          <c:val>
            <c:numRef>
              <c:f>Pivot_MagType_Normalized!$B$2:$B$10</c:f>
              <c:numCache/>
            </c:numRef>
          </c:val>
        </c:ser>
        <c:axId val="763827507"/>
        <c:axId val="381032210"/>
      </c:barChart>
      <c:catAx>
        <c:axId val="763827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032210"/>
      </c:catAx>
      <c:valAx>
        <c:axId val="381032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827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Alert Level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Pivot_Alert!$B$1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Pivot_Alert!$A$2:$A$6</c:f>
            </c:strRef>
          </c:cat>
          <c:val>
            <c:numRef>
              <c:f>Pivot_Alert!$B$2:$B$6</c:f>
              <c:numCache/>
            </c:numRef>
          </c:val>
        </c:ser>
        <c:axId val="1341827321"/>
        <c:axId val="1962207129"/>
      </c:barChart>
      <c:catAx>
        <c:axId val="1341827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alert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207129"/>
      </c:catAx>
      <c:valAx>
        <c:axId val="1962207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827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Year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Pivot_Year!$B$1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Pivot_Year!$A$2:$A$30</c:f>
            </c:strRef>
          </c:cat>
          <c:val>
            <c:numRef>
              <c:f>Pivot_Year!$B$2:$B$30</c:f>
              <c:numCache/>
            </c:numRef>
          </c:val>
        </c:ser>
        <c:axId val="1663055963"/>
        <c:axId val="165058003"/>
      </c:barChart>
      <c:catAx>
        <c:axId val="1663055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date_time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58003"/>
      </c:catAx>
      <c:valAx>
        <c:axId val="165058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date_time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055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Title Pattern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'Title Pattern PivotTable.'!$B$1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'Title Pattern PivotTable.'!$A$2:$A$3</c:f>
            </c:strRef>
          </c:cat>
          <c:val>
            <c:numRef>
              <c:f>'Title Pattern PivotTable.'!$B$2:$B$3</c:f>
              <c:numCache/>
            </c:numRef>
          </c:val>
        </c:ser>
        <c:axId val="396506093"/>
        <c:axId val="524601822"/>
      </c:barChart>
      <c:catAx>
        <c:axId val="396506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title_pattern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601822"/>
      </c:catAx>
      <c:valAx>
        <c:axId val="524601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title_pattern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506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Magnitude Type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Pivot_MagType_Normalized!$B$1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Pivot_MagType_Normalized!$A$2:$A$1000</c:f>
            </c:strRef>
          </c:cat>
          <c:val>
            <c:numRef>
              <c:f>Pivot_MagType_Normalized!$B$2:$B$1000</c:f>
              <c:numCache/>
            </c:numRef>
          </c:val>
        </c:ser>
        <c:axId val="1656816782"/>
        <c:axId val="846216050"/>
      </c:barChart>
      <c:catAx>
        <c:axId val="1656816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216050"/>
      </c:catAx>
      <c:valAx>
        <c:axId val="846216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816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Alert Level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Pivot_Alert!$B$1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Pivot_Alert!$A$2:$A$6</c:f>
            </c:strRef>
          </c:cat>
          <c:val>
            <c:numRef>
              <c:f>Pivot_Alert!$B$2:$B$6</c:f>
              <c:numCache/>
            </c:numRef>
          </c:val>
        </c:ser>
        <c:axId val="1139140309"/>
        <c:axId val="96477798"/>
      </c:barChart>
      <c:catAx>
        <c:axId val="1139140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alert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77798"/>
      </c:catAx>
      <c:valAx>
        <c:axId val="96477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140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13</xdr:row>
      <xdr:rowOff>0</xdr:rowOff>
    </xdr:from>
    <xdr:ext cx="9620250" cy="4543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6</xdr:row>
      <xdr:rowOff>123825</xdr:rowOff>
    </xdr:from>
    <xdr:ext cx="7705725" cy="5400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2</xdr:row>
      <xdr:rowOff>161925</xdr:rowOff>
    </xdr:from>
    <xdr:ext cx="10363200" cy="5353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7</xdr:row>
      <xdr:rowOff>171450</xdr:rowOff>
    </xdr:from>
    <xdr:ext cx="6334125" cy="3371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</xdr:colOff>
      <xdr:row>25</xdr:row>
      <xdr:rowOff>190500</xdr:rowOff>
    </xdr:from>
    <xdr:ext cx="633412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19050</xdr:colOff>
      <xdr:row>45</xdr:row>
      <xdr:rowOff>104775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65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11</xdr:row>
      <xdr:rowOff>114300</xdr:rowOff>
    </xdr:from>
    <xdr:ext cx="8839200" cy="5829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</xdr:rowOff>
    </xdr:from>
    <xdr:ext cx="10391775" cy="5095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01" sheet="Raw_Data"/>
  </cacheSource>
  <cacheFields>
    <cacheField name="title" numFmtId="0">
      <sharedItems>
        <s v="M 6.5 - 42 km W of Sola, Vanuatu"/>
        <s v="M 6.5 - 43 km S of Intipucá, El Salvador"/>
        <s v="M 6.6 - 25 km ESE of Loncopué, Argentina"/>
        <s v="M 7.2 - 98 km S of Sand Point, Alaska"/>
        <s v="M 7.3 - Alaska Peninsula"/>
        <s v="M 6.6 - 277 km NNE of Codrington, Antigua and Barbuda"/>
        <s v="M 6.9 - Tonga"/>
        <s v="M 7.2 - south of the Fiji Islands"/>
        <s v="M 6.6 - Panama-Colombia border region"/>
        <s v="M 7.1 - southeast of the Loyalty Islands"/>
        <s v="M 7.7 - southeast of the Loyalty Islands"/>
        <s v="M 7.6 - 95 km WNW of Hihifo, Tonga"/>
        <s v="M 6.6 - south of the Fiji Islands"/>
        <s v="M 7.1 - 170 km SSE of Teluk Dalam, Indonesia"/>
        <s v="M 7.1 - Kermadec Islands, New Zealand"/>
        <s v="M 6.7 - south of the Fiji Islands"/>
        <s v="M 7.0 - 96 km N of Tuban, Indonesia"/>
        <s v="M 6.5 - near the east coast of the Kamchatka Peninsula, Russia"/>
        <s v="M 7.0 - New Guinea, Papua New Guinea"/>
        <s v="M 6.5 - 84 km NNW of San Antonio de los Cobres, Argentina"/>
        <s v="M 6.5 - 40 km SSE of Jurm, Afghanistan"/>
        <s v="M 6.8 - near the coast of Ecuador"/>
        <s v="M 7.0 - Kermadec Islands region"/>
        <s v="M 6.9 - Kermadec Islands, New Zealand"/>
        <s v="M 6.5 - 86 km WSW of Port-Olry, Vanuatu"/>
        <s v="M 6.5 - 108 km NW of Kimbe, Papua New Guinea"/>
        <s v="M 6.8 - 67 km W of Murghob, Tajikistan"/>
        <s v="M 7.5 - 4 km SSE of Ekinözü, Turkey"/>
        <s v="M 6.7 - 18 km ESE of Nurdağı, Turkey"/>
        <s v="M 7.8 - Central Turkey"/>
        <s v="M 6.8 -"/>
        <s v="M 7.0 - 153 km NW of Tobelo, Indonesia"/>
        <s v="M 7.6 - Pulau Pulau Tanimbar, Indonesia"/>
        <s v="M 7.0 - Vanuatu"/>
        <s v="M 6.8 - 109 km NE of Hihifo, Tonga"/>
        <s v="M 7.0 - 18 km SW of Malango, Solomon Islands"/>
        <s v="M 6.9 - 204 km SW of Bengkulu, Indonesia"/>
        <s v="M 7.0 -"/>
        <s v="M 7.3 - 205 km ESE of Neiafu, Tonga"/>
        <s v="M 6.6 -"/>
        <s v="M 7.0 - south of the Fiji Islands"/>
        <s v="M 6.8 - south of the Fiji Islands"/>
        <s v="M 6.7 - 60 km SSW of Boca Chica, Panama"/>
        <s v="M 6.8 - 55 km SSW of Aguililla, Mexico"/>
        <s v="M 7.6 - 35 km SSW of Aguililla, Mexico"/>
        <s v="M 6.9 - 90 km E of Yujing, Taiwan"/>
        <s v="M 6.5 - 96 km SE of Lugu, Taiwan"/>
        <s v="M 7.0 - 209 km SSE of Isangel, Vanuatu"/>
        <s v="M 7.6 - 70 km E of Kainantu, Papua New Guinea"/>
        <s v="M 6.6 - 44 km SE of Kangding, China"/>
        <s v="M 6.6 - south of the Kermadec Islands"/>
        <s v="M 7.0 - 11 km NE of Bantay, Philippines"/>
        <s v="M 6.5 - 107 km SSW of Tarauacá, Brazil"/>
        <s v="M 7.2 - 10 km W of Azángaro, Peru"/>
        <s v="M 6.9 -"/>
        <s v="M 6.8 - 86 km NNW of San Antonio de los Cobres, Argentina"/>
        <s v="M 6.6 - 55 km WSW of Masachapa, Nicaragua"/>
        <s v="M 7.0 - southeast of the Loyalty Islands"/>
        <s v="M 6.9 - 284 km ESE of Tadine, New Caledonia"/>
        <s v="M 6.7 - 65 km S of Hualien City, Taiwan"/>
        <s v="M 7.3 - 57 km ENE of Namie, Japan"/>
        <s v="M 6.7 - 166 km W of Pariaman, Indonesia"/>
        <s v="M 6.6 - Kermadec Islands, New Zealand"/>
        <s v="M 6.5 - 49 km NW of Barranca, Peru"/>
        <s v="M 6.5 - Kermadec Islands region"/>
        <s v="M 6.6 - 80 km SW of Labuan, Indonesia"/>
        <s v="M 6.5 - 71 km SE of Nikolski, Alaska"/>
        <s v="M 6.6 - 53 km SE of Nikolski, Alaska"/>
        <s v="M 6.7 - 91 km SE of Nikolski, Alaska"/>
        <s v="M 6.8 - 100 km SE of Nikolski, Alaska"/>
        <s v="M 6.6 - 48 km WNW of Pólis, Cyprus"/>
        <s v="M 6.6 - northern Qinghai, China"/>
        <s v="M 7.3 - 125 km NNE of Lospalos, Timor Leste"/>
        <s v="M 7.3 - Flores Sea"/>
        <s v="M 7.5 - 43 km NNW of Barranca, Peru"/>
        <s v="M 6.6 - 177 km SE of Hirara, Japan"/>
        <s v="M 6.9 - 112 km E of Chignik, Alaska"/>
        <s v="M 6.9 - Vanuatu region"/>
        <s v="M 7.3 - Vanuatu region"/>
        <s v="M 6.5 - 80 km SW of Jiquilillo, Nicaragua"/>
        <s v="M 7.0 - Acapulco, Mexico"/>
        <s v="M 7.1 - South Sandwich Islands region"/>
        <s v="M 6.6 - South Sandwich Islands region"/>
        <s v="M 6.9 - 17 km N of Port-Olry, Vanuatu"/>
        <s v="M 6.9 - South Sandwich Islands region"/>
        <s v="M 7.2 - Nippes, Haiti"/>
        <s v="M 6.9 - 136 km SE of Perryville, Alaska"/>
        <s v="M 6.9 - 125 km SE of Perryville, Alaska"/>
        <s v="M 8.1 - South Sandwich Islands region"/>
        <s v="M 7.5 - South Sandwich Islands region"/>
        <s v="M 7.1 - 60 km ENE of Pondaguitan, Philippines"/>
        <s v="M 8.2 - 91 km ESE of Perryville, Alaska"/>
        <s v="M 8.2 - 99 km SE of Perryville, Alaska"/>
        <s v="M 6.7 - 15 km S of Hukay, Philippines"/>
        <s v="M 6.7 - 71 km S of Burica, Panama"/>
        <s v="M 6.5 - Kermadec Islands, New Zealand"/>
        <s v="M 6.5 - 265 km SSE of Alo, Wallis and Futuna"/>
        <s v="M 7.3 - Southern Qinghai, China"/>
        <s v="M 6.7 - 260 km S of Sinabang, Indonesia"/>
        <s v="M 6.7 - Mauritius - Reunion region"/>
        <s v="M 6.5 - 207 km WSW of Haveluloto, Tonga"/>
        <s v="M 6.5 - 225 km WNW of Pangai, Tonga"/>
        <s v="M 7.0 - 30 km E of Ishinomaki, Japan"/>
        <s v="M 6.6 - 171 km SSE of Ust’-Kamchatsk Staryy, Russia"/>
        <s v="M 8.1 - Kermadec Islands, New Zealand"/>
        <s v="M 7.4 - Kermadec Islands, New Zealand"/>
        <s v="M 7.3 - 182 km NE of Gisborne, New Zealand"/>
        <s v="M 7.1 - 73 km ENE of Namie, Japan"/>
        <s v="M 6.9 - South Shetland Islands"/>
        <s v="M 7.0 - 211 km SE of Pondaguitan, Philippines"/>
        <s v="M 6.7 - 29 km SSW of Turt, Mongolia"/>
        <s v="M 6.7 - 146 km WNW of Corral, Chile"/>
        <s v="M 7.0 - 13 km NNE of Néon Karlovásion, Greece"/>
        <s v="M 7.6 - 99 km SE of Sand Point, Alaska"/>
        <s v="M 6.9 - central Mid-Atlantic Ridge"/>
        <s v="M 6.5 - 94 km NW of Vallenar, Chile"/>
        <s v="M 6.8 - 86 km NW of Vallenar, Chile"/>
        <s v="M 6.5 - central Mid-Atlantic Ridge"/>
        <s v="M 6.9 - 222 km SSE of Katabu, Indonesia"/>
        <s v="M 6.9 - 122 km WSW of Bengkulu, Indonesia"/>
        <s v="M 6.8 - 138 km WSW of Bengkulu, Indonesia"/>
        <s v="M 6.6 - 13 km E of San Pedro, Philippines"/>
        <s v="M 7.8 - 99 km SSE of Perryville, Alaska"/>
        <s v="M 7.0 - 114 km NNW of Popondetta, Papua New Guinea"/>
        <s v="M 6.6 - 97 km N of Batang, Indonesia"/>
        <s v="M 7.4 - 9 km SE of Santa María Xadani, Mexico"/>
        <s v="M 7.4 - south of the Kermadec Islands"/>
        <s v="M 6.6 - 130 km WNW of Naze, Japan"/>
        <s v="M 6.8 - 48 km SW of San Pedro de Atacama, Chile"/>
        <s v="M 6.5 - Monte Cristo Range, NV Earthquake"/>
        <s v="M 6.6 - 175 km SSE of Lata, Solomon Islands"/>
        <s v="M 6.8 - Banda Sea"/>
        <s v="M 6.5 - 91 km S of Néa Anatolí, Greece"/>
        <s v="M 6.5 - Stanley, Idaho"/>
        <s v="M 7.5 - 221 km SSE of Severo-Kuril’sk, Russia"/>
        <s v="M 7.0 - 95 km ENE of Kuril’sk, Russia"/>
        <s v="M 7.7 - 123 km NNW of Lucea, Jamaica"/>
        <s v="M 6.7 - 13 km N of Do?anyol, Turkey"/>
        <s v="M 6.8 - 7 km S of Magsaysay, Philippines"/>
        <s v="M 7.1 - 138km E of Bitung, Indonesia"/>
        <s v="M 6.5 - 166km SSW of Ndoi Island, Fiji"/>
        <s v="M 6.6 - 136 km W of Neiafu, Tonga"/>
        <s v="M 6.5 - 2km ESE of Kisante, Philippines"/>
        <s v="M 6.6 - 10 km NE of Columbio, Philippines"/>
        <s v="M 6.7 - 70 km WSW of Constitución, Chile"/>
        <s v="M 6.5 - 11km S of Kairatu, Indonesia"/>
        <s v="M 6.6 - 34km NNE of Ndoi Island, Fiji"/>
        <s v="M 6.6 - 131km S of Bristol Island, South Sandwich Islands"/>
        <s v="M 6.9 - 152 km SW of Labuan, Indonesia"/>
        <s v="M 6.8 - 96 km SW of San Antonio, Chile"/>
        <s v="M 6.6 - 62km E of Lakatoro, Vanuatu"/>
        <s v="M 7.2 - 93km NNE of Laiwui, Indonesia"/>
        <s v="M 6.6 - 200km W of Broome, Australia"/>
        <s v="M 6.9 - 134km WSW of Kota Ternate, Indonesia"/>
        <s v="M 7.1 - 18km W of Searles Valley, CA"/>
        <s v="M 7.3 - 292km NW of Saumlaki, Indonesia"/>
        <s v="M 7.3 - 116km NE of L'Esperance Rock, New Zealand"/>
        <s v="M 6.6 - 32 km S of La Libertad, El Salvador"/>
        <s v="M 8.0 - 78 km NE of Navarro, Peru"/>
        <s v="M 7.6 - 46km SSE of Namatanai, Papua New Guinea"/>
        <s v="M 7.1 - 33km NW of Bulolo, Papua New Guinea"/>
        <s v="M 6.8 - 98km SSW of Luwuk, Indonesia"/>
        <s v="M 6.5 - 83km ENE of Bristol Island, South Sandwich Islands"/>
        <s v="M 7.0 - 22 km NNE of Azángaro, Peru"/>
        <s v="M 7.5 - 111km ESE of Palora, Ecuador"/>
        <s v="M 6.7 - 5 km SW of Puerto Madero, Mexico"/>
        <s v="M 6.7 - Prince Edward Islands region"/>
        <s v="M 6.7 - 10 km SSW of Coquimbo, Chile"/>
        <s v="M 6.6 - 94 km NW of Sola, Vanuatu"/>
        <s v="M 6.6 - Molucca Sea"/>
        <s v="M 6.8 - 90km W of Tarauaca, Brazil"/>
        <s v="M 7.0 - 96 km ESE of Pondaguitan, Philippines"/>
        <s v="M 7.3 - 187 km SE of Ust’-Kamchatsk Staryy, Russia"/>
        <s v="M 6.6 - 199 km ESE of Tadine, New Caledonia"/>
        <s v="M 7.5 - 166 km ESE of Tadine, New Caledonia"/>
        <s v="M 7.1 - 1 km SE of Point MacKenzie, Alaska"/>
        <s v="M 6.8 - 187 km E of Levuka, Fiji"/>
        <s v="M 6.7 - 120 km NW of Olonkinbyen, Svalbard and Jan Mayen"/>
        <s v="M 6.8 - 32 km SW of Lithakiá, Greece"/>
        <s v="M 6.5 - 237 km SW of Port McNeill, Canada"/>
        <s v="M 6.8 - 210 km SW of Port McNeill, Canada"/>
        <s v="M 6.5 - 223 km SW of Port McNeill, Canada"/>
        <s v="M 6.5 - 171 km E of Tadine, New Caledonia"/>
        <s v="M 6.7 - 269 km WNW of Ozernovskiy, Russia"/>
        <s v="M 6.5 - 154 km S of Severo-Kuril’sk, Russia"/>
        <s v="M 7.0 - 119 km E of Kimbe, Papua New Guinea"/>
        <s v="M 6.7 - 279 km E of Levuka, Fiji"/>
        <s v="M 7.5 - 72 km N of Palu, Indonesia"/>
        <s v="M 6.5 - south of the Fiji Islands"/>
        <s v="M 6.9 - Kermadec Islands region"/>
        <s v="M 6.5 - 66 km NW of Kirakira, Solomon Islands"/>
        <s v="M 7.9 - 45 km S of Levuka, Fiji"/>
        <s v="M 6.6 - 27 km ESE of Chitose, Japan"/>
        <s v="M 7.1 - 238 km ESE of Tadine, New Caledonia"/>
        <s v="M 7.1 - 136 km W of Iñapari, Peru"/>
        <s v="M 6.5 - 78 km E of Lakatoro, Vanuatu"/>
        <s v="M 7.3 - 40 km ENE of Carúpano, Venezuela"/>
        <s v="M 6.9 - 20 km NNW of Labuan Lombok, Indonesia"/>
        <s v="M 8.2 - 267 km E of Levuka, Fiji"/>
        <s v="M 6.5 - 124 km N of Labuan Bajo, Indonesia"/>
        <s v="M 6.5 - 108 km WSW of Adak, Alaska"/>
        <s v="M 6.9 - 36 km NW of Labuan Lombok, Indonesia"/>
        <s v="M 6.9 - 18 km SSW of Leilani Estates, Hawaii"/>
        <s v="M 6.8 - 38 km SE of Boyuibe, Bolivia"/>
        <s v="M 6.9 - 150 km E of Kimbe, Papua New Guinea"/>
        <s v="M 6.7 - 140 km E of Kimbe, Papua New Guinea"/>
        <s v="M 6.8 - 103 km E of Kokopo, Papua New Guinea"/>
        <s v="M 6.7 - 62 km SW of Tari, Papua New Guinea"/>
        <s v="M 7.5 - 32 km SW of Tari, Papua New Guinea"/>
        <s v="M 7.2 - 4 km S of Pinotepa de Don Luis, Mexico"/>
        <s v="M 7.9 - 261 km SE of Chiniak, Alaska"/>
        <s v="M 7.1 - 37 km W of Atiquipa, Peru"/>
        <s v="M 7.5 - 203 km NNE of Barra Patuca, Honduras"/>
        <s v="M 6.5 - 12 km SSW of Kawalu, Indonesia"/>
        <s v="M 6.5 - Bouvet Island region"/>
        <s v="M 7.0 - 85 km ENE of Tadine, New Caledonia"/>
        <s v="M 6.6 - 74 km E of Tadine, New Caledonia"/>
        <s v="M 6.5 - 18 km W of Parrita, Costa Rica"/>
        <s v="M 7.3 - 29 km S of ?alabja, Iraq"/>
        <s v="M 6.5 - 67 km WSW of Angoram, Papua New Guinea"/>
        <s v="M 6.8 - 97 km NE of Hihifo, Tonga"/>
        <s v="M 6.6 - 101 km E of Tadine, New Caledonia"/>
        <s v="M 6.7 - 132 km E of Tadine, New Caledonia"/>
        <s v="M 6.7 - 181 km NNE of Maumere, Indonesia"/>
        <s v="M 6.5 - 247 km ESE of Attu Station, Alaska"/>
        <s v="M 7.1 - 1 km S of Matzaco, Mexico"/>
        <s v="M 8.2 - near the coast of Chiapas, Mexico"/>
        <s v="M 6.5 - 168 km SW of Mawu, China"/>
        <s v="M 6.6 - 11 km ENE of Kos, Greece"/>
        <s v="M 7.7 - Komandorskiye Ostrova, Russia region"/>
        <s v="M 6.6 - Auckland Islands, New Zealand region"/>
        <s v="M 6.5 - 2 km S of Lim-oo, Philippines"/>
        <s v="M 6.8 - 28 km SW of Puerto San José, Guatemala"/>
        <s v="M 6.9 - 2 km SSW of San Pablo, Guatemala"/>
        <s v="M 6.8 - 200 km NW of Attu Station, Alaska"/>
        <s v="M 6.6 - 37 km WNW of Poso, Indonesia"/>
        <s v="M 6.5 - South Sandwich Islands region"/>
        <s v="M 6.8 - 59 km NNE of Port-Olry, Vanuatu"/>
        <s v="M 6.9 - 31 km SW of Burias, Philippines"/>
        <s v="M 6.9 - 40 km W of Valparaíso, Chile"/>
        <s v="M 6.5 - 132 km WSW of Moijabana, Botswana"/>
        <s v="M 6.6 - 81 km NNE of Ust’-Kamchatsk Staryy, Russia"/>
        <s v="M 6.9 - south of the Fiji Islands"/>
        <s v="M 6.5 - 41 km E of Padilla, Bolivia"/>
        <s v="M 6.5 - 11 km N of Mabua, Philippines"/>
        <s v="M 7.9 - 35 km WNW of Panguna, Papua New Guinea"/>
        <s v="M 6.5 - 65 km W of Kirakira, Solomon Islands"/>
        <s v="M 7.3 - 189 km SSE of Tabiauan, Philippines"/>
        <s v="M 6.9 - 225 km SW of Nadi, Fiji"/>
        <s v="M 7.6 - 41 km SW of Quellón, Chile"/>
        <s v="M 6.7 - 151 km NE of Lospalos, Timor Leste"/>
        <s v="M 7.9 - 140 km E of Kokopo, Papua New Guinea"/>
        <s v="M 6.9 - 92 km WSW of Kirakira, Solomon Islands"/>
        <s v="M 6.5 - 79 km WSW of Kirakira, Solomon Islands"/>
        <s v="M 7.8 - 69 km WSW of Kirakira, Solomon Islands"/>
        <s v="M 6.6 - 164 km W of Ferndale, California"/>
        <s v="M 6.5 - 14 km WNW of Reuleuet, Indonesia"/>
        <s v="M 6.6 - 122 km N of Murghob, Tajikistan"/>
        <s v="M 6.9 - 156 km SSW of Puerto El Triunfo, El Salvador"/>
        <s v="M 6.9 - 35 km ESE of Namie, Japan"/>
        <s v="M 6.5 - 74 km NE of Amberley, New Zealand"/>
        <s v="M 6.5 - 92 km SSW of Blenheim, New Zealand"/>
        <s v="M 7.8 - 53 km NNE of Amberley, New Zealand"/>
        <s v="M 6.6 - 5 km ESE of Preci, Italy"/>
        <s v="M 6.6 - 161 km NNE of Pamanukan, Indonesia"/>
        <s v="M 6.8 - 76 km WNW of Kandrian, Papua New Guinea"/>
        <s v="M 6.9 - Fiji region"/>
        <s v="M 7.0 - 175 km NE of Gisborne, New Zealand"/>
        <s v="M 6.8 - 90 km NE of Rabaul, Papua New Guinea"/>
        <s v="M 6.8 - 26 km W of Chauk, Myanmar"/>
        <s v="M 7.2 - southeast of the Loyalty Islands"/>
        <s v="M 7.7 - Pagan region, Northern Mariana Islands"/>
        <s v="M 6.6 - 80 km W of Sungai Penuh, Indonesia"/>
        <s v="M 7.2 - South Sandwich Islands region"/>
        <s v="M 6.9 - 24 km NW of Rosa Zarate, Ecuador"/>
        <s v="M 6.7 - 32 km SE of Muisne, Ecuador"/>
        <s v="M 7.0 - 3 km NW of Norsup, Vanuatu"/>
        <s v="M 7.8 - 27 km SSE of Muisne, Ecuador"/>
        <s v="M 7.0 - 6 km ESE of Kumamoto, Japan"/>
        <s v="M 6.9 - 76 km SE of Mawlaik, Myanmar"/>
        <s v="M 6.6 - 42 km WSW of Ashk?sham, Afghanistan"/>
        <s v="M 6.7 - 104 km W of Sola, Vanuatu"/>
        <s v="M 6.7 - 102 km WSW of Sola, Vanuatu"/>
        <s v="M 6.9 - 82 km NNW of Port-Olry, Vanuatu"/>
        <s v="M 7.8 - southwest of Sumatra, Indonesia"/>
        <s v="M 7.2 - 80 km S of Mil’kovo, Russia"/>
        <s v="M 7.1 - 47 km ESE of Pedro Bay, Alaska"/>
        <s v="M 6.6 - 203 km SW of La Cruz de Loreto, Mexico"/>
        <s v="M 6.7 - 52 km SE of Shizunai-furukawach?, Japan"/>
        <s v="M 6.5 - 227 km SE of Sarangani, Philippines"/>
        <s v="M 6.7 - 29 km W of Imph?l, India"/>
        <s v="M 6.6 - 4 km W of Manuel Ávila Camacho (Ponte Duro), Mexico"/>
        <s v="M 6.9 - 107 km SE of Amahai, Indonesia"/>
        <s v="M 7.2 - 104 km W of Murghob, Tajikistan"/>
        <s v="M 6.7 - 125 km SSW of Tarauacá, Brazil"/>
        <s v="M 7.6 - 185 km WNW of Iñapari, Peru"/>
        <s v="M 7.6 - 155 km WNW of Iñapari, Peru"/>
        <s v="M 6.8 - 153 km WSW of Buala, Solomon Islands"/>
        <s v="M 6.5 - 19 km SSW of Lefkáda, Greece"/>
        <s v="M 6.7 - 140 km WSW of Makurazaki, Japan"/>
        <s v="M 6.9 - 85 km NW of Coquimbo, Chile"/>
        <s v="M 6.9 - 81 km NW of Coquimbo, Chile"/>
        <s v="M 6.6 - Nicobar Islands, India region"/>
        <s v="M 6.8 - 39 km SW of Ovalle, Chile"/>
        <s v="M 6.5 - 47 km NW of Maubara, Timor Leste"/>
        <s v="M 7.5 - Hindu Kush region, Afghanistan"/>
        <s v="M 7.1 - 31 km NE of Port-Olry, Vanuatu"/>
        <s v="M 6.6 - 28 km N of Sorong, Indonesia"/>
        <s v="M 6.6 - 22 km WSW of Illapel, Chile"/>
        <s v="M 6.7 - 61 km WNW of Illapel, Chile"/>
        <s v="M 6.5 - 54 km WNW of Illapel, Chile"/>
        <s v="M 7.0 - 25 km WNW of Illapel, Chile"/>
        <s v="M 8.3 - 48 km W of Illapel, Chile"/>
        <s v="M 6.7 - 95 km SW of Topolobampo, Mexico"/>
        <s v="M 6.5 - 177 km SE of Gizo, Solomon Islands"/>
        <s v="M 6.6 - 186 km WNW of Malango, Solomon Islands"/>
        <s v="M 7.0 - 234 km W of Abepura, Indonesia"/>
        <s v="M 6.9 - Fox Islands, Aleutian Islands, Alaska"/>
        <s v="M 7.0 - 80 km WNW of Lata, Solomon Islands"/>
        <s v="M 6.5 - 128 km NE of Bathsheba, Barbados"/>
        <s v="M 6.7 - 150 km WNW of Malango, Solomon Islands"/>
        <s v="M 6.5 - Bonin Islands, Japan region"/>
        <s v="M 7.8 - Bonin Islands, Japan region"/>
        <s v="M 6.8 - 117 km SSE of Ugashik, Alaska"/>
        <s v="M 6.8 - 159 km ESE of Kirakira, Solomon Islands"/>
        <s v="M 6.9 - 205 km ESE of Kirakira, Solomon Islands"/>
        <s v="M 6.8 - 178 km W of Lata, Solomon Islands"/>
        <s v="M 6.8 - 32 km SE of ?funato, Japan"/>
        <s v="M 7.3 - Nepal"/>
        <s v="M 7.1 - 143 km SW of Panguna, Papua New Guinea"/>
        <s v="M 7.5 - 131 km SSW of Kokopo, Papua New Guinea"/>
        <s v="M 6.8 - 109 km SSW of Kokopo, Papua New Guinea"/>
        <s v="M 6.7 - 126 km SSW of Kokopo, Papua New Guinea"/>
        <s v="M 6.7 - 21 km SSE of Kod?ri??, Nepal"/>
        <s v="M 6.6 - 71 km NNE of Bharatpur, Nepal"/>
        <s v="M 7.8 - 67 km NNE of Bharatpur, Nepal"/>
        <s v="M 6.5 - 181 km SSW of Alo, Wallis and Futuna"/>
        <s v="M 6.5 - 96 km ENE of Hihifo, Tonga"/>
        <s v="M 7.5 - 53 km SE of Kokopo, Papua New Guinea"/>
        <s v="M 7.0 - 150 km NNE of Maumere, Indonesia"/>
        <s v="M 6.7 - 83 km ENE of Miyako, Japan"/>
        <s v="M 6.7 - 103 km W of El Aguilar, Argentina"/>
        <s v="M 6.8 - 81 km NNE of Port-Vila, Vanuatu"/>
        <s v="M 6.5 - 236 km S of Punta de Burica, Panama"/>
        <s v="M 6.6 - 22 km ESE of Punta de Burica, Panama"/>
        <s v="M 6.6 - 115 km W of Panguna, Papua New Guinea"/>
        <s v="M 6.6 - 106 km WSW of Sangay, Philippines"/>
        <s v="M 6.8 - 157 km NW of Ternate, Indonesia"/>
        <s v="M 6.5 - 123 km WNW of Tobelo, Indonesia"/>
        <s v="M 6.7 - 183 km NE of Gisborne, New Zealand"/>
        <s v="M 7.1 - 155 km NW of Ternate, Indonesia"/>
        <s v="M 6.6 - 76 km NE of Finschhafen, Papua New Guinea"/>
        <s v="M 7.1 - Fiji region"/>
        <s v="M 7.3 - 74 km S of Intipucá, El Salvador"/>
        <s v="M 6.7 - 43 km NW of Piti Village, Guam"/>
        <s v="M 6.8 - 38 km NW of Aniso, Peru"/>
        <s v="M 6.9 - Federated States of Micronesia region"/>
        <s v="M 6.5 - 139 km ESE of Namie, Japan"/>
        <s v="M 6.9 - 4 km W of Puerto Madero, Mexico"/>
        <s v="M 6.5 - 217 km SSE of Kokopo, Papua New Guinea"/>
        <s v="M 6.7 - 201 km SSE of Mata-Utu, Wallis and Futuna"/>
        <s v="M 7.9 - Rat Islands, Aleutian Islands, Alaska"/>
        <s v="M 6.7 - Kermadec Islands, New Zealand"/>
        <s v="M 6.9 - 21 km SSW of Kamariótissa, Greece"/>
        <s v="M 6.5 - 110 km SE of Punta de Burica, Panama"/>
        <s v="M 6.6 - 239 km SSE of Isangel, Vanuatu"/>
        <s v="M 6.5 - 107 km WSW of Vernon, Canada"/>
        <s v="M 7.5 - 70 km SW of Panguna, Papua New Guinea"/>
        <s v="M 6.6 - 57 km SW of Panguna, Papua New Guinea"/>
        <s v="M 7.2 - 9 km ENE of Coyuquilla Norte, Mexico"/>
        <s v="M 6.6 - 75 km S of Kirakira, Solomon Islands"/>
        <s v="M 7.4 - 112 km S of Kirakira, Solomon Islands"/>
        <s v="M 7.6 - 93 km SSE of Kirakira, Solomon Islands"/>
        <s v="M 6.6 - 15 km N of Belén, Nicaragua"/>
        <s v="M 6.5 - 78 km SW of Panguna, Papua New Guinea"/>
        <s v="M 7.1 - 56 km WSW of Panguna, Papua New Guinea"/>
        <s v="M 7.7 - 53 km SW of Iquique, Chile"/>
        <s v="M 6.5 - 45 km WSW of Iquique, Chile"/>
        <s v="M 6.9 - 90 km WNW of Iquique, Chile"/>
        <s v="M 8.2 - 93 km NW of Iquique, Chile"/>
        <s v="M 6.7 - 63 km WNW of Iquique, Chile"/>
        <s v="M 6.8 - 77 km WNW of Indianola, California"/>
        <s v="M 6.5 - 109 km NW of Nago, Japan"/>
        <s v="M 6.5 - 171 km NNE of Greenland, Barbados"/>
        <s v="M 6.9 - 272 km ESE of Hotan, China"/>
        <s v="M 6.5 - 32 km E of Port-Olry, Vanuatu"/>
        <s v="M 6.5 - south of the Kermadec Islands"/>
        <s v="M 6.5 - 32 km W of Sola, Vanuatu"/>
        <s v="M 6.5 - Fiji region"/>
        <s v="M 7.7 - Scotia Sea"/>
        <s v="M 6.9 - Scotia Sea"/>
        <s v="M 6.6 - 41 km SSW of Coquimbo, Chile"/>
        <s v="M 7.1 - off the east coast of Honshu, Japan"/>
        <s v="M 6.6 - 98 km SW of Etchoropo, Mexico"/>
        <s v="M 6.8 - 62 km WSW of Panguna, Papua New Guinea"/>
        <s v="M 7.1 - 4 km SE of Sagbayan, Philippines"/>
        <s v="M 6.6 - 36 km W of Kíssamos, Greece"/>
        <s v="M 6.7 - Sea of Okhotsk"/>
        <s v="M 6.8 - 129 km WSW of Khuzdar, Pakistan"/>
        <s v="M 7.1 - 16 km WSW of Atiquipa, Peru"/>
        <s v="M 7.7 - 113 km NW of Bela, Pakistan"/>
        <s v="M 6.5 - 81 km SSW of Atka, Alaska"/>
        <s v="M 6.5 - Izu Islands, Japan region"/>
        <s v="M 6.5 - 180 km NE of Lospalos, Timor Leste"/>
        <s v="M 7.0 - 101 km SW of Atka, Alaska"/>
        <s v="M 6.5 - 29 km SE of Blenheim, New Zealand"/>
        <s v="M 6.7 - 101 km WSW of Bahía Solano, Colombia"/>
        <s v="M 6.5 - 38 km ESE of Blenheim, New Zealand"/>
        <s v="M 7.3 - South Sandwich Islands region"/>
        <s v="M 6.6 - 26 km NE of Kandrian, Papua New Guinea"/>
        <s v="M 7.3 - 190 km ENE of Kokopo, Papua New Guinea"/>
        <s v="M 6.6 - northern Mid-Atlantic Ridge"/>
        <s v="M 6.5 - 44 km W of Masachapa, Nicaragua"/>
        <s v="M 6.7 - south of Java, Indonesia"/>
        <s v="M 8.3 - Sea of Okhotsk"/>
        <s v="M 7.4 - 292 km SW of Vaini, Tonga"/>
        <s v="M 6.8 - Pagan region, Northern Mariana Islands"/>
        <s v="M 6.5 - 33 km N of Rabaul, Papua New Guinea"/>
        <s v="M 6.6 - 56 km WSW of Linqiong, China"/>
        <s v="M 7.2 - 252 km ENE of Kuril’sk, Russia"/>
        <s v="M 6.6 - 23 km ESE of Aitape, Papua New Guinea"/>
        <s v="M 7.7 - 79 km ESE of Kh?sh, Iran"/>
        <s v="M 6.6 - 98 km W of Panguna, Papua New Guinea"/>
        <s v="M 7.0 - 260 km WSW of Abepura, Indonesia"/>
        <s v="M 6.5 - 36 km E of Finschhafen, Papua New Guinea"/>
        <s v="M 6.5 - 87 km SE of Ozernovskiy, Russia"/>
        <s v="M 6.9 - 81 km SE of Ozernovskiy, Russia"/>
        <s v="M 6.6 - 183 km SW of Belaya Gora, Russia"/>
        <s v="M 6.6 - 30 km SSW of Lata, Solomon Islands"/>
        <s v="M 6.9 - 2 km NNE of Yacuanquer, Colombia"/>
        <s v="M 7.1 - 32 km SE of Lata, Solomon Islands"/>
        <s v="M 6.8 - 22 km ESE of Lata, Solomon Islands"/>
        <s v="M 6.7 - 33 km SSW of Lata, Solomon Islands"/>
        <s v="M 7.0 - 33 km NW of Lata, Solomon Islands"/>
        <s v="M 7.1 - 112 km WSW of Lata, Solomon Islands"/>
        <s v="M 8.0 - 75 km W of Lata, Solomon Islands"/>
        <s v="M 6.9 - 18 km SSW of Obihiro, Japan"/>
        <s v="M 6.8 - 54 km N of Vallenar, Chile"/>
        <s v="M 7.5 - 110 km SW of Edna Bay, Alaska"/>
        <s v="M 6.7 - 59 km SSW of Sola, Vanuatu"/>
        <s v="M 7.1 - Banda Sea"/>
        <s v="M 7.3 - 234 km SE of ?funato, Japan"/>
        <s v="M 6.5 - 32 km SW of Champerico, Guatemala"/>
        <s v="M 6.8 - 51 km NNE of Shwebo, Myanmar"/>
        <s v="M 7.4 - 33 km S of Champerico, Guatemala"/>
        <s v="M 7.8 - 206 km SW of Prince Rupert, Canada"/>
        <s v="M 6.5 - Costa Rica"/>
        <s v="M 6.6 - 163 km ENE of Tual, Indonesia"/>
        <s v="M 7.3 - 11 km WNW of San Agustín, Colombia"/>
        <s v="M 7.6 - 11 km ENE of Hojancha, Costa Rica"/>
        <s v="M 7.6 - 89 km E of Sulangan, Philippines"/>
        <s v="M 7.3 - 126 km S of Puerto El Triunfo, El Salvador"/>
        <s v="M 6.6 - 140 km WNW of Tobelo, Indonesia"/>
        <s v="M 7.7 - 156 km ENE of Poronaysk, Russia"/>
        <s v="M 6.5 - 105 km ESE of Kokopo, Papua New Guinea"/>
        <s v="M 6.6 - 76 km W of Neiafu, Tonga"/>
        <s v="M 6.7 - 86 km SSE of Manokwari, Indonesia"/>
        <s v="M 6.8 - 140 km N of Lae, Papua New Guinea"/>
        <s v="M 6.7 - 22 km NW of Hacienda La Calera, Chile"/>
        <s v="M 7.0 - 69 km ENE of San Luis, Mexico"/>
        <s v="M 6.5 - 41 km NW of El Habillal, Mexico"/>
        <s v="M 8.2 - off the west coast of northern Sumatra"/>
        <s v="M 8.6 - off the west coast of northern Sumatra"/>
        <s v="M 7.1 - 23 km NE of Constitución, Chile"/>
        <s v="M 6.6 - 11 km ENE of Kainantu, Papua New Guinea"/>
        <s v="M 7.4 - 6 km E of Santiago Llano Grande, Mexico"/>
        <s v="M 6.7 - 38 km NE of Saryg-Sep, Russia"/>
        <s v="M 6.7 - 2 km NNE of Jimalalud, Philippines"/>
        <s v="M 7.1 - 125 km W of Port-Vila, Vanuatu"/>
        <s v="M 7.2 - off the west coast of northern Sumatra"/>
        <s v="M 6.6 - 45 km NNE of Saryg-Sep, Russia"/>
        <s v="M 7.1 - 25 km SSE of Wau, Papua New Guinea"/>
        <s v="M 6.5 - 6 km SSW of Nuevo Balsas, Mexico"/>
        <s v="M 6.9 - 39 km SW of Santiago, Peru"/>
        <s v="M 7.1 - 27 km NNE of Van, Turkey"/>
        <s v="M 6.5 - 4 km ESE of Finschhafen, Papua New Guinea"/>
        <s v="M 6.9 - 43 km NW of Mangan, India"/>
        <s v="M 6.7 - 99 km NE of Miyako, Japan"/>
        <s v="M 6.7 - 68 km WSW of Kabanjahe, Indonesia"/>
        <s v="M 7.0 - 133 km SSE of Isangel, Vanuatu"/>
        <s v="M 7.0 - 64 km ESE of Contamana, Peru"/>
        <s v="M 7.1 - 64 km S of Port-Vila, Vanuatu"/>
        <s v="M 6.5 - 65 km SSW of Port-Vila, Vanuatu"/>
        <s v="M 7.2 - 71 km SSW of Port-Vila, Vanuatu"/>
        <s v="M 6.6 - 103 km NE of Angoram, Papua New Guinea"/>
        <s v="M 7.6 - Kermadec Islands region"/>
        <s v="M 6.7 - 41 km NNE of Miyako, Japan"/>
        <s v="M 6.8 - 124 km NE of Wé, New Caledonia"/>
        <s v="M 6.8 - 79 km W of Kirakira, Solomon Islands"/>
        <s v="M 6.6 - 17 km SSW of Ishikawa, Japan"/>
        <s v="M 7.1 - 29 km ESE of Ishinomaki, Japan"/>
        <s v="M 6.6 - 7 km SW of Helio García Alfaro, Mexico"/>
        <s v="M 6.9 - 27 km NNW of Tachilek, Myanmar"/>
        <s v="M 6.6 - 50 km ESE of ?tsuchi, Japan"/>
        <s v="M 6.5 - 81 km NE of Hasaki, Japan"/>
        <s v="M 7.7 - 272 km ESE of Kamaishi, Japan"/>
        <s v="M 7.9 - 47 km E of ?arai, Japan"/>
        <s v="M 9.1 - 2011 Great Tohoku Earthquake, Japan"/>
        <s v="M 7.3 - 120 km SE of ?funato, Japan"/>
        <s v="M 6.7 - 38 km W of Constitución, Chile"/>
        <s v="M 6.9 - 21 km N of Tomé, Chile"/>
        <s v="M 7.2 - 46 km WSW of Dalbandin, Pakistan"/>
        <s v="M 7.0 - 118 km NNE of Tadine, New Caledonia"/>
        <s v="M 7.2 - 42 km NNW of Carahue, Chile"/>
        <s v="M 7.3 - 141 km W of Isangel, Vanuatu"/>
        <s v="M 6.7 - 111 km SE of Bam, Iran"/>
        <s v="M 6.6 - 52 km ENE of Kandrian, Papua New Guinea"/>
        <s v="M 7.8 - 215 km SW of Sungai Penuh, Indonesia"/>
        <s v="M 6.7 - 97 km SSW of El Huitusi, Mexico"/>
        <s v="M 7.0 - Near the south coast of Papua, Indonesia"/>
        <s v="M 7.0 - 19 km NE of Methven, New Zealand"/>
        <s v="M 7.1 - Ecuador"/>
        <s v="M 7.3 - 33 km NW of Port-Vila, Vanuatu"/>
        <s v="M 7.0 - 72 km ESE of Kimbe, Papua New Guinea"/>
        <s v="M 6.5 - 118 km ESE of Madang, Papua New Guinea"/>
        <s v="M 7.6 - 61 km W of Bantogon, Philippines"/>
        <s v="M 7.3 - New Britain region, Papua New Guinea"/>
        <s v="M 6.9 - 56 km SE of Kimbe, Papua New Guinea"/>
        <s v="M 6.6 - 30 km SSE of Cañete, Chile"/>
        <s v="M 6.7 - 55 km WSW of Kirakira, Solomon Islands"/>
        <s v="M 6.6 - 135 km SSE of Biak, Indonesia"/>
        <s v="M 7.0 - 121 km SSE of Biak, Indonesia"/>
        <s v="M 7.5 - Nicobar Islands, India region"/>
        <s v="M 7.2 - 100 km WNW of Sola, Vanuatu"/>
        <s v="M 7.2 - 45 km SSW of Meulaboh, Indonesia"/>
        <s v="M 6.9 - 233 km NNW of Qamdo, China"/>
        <s v="M 6.9 - 99 km WSW of Kirakira, Solomon Islands"/>
        <s v="M 7.8 - 75 km E of Sinabang, Indonesia"/>
        <s v="M 7.2 - 12km SW of Delta, B.C., MX"/>
        <s v="M 6.6 - 217 km N of Bamboo Flat, India"/>
        <s v="M 6.7 - 52 km NNW of Tomé, Chile"/>
        <s v="M 6.5 - 59 km ENE of Namie, Japan"/>
        <s v="M 7.0 - 52 km NW of Santa Cruz, Chile"/>
        <s v="M 6.9 - 61 km NW of Santa Cruz, Chile"/>
        <s v="M 6.8 - 141 km W of Bengkulu, Indonesia"/>
        <s v="M 6.6 - 23 km WNW of Talcahuano, Chile"/>
        <s v="M 6.5 - 48 km NW of Sola, Vanuatu"/>
        <s v="M 7.4 - 124 km W of Lebu, Chile"/>
        <s v="M 8.8 - 36 km WNW of Quirihue, Chile"/>
        <s v="M 7.0 - 70 km SE of Katsuren-haebaru, Japan"/>
        <s v="M 7.0 - 10 km SE of Léogâne, Haiti"/>
        <s v="M 6.5 - 37 km WNW of Ferndale, California"/>
        <s v="M 6.8 - 127 km SE of Gizo, Solomon Islands"/>
        <s v="M 7.1 - 94 km SE of Gizo, Solomon Islands"/>
        <s v="M 6.6 - 98 km SE of Gizo, Solomon Islands"/>
        <s v="M 6.5 - 92 km N of Iquique, Chile"/>
        <s v="M 7.3 - 77 km ENE of Ba, Fiji"/>
        <s v="M 6.6 - 29 km NNW of Bima, Indonesia"/>
        <s v="M 6.8 - 98 km NNE of Naze, Japan"/>
        <s v="M 6.9 - 268 km WSW of Tual, Indonesia"/>
        <s v="M 6.8 - 188 km WNW of Sola, Vanuatu"/>
        <s v="M 7.4 - 143 km NW of Sola, Vanuatu"/>
        <s v="M 7.8 - 196 km NW of Sola, Vanuatu"/>
        <s v="M 7.7 - 148 km NW of Sola, Vanuatu"/>
        <s v="M 6.6 - 49 km SSE of Sungai Penuh, Indonesia"/>
        <s v="M 7.6 - 30 km WSW of Pariaman, Indonesia"/>
        <s v="M 8.1 - 168 km SSW of Matavai, Samoa"/>
        <s v="M 7.0 - 66 km SSW of Banjar, Indonesia"/>
        <s v="M 6.7 - 112 km WSW of Padang, Indonesia"/>
        <s v="M 6.6 - 244 km SSE of Tateyama, Japan"/>
        <s v="M 7.5 - 266 km N of Bamboo Flat, India"/>
        <s v="M 7.1 - 161 km S of ?yama, Japan"/>
        <s v="M 6.9 - 96 km WNW of Bahía de Kino, Mexico"/>
        <s v="M 7.8 - 97 km WSW of Te Anau, New Zealand"/>
        <s v="M 6.7 - 190 km ESE of Kokopo, Papua New Guinea"/>
        <s v="M 7.3 - 46 km NW of Guanaja, Honduras"/>
        <s v="M 7.6 - 191 km S of ‘Ohonua, Tonga"/>
        <s v="M 7.2 - 196 km SSE of Sarangani, Philippines"/>
        <s v="M 7.4 - 86 km WNW of Manokwari, Indonesia"/>
        <s v="M 6.6 - 50 km S of Jurm, Afghanistan"/>
        <s v="M 7.7 - 140 km WNW of Manokwari, Indonesia"/>
        <s v="M 7.4 - 135 km NW of Gorontalo, Indonesia"/>
        <s v="M 6.7 - 19 km SW of Brisas Barra de Suchiate, Mexico"/>
        <s v="M 6.7 - 131 km SE of Nookat, Kyrgyzstan"/>
        <s v="M 6.8 - 122 km SSE of Obihiro, Japan"/>
        <s v="M 6.6 - 73 km WNW of Tobelo, Indonesia"/>
        <s v="M 6.9 - 75 km WNW of Sola, Vanuatu"/>
        <s v="M 6.7 - 221 km NE of Jumla, Nepal"/>
        <s v="M 6.8 - 29 km ENE of Morioka, Japan"/>
        <s v="M 7.0 - 107 km E of Namie, Japan"/>
        <s v="M 6.9 - 151 km E of Namie, Japan"/>
        <s v="M 6.6 - 124 km SW of Bamboo Flat, India"/>
        <s v="M 6.9 - 24 km WSW of Mizusawa, Japan"/>
        <s v="M 7.9 - 58 km W of Tianpeng, China"/>
        <s v="M 6.9 - 78 km NE of Hasaki, Japan"/>
        <s v="M 7.3 - 71 km SW of Isangel, Vanuatu"/>
        <s v="M 7.2 - 226 km SE of Hotan, China"/>
        <s v="M 6.9 - Philippine Islands region"/>
        <s v="M 6.7 - 155 km SSW of Padang, Indonesia"/>
        <s v="M 6.6 - 161 km SSW of Padang, Indonesia"/>
        <s v="M 7.2 - 164 km WSW of Sungai Penuh, Indonesia"/>
        <s v="M 6.5 - 166 km WSW of Sungai Penuh, Indonesia"/>
        <s v="M 7.4 - 56 km NW of Sinabang, Indonesia"/>
        <s v="M 6.5 - 50 km S of Koróni, Greece"/>
        <s v="M 6.9 - 35 km S of Methóni, Greece"/>
        <s v="M 6.5 - 9 km SSW of General Pascual Fentes, Mexico"/>
        <s v="M 6.6 - 46 km SSE of Gisborne, New Zealand"/>
        <s v="M 6.7 - 80 km NNE of Antofagasta, Chile"/>
        <s v="M 7.4 - 18 km WNW of Basse-Pointe, Martinique"/>
        <s v="M 6.6 - 60 km SSE of Kirakira, Solomon Islands"/>
        <s v="M 6.5 - 34 km N of Dompu, Indonesia"/>
        <s v="M 6.5 - 28 km NNW of Dompu, Indonesia"/>
        <s v="M 6.8 - 107 km N of Lae, Papua New Guinea"/>
        <s v="M 6.8 - 30 km E of Macas, Ecuador"/>
        <s v="M 6.8 - 82 km NNE of Antofagasta, Chile"/>
        <s v="M 7.7 - 36 km ESE of Tocopilla, Chile"/>
        <s v="M 6.8 - 138 km W of Bengkulu, Indonesia"/>
        <s v="M 6.8 - 70 km N of Te Anau, New Zealand"/>
        <s v="M 6.8 - 154 km ESE of Kokopo, Papua New Guinea"/>
        <s v="M 6.7 - 118 km SSW of Padang, Indonesia"/>
        <s v="M 7.0 - 153 km SSW of Padang, Indonesia"/>
        <s v="M 6.5 - Kepulauan Mentawai region, Indonesia"/>
        <s v="M 7.9 - 87 km SW of Sungai Penuh, Indonesia"/>
        <s v="M 7.8 - 148 km WSW of Sungai Penuh, Indonesia"/>
        <s v="M 8.4 - 122 km SW of Bengkulu, Indonesia"/>
        <s v="M 6.8 - 39 km WNW of Timbiquí, Colombia"/>
        <s v="M 7.2 - 97 km S of Lata, Solomon Islands"/>
        <s v="M 6.5 - 31 km WSW of Malango, Solomon Islands"/>
        <s v="M 8.0 - 41 km SW of San Vicente de Cañete, Peru"/>
        <s v="M 7.5 - 35 km NNE of Rengasdengklok, Indonesia"/>
        <s v="M 7.2 - 56 km E of Luganville, Vanuatu"/>
        <s v="M 6.9 - 140 km NNW of Tobelo, Indonesia"/>
        <s v="M 6.8 - 133 km WNW of Mikuni, Japan"/>
        <s v="M 6.6 - 20 km NNW of Kashiwazaki, Japan"/>
        <s v="M 6.7 - 43 km SSE of Iztapa, Guatemala"/>
        <s v="M 6.9 - 113 km SSE of Panguna, Papua New Guinea"/>
        <s v="M 6.6 - 99 km SSE of Panguna, Papua New Guinea"/>
        <s v="M 8.1 - 45 km SSE of Gizo, Solomon Islands"/>
        <s v="M 6.7 - 46 km NW of Nanao, Japan"/>
        <s v="M 7.1 - 119 km S of Isangel, Vanuatu"/>
        <s v="M 6.7 - 206 km SSW of Sofifi, Indonesia"/>
        <s v="M 7.5 - 126 km WNW of Ternate, Indonesia"/>
        <s v="M 8.1 - east of the Kuril Islands"/>
        <s v="M 6.9 - 26 km W of Hengchun, Taiwan"/>
        <s v="M 7.1 - 30 km SW of Hengchun, Taiwan"/>
        <s v="M 8.3 - Kuril Islands"/>
        <s v="M 6.6 - 155 km SE of Kimbe, Papua New Guinea"/>
        <s v="M 6.7 - 52 km SW of San Vicente de Cañete, Peru"/>
        <s v="M 6.7 - 100 km ESE of Kimbe, Papua New Guinea"/>
        <s v="M 6.7 - 14 km SW of Puako, Hawaii"/>
        <s v="M 6.9 - 201 km ESE of Hihifo, Tonga"/>
        <s v="M 6.8 - 49 km S of Panguna, Papua New Guinea"/>
        <s v="M 6.5 - 81 km ESE of Ozernovskiy, Russia"/>
        <s v="M 6.8 - 51 km NE of Norsup, Vanuatu"/>
        <s v="M 7.7 - 226 km SSW of Singaparna, Indonesia"/>
        <s v="M 6.5 - 111 km E of Kimbe, Papua New Guinea"/>
        <s v="M 6.6 - 42 km NNW of Tilichiki, Russia"/>
        <s v="M 6.8 - 256 km SSW of Singkil, Indonesia"/>
        <s v="M 8.0 - 47 km SSE of Pangai, Tonga"/>
        <s v="M 8.0 - 50 km ESE of Pangai, Tonga"/>
        <s v="M 6.5 - 73 km WNW of Copiapó, Chile"/>
        <s v="M 6.7 - 78 km WNW of Copiapó, Chile"/>
        <s v="M 6.6 - 80 km E of Tilichiki, Russia"/>
        <s v="M 7.6 - 80 km NE of Tilichiki, Russia"/>
        <s v="M 6.5 - 130 km NNW of Lautoka, Fiji"/>
        <s v="M 6.7 - 108 km W of Ambon, Indonesia"/>
        <s v="M 7.0 - 160 km SE of Chipinge, Zimbabwe"/>
        <s v="M 6.7 - 26 km NE of Kýthira, Greece"/>
        <s v="M 6.6 - 75 km SSW of Bahía de Kino, Mexico"/>
        <s v="M 6.5 - 53 km SW of Ashk?sham, Afghanistan"/>
        <s v="M 6.8 - 76 km ESE of Kalemie, Democratic Republic of the Congo"/>
        <s v="M 6.5 - 80 km ESE of Ishinomaki, Japan"/>
        <s v="M 6.5 - 57 km SE of Sinabang, Indonesia"/>
        <s v="M 6.8 - 68 km NNE of San Pedro de Atacama, Chile"/>
        <s v="M 7.6 - 21 km NNE of Muzaffar?b?d, Pakistan"/>
        <s v="M 6.6 - 129 km SSW of Kokopo, Papua New Guinea"/>
        <s v="M 7.5 - 39 km NW of Yurimaguas, Peru"/>
        <s v="M 7.6 - 135 km E of Kokopo, Papua New Guinea"/>
        <s v="M 7.2 - 66 km ESE of Ishinomaki, Japan"/>
        <s v="M 7.2 - Nicobar Islands, India region"/>
        <s v="M 6.7 - 94 km WSW of Singkil, Indonesia"/>
        <s v="M 6.6 - 32 km W of San Juan del Sur, Nicaragua"/>
        <s v="M 7.2 - 153 km W of Big Lagoon, California"/>
        <s v="M 7.8 - 102 km ENE of Iquique, Chile"/>
        <s v="M 6.9 - 89 km WSW of Singkil, Indonesia"/>
        <s v="M 6.7 - 125 km SW of Padangsidempuan, Indonesia"/>
        <s v="M 6.5 - 106 km SW of Padang, Indonesia"/>
        <s v="M 6.7 - 113 km SW of Padang, Indonesia"/>
        <s v="M 8.6 - 78 km WSW of Singkil, Indonesia"/>
        <s v="M 6.6 - 28 km NNW of Maebaru-ch??, Japan"/>
        <s v="M 6.8 - 99 km WNW of Sinabang, Indonesia"/>
        <s v="M 6.5 - 81 km SSW of Katabu, Indonesia"/>
        <s v="M 6.5 - Pulau-Pulau Talaud, Indonesia"/>
        <s v="M 6.7 - 52 km SW of Sola, Vanuatu"/>
        <s v="M 7.1 - 138 km SW of Palimbang, Philippines"/>
        <s v="M 6.6 - 161 km SE of Katsuura, Japan"/>
        <s v="M 7.2 - 284 km WNW of Sabang, Indonesia"/>
        <s v="M 9.1 - 2004 Sumatra - Andaman Islands Earthquake"/>
        <s v="M 8.1 - north of Macquarie Island"/>
        <s v="M 6.8 - 36 km S of George Town, Cayman Islands"/>
        <s v="M 6.8 - 54 km SSW of Nemuro, Japan"/>
        <s v="M 7.0 - 51 km SW of Nemuro, Japan"/>
        <s v="M 7.1 - 29 km SSW of Nabire, Indonesia"/>
        <s v="M 7.1 - 255 km W of Riverton, New Zealand"/>
        <s v="M 7.2 - 32 km SSW of Pizarro, Colombia"/>
        <s v="M 7.5 - 63 km NW of Maubara, Timor Leste"/>
        <s v="M 6.7 - 80 km SSE of Kirakira, Solomon Islands"/>
        <s v="M 6.7 - 189 km SW of Port McNeill, Canada"/>
        <s v="M 6.6 - 8 km SSW of Ojiya, Japan"/>
        <s v="M 6.7 - 31 km WNW of Yonakuni, Japan"/>
        <s v="M 7.0 - 43 km SSW of Masachapa, Nicaragua"/>
        <s v="M 6.5 - 9 km W of Talisay, Philippines"/>
        <s v="M 6.8 - 60 km SSE of Kirakira, Solomon Islands"/>
        <s v="M 6.6 - 129 km ESE of Shing?, Japan"/>
        <s v="M 7.4 - 118 km ESE of Shing?, Japan"/>
        <s v="M 7.2 - 94 km SE of Shing?, Japan"/>
        <s v="M 6.5 - 67 km ESE of Teno, Chile"/>
        <s v="M 6.5 - 117 km WNW of Manokwari, Indonesia"/>
        <s v="M 6.9 - 24 km ENE of Atlasovo, Russia"/>
        <s v="M 6.6 - 11 km N of Cañete, Chile"/>
        <s v="M 6.7 - 105 km WNW of Naisano Dua, Indonesia"/>
        <s v="M 6.5 - 86 km NNW of Sola, Vanuatu"/>
        <s v="M 6.6 - Afghanistan-Tajikistan-Pakistan region"/>
        <s v="M 6.7 - 38 km SSW of Nabire, Indonesia"/>
        <s v="M 7.3 - Near the south coast of Papua, Indonesia"/>
        <s v="M 7.0 - 28 km S of Nabire, Indonesia"/>
        <s v="M 6.7 - 107 km NW of Ambon, Indonesia"/>
        <s v="M 7.3 - 201 km ESE of Tadine, New Caledonia"/>
        <s v="M 6.6 - 13 km SSW of Bam, Iran"/>
        <s v="M 6.5 - 3 km SSE of Progreso, Panama"/>
        <s v="M 6.5 - 10 km NE of San Simeon, California"/>
        <s v="M 6.8 - 92 km E of Yujing, Taiwan"/>
        <s v="M 6.6 - 82 km E of Kimbe, Papua New Guinea"/>
        <s v="M 6.5 - 4 km NW of Can-Avid, Philippines"/>
        <s v="M 6.6 - 51 km NW of Isangel, Vanuatu"/>
        <s v="M 7.0 - 133 km ESE of Ishinomaki, Japan"/>
        <s v="M 6.7 - 39 km SSE of Kushiro, Japan"/>
        <s v="M 6.7 - 9 km S of Aktash, Russia"/>
        <s v="M 6.5 - 58 km S of Kushiro, Japan"/>
        <s v="M 7.3 - 29 km S of Aktash, Russia"/>
        <s v="M 7.4 - 119 km ESE of Shizunai-furukawach?, Japan"/>
        <s v="M 8.2 - 134 km SSW of Kushiro, Japan"/>
        <s v="M 6.6 - 16 km SE of Taungdwingyi, Myanmar"/>
        <s v="M 7.2 - 56 km NW of Te Anau, New Zealand"/>
        <s v="M 7.6 - Scotia Sea"/>
        <s v="M 6.5 - 41 km N of Rabaul, Papua New Guinea"/>
        <s v="M 6.8 - 42 km W of Ovalle, Chile"/>
        <s v="M 6.9 - 25 km ESE of Atlasovo, Russia"/>
        <s v="M 6.6 - 87 km SSE of Kokopo, Papua New Guinea"/>
        <s v="M 7.0 - 116 km NE of Tobelo, Indonesia"/>
        <s v="M 7.0 - 27 km SSW of ?funato, Japan"/>
        <s v="M 6.8 - 25 km WNW of Dellys, Algeria"/>
        <s v="M 6.5 - 46 km NE of Ruteng, Indonesia"/>
        <s v="M 6.8 - 114 km ESE of Kokopo, Papua New Guinea"/>
        <s v="M 7.6 - 16 km SSW of Cuyutlán, Mexico"/>
        <s v="M 6.5 - 33 km S of Puerto San José, Guatemala"/>
        <s v="M 7.3 - 126 km W of Kirakira, Solomon Islands"/>
        <s v="M 6.7 - 191 km SE of Kokopo, Papua New Guinea"/>
        <s v="M 6.7 - New Ireland region, Papua New Guinea"/>
        <s v="M 7.9 - 75 km E of Cantwell, Alaska"/>
        <s v="M 7.4 - 50 km NW of Sinabang, Indonesia"/>
        <s v="M 6.6 - 53 km ENE of Cantwell, Alaska"/>
        <s v="M 6.7 - 72 km S of Manokwari, Indonesia"/>
        <s v="M 7.6 - 102 km SSE of Manokwari, Indonesia"/>
        <s v="M 6.5 - 152 km NNE of Bamboo Flat, India"/>
        <s v="M 7.6 - 68 km ESE of Aitape, Papua New Guinea"/>
        <s v="M 6.5 - 114 km SSE of San Jose Village, Northern Mariana Islands"/>
        <s v="M 6.5 - 14 km SE of Punta de Burica, Panama"/>
        <s v="M 6.5 - 59 km SSW of Abhar, Iran"/>
        <s v="M 6.6 - 20 km SW of Monte Patria, Chile"/>
        <s v="M 6.7 - 190 km NW of Sola, Vanuatu"/>
        <s v="M 7.1 - 20 km SSW of Merizo Village, Guam"/>
        <s v="M 6.7 - 31 km SW of Copiapó, Chile"/>
        <s v="M 6.8 - 27 km SSW of Nuxco, Mexico"/>
        <s v="M 7.1 - 67 km ENE of Hualien City, Taiwan"/>
        <s v="M 6.5 - 107 km NE of Calama, Chile"/>
        <s v="M 7.5 - Mindanao, Philippines"/>
        <s v="M 7.4 - 51 km SW of Jurm, Afghanistan"/>
        <s v="M 6.6 - 125 km E of Kimbe, Papua New Guinea"/>
        <s v="M 6.5 - 5 km NE of Sultanda??, Turkey"/>
        <s v="M 6.7 - 11 km SE of Aitape, Papua New Guinea"/>
        <s v="M 6.6 - 33 km WNW of Port-Vila, Vanuatu"/>
        <s v="M 7.2 - 50 km WNW of Port-Vila, Vanuatu"/>
        <s v="M 6.8 - 22 km WNW of Malango, Solomon Islands"/>
        <s v="M 6.8 - 62 km SSW of Yonakuni, Japan"/>
        <s v="M 6.5 - 3 km NW of Hanamaki, Japan"/>
        <s v="M 7.8 - Southern Qinghai, China"/>
        <s v="M 7.0 - 40 km S of Kimbe, Papua New Guinea"/>
        <s v="M 7.5 - 155 km E of Kendari, Indonesia"/>
        <s v="M 7.0 - 69 km SSE of Inarajan Village, Guam"/>
        <s v="M 6.5 - 108 km WNW of Manokwari, Indonesia"/>
        <s v="M 6.6 - 74 km S of Kokhanok, Alaska"/>
        <s v="M 6.5 - 32 km WNW of Skýros, Greece"/>
        <s v="M 7.6 - 51 km SW of Punta de Bombón, Peru"/>
        <s v="M 6.6 - 31 km S of Achanizo, Peru"/>
        <s v="M 6.7 - 34 km WSW of Pacocha, Peru"/>
        <s v="M 8.4 - 6 km SSW of Atico, Peru"/>
        <s v="M 6.7 - 128 km SSE of Panguna, Papua New Guinea"/>
        <s v="M 6.8 - 16 km SSW of Kure, Japan"/>
        <s v="M 6.5 - 41 km SSW of Ambon, Indonesia"/>
        <s v="M 6.8 - 7 km SSE of Longbranch, Washington"/>
        <s v="M 7.1 - 137 km WNW of Ternate, Indonesia"/>
        <s v="M 7.4 - 102 km SSE of Bengkulu, Indonesia"/>
        <s v="M 6.6 - 5 km S of Cojutepeque, El Salvador"/>
        <s v="M 7.7 - 17 km NW of Bhach?u, India"/>
        <s v="M 6.9 - 59 km WSW of Bengkulu, Indonesia"/>
        <s v="M 7.7 - 28 km SSW of Puerto El Triunfo, El Salvador"/>
        <s v="M 6.9 - 47 km S of Old Harbor, Alaska"/>
        <s v="M 7.1 - 16 km NE of Port-Olry, Vanuatu"/>
        <s v="M 6.8 - Mindanao, Philippines"/>
        <s v="M 7.5 - 21 km SE of Lukatan, Philippines"/>
        <s v="M 6.5 - 52 km ENE of Kokopo, Papua New Guinea"/>
        <s v="M 7.0 - 37 km E of Balkanabat, Turkmenistan"/>
        <s v="M 6.5 - 23 km SSE of Badamdar, Azerbaijan"/>
        <s v="M 6.8 - 15 km SSE of Baku, Azerbaijan"/>
        <s v="M 6.8 - 112 km SSW of Kokopo, Papua New Guinea"/>
        <s v="M 6.6 - 131 km SE of Kokopo, Papua New Guinea"/>
        <s v="M 7.8 - 138 km SSW of Kokopo, Papua New Guinea"/>
        <s v="M 6.5 - 118 km ESE of Kokopo, Papua New Guinea"/>
        <s v="M 7.8 - 135 km SE of Kokopo, Papua New Guinea"/>
        <s v="M 8.0 - 24 km N of Rabaul, Papua New Guinea"/>
        <s v="M 6.5 - 10 km SW of Juradó, Colombia"/>
        <s v="M 7.0 - 191 km ESE of Kokopo, Papua New Guinea"/>
        <s v="M 6.8 - 29 km SW of Labuan, Indonesia"/>
        <s v="M 6.7 - 8 km ESE of Matsue, Japan"/>
        <s v="M 7.0 - 29 km WNW of Luganville, Vanuatu"/>
        <s v="M 6.5 - 15 km W of Nkove, Tanzania"/>
        <s v="M 6.8 - 98 km WSW of Ambon, Indonesia"/>
        <s v="M 6.5 - 24 km NNW of El Habillal, Mexico"/>
        <s v="M 6.8 - 35 km SSE of Uglegorsk, Russia"/>
        <s v="M 6.6 - 161 km SSE of Lata, Solomon Islands"/>
        <s v="M 6.5 - 94 km SSE of Shimoda, Japan"/>
        <s v="M 6.6 - 227 km SE of Kandrian, Papua New Guinea"/>
        <s v="M 6.5 - 24 km SSW of Larsen Bay, Alaska"/>
        <s v="M 6.5 - 12 km ENE of Selfoss, Iceland"/>
        <s v="M 7.9 - South Indian Ocean"/>
        <s v="M 6.5 - 25 km E of Selfoss, Iceland"/>
        <s v="M 6.7 - 98 km SSW of Bengkulu, Indonesia"/>
        <s v="M 6.7 - 95 km S of Bengkulu, Indonesia"/>
        <s v="M 7.9 - 103 km S of Bengkulu, Indonesia"/>
        <s v="M 7.2 - 75 km N of San Antonio de los Cobres, Argentina"/>
        <s v="M 7.6 - 89 km E of Luwuk, Indonesia"/>
        <s v="M 6.6 - 62 km SSW of Ialibu, Papua New Guinea"/>
        <s v="M 6.6 - 87 km ESE of Kimbe, Papua New Guinea"/>
        <s v="M 6.8 - 84 km S of Shikotan, Russia"/>
        <s v="M 7.2 - 117 km SSW of Hihifo, Tonga"/>
        <s v="M 6.9 - 50 km WSW of Lata, Solomon Islands"/>
        <s v="M 6.5 - 59 km SSW of Labuan, Indonesia"/>
        <s v="M 7.3 - 14 km WNW of Bolitoc, Philippines"/>
        <s v="M 7.0 - 26 km SSE of Karluk, Alaska"/>
        <s v="M 6.6 - 127 km ESE of Arica, Chile"/>
        <s v="M 7.5 - 92 km ESE of Lakatoro, Vanuatu"/>
        <s v="M 7.0 - 88 km W of Kandrian, Papua New Guinea"/>
        <s v="M 6.9 - 84 km WNW of Kandrian, Papua New Guinea"/>
        <s v="M 7.2 - 8 km S of Düzce, Turkey"/>
        <s v="M 6.5 - 31 km SW of Ashk?sham, Afghanistan"/>
        <s v="M 7.1 - Hector Mine, CA Earthquake"/>
        <s v="M 7.5 - 15 km W of San Baltazar Loxicha, Mexico"/>
        <s v="M 6.5 - 31 km SE of Puli, Taiwan"/>
        <s v="M 7.7 - 21 km S of Puli, Taiwan"/>
        <s v="M 6.6 - 66 km E of Lakatoro, Vanuatu"/>
        <s v="M 6.9 - 42 km S of Quepos, Costa Rica"/>
        <s v="M 7.6 - 4 km ESE of Derince, Turkey"/>
        <s v="M 6.7 - 16 km N of Potrerillos, Honduras"/>
        <s v="M 7.0 - 1 km SE of Texcala, Mexico"/>
        <s v="M 6.6 - 113 km SE of Kokopo, Papua New Guinea"/>
        <s v="M 7.1 - 51 km SSE of Kokopo, Papua New Guinea"/>
        <s v="M 7.1 - 92 km ENE of Kimbe, Papua New Guinea"/>
        <s v="M 6.8 - 132 km WSW of Haveluloto, Tonga"/>
        <s v="M 7.4 - 63 km W of Kimbe, Papua New Guinea"/>
        <s v="M 6.8 - 6 km SE of Camaná, Peru"/>
        <s v="M 6.6 - 9 km NNW of P?palkoti, India"/>
        <s v="M 6.9 - 78 km WSW of Adak, Alaska"/>
        <s v="M 6.9 - 123 km SE of Vilyuchinsk, Russia"/>
        <s v="M 7.1 - 69 km S of Tabiauan, Philippines"/>
        <s v="M 6.6 - 110 km SSE of K?h Sef?d, Iran"/>
        <s v="M 7.3 - 146 km NW of Sola, Vanuatu"/>
        <s v="M 6.6 - 18 km WSW of Nikolski, Alaska"/>
        <s v="M 7.0 - 110 km ESE of Kokopo, Papua New Guinea"/>
        <s v="M 6.8 - 131 km WSW of Haveluloto, Tonga"/>
        <s v="M 7.7 - 264 km ESE of Luwuk, Indonesia"/>
        <s v="M 7.0 - 278 km NE of Lospalos, Timor Leste"/>
        <s v="M 6.7 - 282 km NE of Lospalos, Timor Leste"/>
        <s v="M 6.6 - 8 km WSW of Sumberpucung, Indonesia"/>
        <s v="M 6.6 - 66 km NNW of Coquimbo, Chile"/>
        <s v="M 6.8 - 123 km SSE of Pondaguitan, Philippines"/>
        <s v="M 7.2 - 3 km E of Bahía de Caráquez, Ecuador"/>
        <s v="M 6.7 - 192 km W of Abepura, Indonesia"/>
        <s v="M 7.0 - 50 km WNW of Aitape, Papua New Guinea"/>
        <s v="M 7.0 - 52 km SE of Lata, Solomon Islands"/>
        <s v="M 6.6 - 24 km E of Rust?q, Afghanistan"/>
        <s v="M 6.6 - 25 km NNW of Mizque, Bolivia"/>
        <s v="M 6.7 - 127 km NNW of Palu, Indonesia"/>
        <s v="M 6.6 - 108 km SW of Kokopo, Papua New Guinea"/>
        <s v="M 7.5 - 254 km SSE of Ishigaki, Japan"/>
        <s v="M 6.6 - 43 km NE of San Fernando, Peru"/>
        <s v="M 7.0 - 95 km W of Pariaman, Indonesia"/>
        <s v="M 6.6 - 52 km ESE of Kerman, Iran"/>
        <s v="M 7.1 - 34 km SSE of Antofagasta, Chile"/>
        <s v="M 6.7 - 149 km ENE of Labasa, Fiji"/>
        <s v="M 6.6 - 47 km SSW of Ovalle, Chile"/>
        <s v="M 6.6 - 10 km SSW of San José El Ídolo, Guatemala"/>
        <s v="M 7.2 - 117 km N of Finschhafen, Papua New Guinea"/>
        <s v="M 7.8 - 156 km S of Ust’-Kamchatsk Staryy, Russia"/>
        <s v="M 7.0 - 97 km NW of Gorontalo, Indonesia"/>
        <s v="M 6.6 - 22 km SW of Lithakiá, Greece"/>
        <s v="M 7.0 - 34 km ESE of Port-Olry, Vanuatu"/>
        <s v="M 6.5 - 13 km NNE of San Sebastián, El Salvador"/>
        <s v="M 7.5 - western Xizang"/>
        <s v="M 7.2 - 51 km N of Barranca, Peru"/>
        <s v="M 7.1 - 36 km SW of Monte Patria, Chile"/>
        <s v="M 7.8 - 192 km WSW of Haveluloto, Tonga"/>
        <s v="M 6.5 - 18 km E of Talisay, Philippines"/>
        <s v="M 6.8 - 24 km SW of Roncesvalles, Colombia"/>
        <s v="M 6.6 - 64 km NNE of Angoram, Papua New Guinea"/>
        <s v="M 6.9 - 4 km ENE of El Ciruelo, Mexico"/>
        <s v="M 7.0 - 26 km WSW of Carúpano, Venezuela"/>
        <s v="M 6.8 - 52 km WSW of Coquimbo, Chile"/>
        <s v="M 6.5 - 5 km ENE of Churumuco de Morelos, Mexico"/>
        <s v="M 6.8 - 99 km S of Isangel, Vanuatu"/>
        <s v="M 6.5 - 51 km S of Jurm, Afghanistan"/>
        <s v="M 7.3 - 58 km E of Q?’en, Iran"/>
        <s v="M 6.5 - 49 km N of Yigo Village, Guam"/>
        <s v="M 6.7 - 18 km WSW of Scarborough, Trinidad and Tobago"/>
        <s v="M 7.7 - 171 km NNW of Sola, Vanuatu"/>
        <s v="M 6.5 - 49 km W of Finschhafen, Papua New Guinea"/>
        <s v="M 6.9 - 121 km E of Kinablangan, Philippines"/>
        <s v="M 7.1 - 29 km ESE of Harnai, Pakistan"/>
        <s v="M 6.5 - Turkmenistan-Iran border region"/>
        <s v="M 7.2 - 46 km WNW of El Habillal, Mexico"/>
        <s v="M 6.5 - 131 km W of Iwanai, Japan"/>
        <s v="M 6.7 - 17 km SW of Miyazaki, Japan"/>
        <s v="M 6.9 - 130 km ENE of Thang, India"/>
        <s v="M 7.7 - 60 km SW of Changuillo, Peru"/>
        <s v="M 6.7 - 5 km SE of Miyazaki, Japan"/>
        <s v="M 6.6 - 20 km SSE of Nishinoomote, Japan"/>
        <s v="M 6.8 - 90 km S of Panguna, Papua New Guinea"/>
        <s v="M 6.8 - 36 km SW of Paphos, Cyprus"/>
        <s v="M 6.6 - 24 km NE of Cortes, Philippines"/>
        <s v="M 6.6 - 22 km NNE of Cortes, Philippines"/>
        <s v="M 6.8 - 78 km E of Hengchun, Taiwan"/>
        <s v="M 6.9 - 62 km WSW of Kirakira, Solomon Islands"/>
        <s v="M 7.0 - 220 km NNE of Palu, Indonesia"/>
        <s v="M 6.6 - 217 km NNE of Palu, Indonesia"/>
        <s v="M 6.8 - 26 km NNE of Coyuquilla Norte, Mexico"/>
        <s v="M 7.9 - 169 km NNE of Maumere, Indonesia"/>
        <s v="M 7.1 - 8 km NNE of Palapag, Philippines"/>
        <s v="M 7.3 - 46 km SSW of Adak, Alaska"/>
        <s v="M 7.9 - 77 km WSW of Adak, Alaska"/>
        <s v="M 6.7 - 63 km NW of Sola, Vanuatu"/>
        <s v="M 7.2 - 58 km WSW of Panguna, Papua New Guinea"/>
        <s v="M 6.6 - 44 km SE of Antofagasta, Chile"/>
        <s v="M 6.7 - 44 km NNE of Port-Olry, Vanuatu"/>
        <s v="M 6.7 - 30 km WSW of Villa El Carmen, Nicaragua"/>
        <s v="M 6.6 - 39 km WSW of Masachapa, Nicaragua"/>
        <s v="M 7.1 - 24 km SSW of Santa María Chico Ometepec, Mexico"/>
        <s v="M 7.5 - 123 km WSW of Puerto Santa, Peru"/>
        <s v="M 6.5 - 32 km NNE of Biak, Indonesia"/>
        <s v="M 6.5 - 67 km NNW of Insrom, Indonesia"/>
        <s v="M 8.1 - 101 km ENE of Biak, Indonesia"/>
        <s v="M 6.7 - 123 km E of Namie, Japan"/>
        <s v="M 7.2 - 158 km E of Kuril’sk, Russia"/>
        <s v="M 6.6 - 47 km N of Lijiang, China"/>
        <s v="M 6.6 - 106 km NE of Yelizovo, Russia"/>
        <s v="M 7.9 - 181 km N of Palu, Indonesia"/>
        <s v="M 7.1 - 297 km NE of Lospalos, Timor Leste"/>
        <s v="M 6.5 - 130 km SSW of Abepura, Indonesia"/>
        <s v="M 7.9 - 128 km ESE of Kuril’sk, Russia"/>
        <s v="M 7.2 - 27 km SSE of Nuwaybi‘a, Egypt"/>
        <s v="M 6.7 - 73 km WSW of Vallenar, Chile"/>
        <s v="M 7.2 - 13 km NW of Ocozocoautla de Espinosa, Mexico"/>
        <s v="M 6.8 - 71 km ESE of Naze, Japan"/>
        <s v="M 7.1 - 83 km SE of Naze, Japan"/>
        <s v="M 8.0 - 5 km E of El Colomo, Mexico"/>
        <s v="M 6.8 - 5 km ENE of Sungai Penuh, Indonesia"/>
        <s v="M 6.5 - 50 km SE of Sucúa, Ecuador"/>
        <s v="M 7.0 - 45 km SE of Sucúa, Ecuador"/>
        <s v="M 6.5 - 81 km W of Paramonga, Peru"/>
        <s v="M 7.4 - 5 km N of Azoyú, Mexico"/>
        <s v="M 6.6 - 95 km SW of Etchoropo, Mexico"/>
        <s v="M 6.6 - 7 km WSW of Neira, Colombia"/>
        <s v="M 7.2 - 139 km WNW of Panguna, Papua New Guinea"/>
        <s v="M 6.6 - 205 km SE of Kokopo, Papua New Guinea"/>
        <s v="M 7.7 - 155 km WNW of Panguna, Papua New Guinea"/>
        <s v="M 6.7 - 99 km WSW of Kokopo, Papua New Guinea"/>
        <s v="M 8.0 - 36 km NNE of Antofagasta, Chile"/>
        <s v="M 6.8 - 158 km W of Jinghong, China"/>
        <s v="M 6.6 - 0 km ESE of Isangel, Vanuatu"/>
        <s v="M 6.5 - 8 km WNW of Galaxídhion, Greece"/>
        <s v="M 7.1 - 85 km S of Tungor, Russia"/>
        <s v="M 7.7 - 249 km E of Vao, New Caledonia"/>
        <s v="M 6.9 - 27 km NNW of Maubara, Timor Leste"/>
        <s v="M 6.6 - 10 km W of Aianí, Greece"/>
        <s v="M 7.1 - 14 km NE of Cabatuan, Philippines"/>
      </sharedItems>
    </cacheField>
    <cacheField name="magnitude" numFmtId="0">
      <sharedItems containsSemiMixedTypes="0" containsString="0" containsNumber="1">
        <n v="6.5"/>
        <n v="6.6"/>
        <n v="7.2"/>
        <n v="7.3"/>
        <n v="6.9"/>
        <n v="7.1"/>
        <n v="7.7"/>
        <n v="7.6"/>
        <n v="6.7"/>
        <n v="7.0"/>
        <n v="6.8"/>
        <n v="7.5"/>
        <n v="7.8"/>
        <n v="8.1"/>
        <n v="8.2"/>
        <n v="7.4"/>
        <n v="8.0"/>
        <n v="7.9"/>
        <n v="8.3"/>
        <n v="8.6"/>
        <n v="9.1"/>
        <n v="8.8"/>
        <n v="8.4"/>
        <n v="8.16"/>
        <n v="8.09"/>
      </sharedItems>
    </cacheField>
    <cacheField name="date_time">
      <sharedItems containsDate="1" containsMixedTypes="1">
        <s v="16/08/2023 12:47"/>
        <s v="19/07/2023 00:22"/>
        <s v="17/07/2023 03:05"/>
        <s v="16/07/2023 06:48"/>
        <d v="2023-10-07T20:28:00Z"/>
        <d v="2023-02-07T10:27:00Z"/>
        <s v="15/06/2023 18:06"/>
        <s v="25/05/2023 03:05"/>
        <s v="20/05/2023 01:51"/>
        <s v="19/05/2023 02:57"/>
        <d v="2023-10-05T16:02:00Z"/>
        <s v="28/04/2023 03:13"/>
        <s v="24/04/2023 20:00"/>
        <s v="24/04/2023 00:41"/>
        <s v="18/04/2023 04:31"/>
        <s v="14/04/2023 09:55"/>
        <d v="2023-03-04T03:06:00Z"/>
        <d v="2023-02-04T18:04:00Z"/>
        <s v="22/03/2023 16:00"/>
        <s v="21/03/2023 16:47"/>
        <s v="18/03/2023 17:12"/>
        <s v="16/03/2023 00:56"/>
        <d v="2023-04-03T06:41:00Z"/>
        <d v="2023-02-03T18:04:00Z"/>
        <d v="2023-01-03T05:36:00Z"/>
        <s v="23/02/2023 00:37"/>
        <d v="2023-06-02T10:24:00Z"/>
        <d v="2023-06-02T01:28:00Z"/>
        <d v="2023-06-02T01:17:00Z"/>
        <s v="20/01/2023 22:09"/>
        <s v="18/01/2023 06:06"/>
        <d v="2023-09-01T17:47:00Z"/>
        <d v="2023-08-01T12:32:00Z"/>
        <d v="2022-04-12T19:24:00Z"/>
        <s v="22/11/2022 02:03"/>
        <s v="18/11/2022 13:37"/>
        <d v="2022-12-11T07:09:00Z"/>
        <d v="2022-11-11T10:48:00Z"/>
        <d v="2022-09-11T10:14:00Z"/>
        <d v="2022-09-11T09:51:00Z"/>
        <d v="2022-09-11T09:38:00Z"/>
        <s v="20/10/2022 11:57"/>
        <s v="22/09/2022 06:16"/>
        <s v="19/09/2022 18:05"/>
        <s v="18/09/2022 06:44"/>
        <s v="17/09/2022 13:41"/>
        <s v="14/09/2022 11:04"/>
        <d v="2022-10-09T23:47:00Z"/>
        <d v="2022-05-09T04:52:00Z"/>
        <s v="14/08/2022 13:44"/>
        <s v="27/07/2022 00:43"/>
        <d v="2022-08-06T00:55:00Z"/>
        <s v="26/05/2022 12:02"/>
        <s v="19/05/2022 10:13"/>
        <d v="2022-10-05T23:06:00Z"/>
        <s v="21/04/2022 07:42"/>
        <s v="31/03/2022 05:44"/>
        <s v="30/03/2022 20:56"/>
        <s v="22/03/2022 17:41"/>
        <s v="16/03/2022 14:36"/>
        <s v="13/03/2022 21:09"/>
        <d v="2022-02-03T12:52:00Z"/>
        <s v="16/02/2022 20:21"/>
        <d v="2022-03-02T15:58:00Z"/>
        <s v="29/01/2022 02:46"/>
        <s v="14/01/2022 09:05"/>
        <d v="2022-11-01T12:39:00Z"/>
        <d v="2022-11-01T11:35:00Z"/>
        <d v="2022-11-01T01:07:00Z"/>
        <d v="2022-07-01T17:45:00Z"/>
        <s v="29/12/2021 18:25"/>
        <s v="14/12/2021 03:20"/>
        <s v="28/11/2021 10:52"/>
        <d v="2021-10-11T15:45:00Z"/>
        <d v="2021-11-10T09:10:00Z"/>
        <d v="2021-09-10T10:58:00Z"/>
        <d v="2021-02-10T06:29:00Z"/>
        <s v="22/09/2021 09:57"/>
        <d v="2021-08-09T01:47:00Z"/>
        <s v="22/08/2021 21:33"/>
        <s v="22/08/2021 00:45"/>
        <s v="18/08/2021 10:10"/>
        <s v="16/08/2021 11:10"/>
        <s v="14/08/2021 12:29"/>
        <s v="14/08/2021 11:57"/>
        <d v="2021-12-08T18:35:00Z"/>
        <d v="2021-12-08T18:32:00Z"/>
        <d v="2021-11-08T17:46:00Z"/>
        <s v="29/07/2021 06:15"/>
        <s v="23/07/2021 20:48"/>
        <s v="21/07/2021 21:15"/>
        <s v="20/06/2021 17:05"/>
        <s v="21/05/2021 22:13"/>
        <s v="21/05/2021 18:04"/>
        <s v="14/05/2021 06:33"/>
        <d v="2021-12-05T14:05:00Z"/>
        <d v="2021-01-05T01:27:00Z"/>
        <s v="25/04/2021 22:28"/>
        <s v="24/04/2021 00:23"/>
        <s v="20/03/2021 09:09"/>
        <s v="16/03/2021 18:38"/>
        <d v="2021-04-03T23:12:00Z"/>
        <d v="2021-04-03T19:28:00Z"/>
        <d v="2021-04-03T17:41:00Z"/>
        <d v="2021-04-03T13:27:00Z"/>
        <s v="13/02/2021 14:07"/>
        <d v="2021-10-02T13:19:00Z"/>
        <s v="23/01/2021 23:36"/>
        <s v="21/01/2021 12:23"/>
        <d v="2021-11-01T21:32:00Z"/>
        <s v="27/12/2020 21:39"/>
        <s v="30/10/2020 11:51"/>
        <s v="19/10/2020 20:54"/>
        <s v="18/09/2020 21:43"/>
        <d v="2020-01-09T21:09:00Z"/>
        <d v="2020-01-09T04:09:00Z"/>
        <s v="30/08/2020 21:20"/>
        <s v="21/08/2020 04:09"/>
        <s v="18/08/2020 22:29"/>
        <s v="18/08/2020 22:23"/>
        <s v="18/08/2020 00:03"/>
        <s v="22/07/2020 06:12"/>
        <s v="17/07/2020 02:50"/>
        <d v="2020-06-07T22:54:00Z"/>
        <s v="23/06/2020 15:29"/>
        <s v="18/06/2020 12:49"/>
        <s v="13/06/2020 15:51"/>
        <d v="2020-03-06T07:35:00Z"/>
        <s v="15/05/2020 11:03"/>
        <d v="2020-12-05T22:41:00Z"/>
        <d v="2020-06-05T13:53:00Z"/>
        <d v="2020-02-05T12:51:00Z"/>
        <s v="31/03/2020 23:52"/>
        <s v="25/03/2020 02:49"/>
        <s v="13/02/2020 10:33"/>
        <s v="28/01/2020 19:10"/>
        <s v="24/01/2020 17:55"/>
        <s v="15/12/2019 06:11"/>
        <s v="14/11/2019 16:17"/>
        <d v="2019-08-11T10:44:00Z"/>
        <d v="2019-04-11T22:43:00Z"/>
        <s v="31/10/2019 01:11"/>
        <s v="29/10/2019 01:04"/>
        <s v="29/09/2019 15:57"/>
        <s v="25/09/2019 23:46"/>
        <d v="2019-01-09T15:54:00Z"/>
        <s v="27/08/2019 23:55"/>
        <d v="2019-02-08T12:03:00Z"/>
        <d v="2019-01-08T18:28:00Z"/>
        <s v="31/07/2019 15:02"/>
        <s v="14/07/2019 09:10"/>
        <s v="14/07/2019 05:39"/>
        <d v="2019-07-07T15:08:00Z"/>
        <d v="2019-06-07T03:19:00Z"/>
        <s v="24/06/2019 02:53"/>
        <s v="15/06/2019 22:55"/>
        <s v="30/05/2019 09:03"/>
        <s v="26/05/2019 07:41"/>
        <s v="14/05/2019 12:58"/>
        <d v="2019-06-05T21:19:00Z"/>
        <d v="2019-12-04T11:40:00Z"/>
        <d v="2019-09-04T17:53:00Z"/>
        <d v="2019-01-03T08:50:00Z"/>
        <s v="22/02/2019 10:17"/>
        <d v="2019-01-02T16:14:00Z"/>
        <s v="22/01/2019 19:01"/>
        <s v="20/01/2019 01:32"/>
        <s v="15/01/2019 18:06"/>
        <d v="2019-06-01T17:27:00Z"/>
        <d v="2019-05-01T19:25:00Z"/>
        <s v="29/12/2018 03:39"/>
        <s v="20/12/2018 17:01"/>
        <d v="2018-11-12T02:26:00Z"/>
        <d v="2018-05-12T06:43:00Z"/>
        <d v="2018-05-12T04:18:00Z"/>
        <s v="30/11/2018 17:29"/>
        <s v="18/11/2018 20:25"/>
        <d v="2018-09-11T01:49:00Z"/>
        <s v="25/10/2018 22:54"/>
        <s v="22/10/2018 06:22"/>
        <s v="22/10/2018 06:16"/>
        <s v="22/10/2018 05:39"/>
        <s v="16/10/2018 01:03"/>
        <s v="13/10/2018 11:10"/>
        <d v="2018-10-10T23:16:00Z"/>
        <d v="2018-10-10T20:48:00Z"/>
        <s v="30/09/2018 10:52"/>
        <s v="28/09/2018 10:02"/>
        <s v="16/09/2018 21:11"/>
        <d v="2018-10-09T04:19:00Z"/>
        <d v="2018-09-09T19:31:00Z"/>
        <d v="2018-06-09T15:49:00Z"/>
        <d v="2018-05-09T18:07:00Z"/>
        <s v="29/08/2018 03:51"/>
        <s v="24/08/2018 09:04"/>
        <s v="21/08/2018 22:32"/>
        <s v="21/08/2018 21:31"/>
        <s v="19/08/2018 14:56"/>
        <s v="19/08/2018 00:19"/>
        <s v="17/08/2018 15:35"/>
        <s v="15/08/2018 21:56"/>
        <d v="2018-05-08T11:46:00Z"/>
        <d v="2018-04-05T22:32:00Z"/>
        <d v="2018-02-04T13:40:00Z"/>
        <s v="29/03/2018 21:25"/>
        <s v="26/03/2018 09:51"/>
        <d v="2018-08-03T17:39:00Z"/>
        <d v="2018-06-03T14:13:00Z"/>
        <s v="25/02/2018 17:44"/>
        <s v="16/02/2018 23:39"/>
        <s v="23/01/2018 09:31"/>
        <s v="14/01/2018 09:18"/>
        <d v="2018-10-01T02:51:00Z"/>
        <s v="15/12/2017 16:47"/>
        <s v="13/12/2017 18:03"/>
        <s v="19/11/2017 22:43"/>
        <s v="19/11/2017 15:09"/>
        <s v="13/11/2017 02:28"/>
        <d v="2017-12-11T18:18:00Z"/>
        <d v="2017-07-11T21:26:00Z"/>
        <d v="2017-04-11T09:00:00Z"/>
        <d v="2017-01-11T02:23:00Z"/>
        <s v="31/10/2017 00:42"/>
        <s v="24/10/2017 10:47"/>
        <d v="2017-08-10T22:34:00Z"/>
        <s v="19/09/2017 18:14"/>
        <d v="2017-08-09T04:49:00Z"/>
        <d v="2017-08-08T13:19:00Z"/>
        <s v="20/07/2017 22:31"/>
        <s v="17/07/2017 23:34"/>
        <d v="2017-11-07T07:00:00Z"/>
        <d v="2017-06-07T08:03:00Z"/>
        <s v="22/06/2017 12:31"/>
        <s v="14/06/2017 07:29"/>
        <d v="2017-02-06T22:24:00Z"/>
        <s v="29/05/2017 14:35"/>
        <d v="2017-10-05T23:23:00Z"/>
        <d v="2017-09-05T13:52:00Z"/>
        <s v="28/04/2017 20:23"/>
        <s v="24/04/2017 21:38"/>
        <d v="2017-03-04T17:40:00Z"/>
        <s v="29/03/2017 04:09"/>
        <s v="24/02/2017 17:28"/>
        <s v="21/02/2017 14:09"/>
        <d v="2017-10-02T14:03:00Z"/>
        <s v="22/01/2017 04:30"/>
        <s v="19/01/2017 23:04"/>
        <d v="2017-10-01T06:13:00Z"/>
        <d v="2017-03-01T21:52:00Z"/>
        <s v="25/12/2016 14:22"/>
        <s v="21/12/2016 00:17"/>
        <s v="17/12/2016 10:51"/>
        <d v="2016-09-12T19:10:00Z"/>
        <d v="2016-08-12T21:56:00Z"/>
        <d v="2016-08-12T17:38:00Z"/>
        <d v="2016-08-12T14:49:00Z"/>
        <d v="2016-06-12T22:03:00Z"/>
        <s v="25/11/2016 14:24"/>
        <s v="24/11/2016 18:43"/>
        <s v="21/11/2016 20:59"/>
        <s v="14/11/2016 00:34"/>
        <s v="13/11/2016 11:32"/>
        <s v="13/11/2016 11:02"/>
        <s v="30/10/2016 06:40"/>
        <s v="19/10/2016 00:26"/>
        <s v="17/10/2016 06:14"/>
        <s v="24/09/2016 21:28"/>
        <d v="2016-01-09T16:37:00Z"/>
        <s v="31/08/2016 03:11"/>
        <s v="24/08/2016 10:34"/>
        <d v="2016-12-08T01:26:00Z"/>
        <s v="29/07/2016 21:18"/>
        <d v="2016-01-06T22:56:00Z"/>
        <s v="28/05/2016 09:46"/>
        <s v="28/05/2016 05:38"/>
        <s v="18/05/2016 16:46"/>
        <s v="18/05/2016 07:57"/>
        <s v="28/04/2016 19:33"/>
        <s v="16/04/2016 23:58"/>
        <s v="15/04/2016 16:25"/>
        <s v="13/04/2016 13:55"/>
        <d v="2016-10-04T10:28:00Z"/>
        <d v="2016-07-04T03:32:00Z"/>
        <d v="2016-06-04T06:58:00Z"/>
        <d v="2016-03-04T08:23:00Z"/>
        <d v="2016-02-03T12:49:00Z"/>
        <s v="30/01/2016 03:25"/>
        <s v="24/01/2016 10:30"/>
        <s v="21/01/2016 18:06"/>
        <s v="14/01/2016 03:25"/>
        <d v="2016-11-01T16:38:00Z"/>
        <d v="2016-03-01T23:05:00Z"/>
        <s v="17/12/2015 19:49"/>
        <d v="2015-09-12T10:21:00Z"/>
        <d v="2015-07-12T07:50:00Z"/>
        <s v="26/11/2015 05:45"/>
        <s v="24/11/2015 22:50"/>
        <s v="24/11/2015 22:45"/>
        <s v="18/11/2015 18:31"/>
        <s v="17/11/2015 07:10"/>
        <s v="13/11/2015 20:51"/>
        <d v="2015-11-11T02:46:00Z"/>
        <d v="2015-11-11T01:54:00Z"/>
        <d v="2015-08-11T16:47:00Z"/>
        <d v="2015-07-11T07:31:00Z"/>
        <d v="2015-04-11T03:44:00Z"/>
        <s v="26/10/2015 09:09"/>
        <s v="20/10/2015 21:52"/>
        <s v="24/09/2015 15:53"/>
        <s v="21/09/2015 17:40"/>
        <s v="17/09/2015 04:10"/>
        <s v="17/09/2015 03:55"/>
        <s v="16/09/2015 23:18"/>
        <s v="16/09/2015 22:54"/>
        <s v="13/09/2015 08:14"/>
        <d v="2015-12-08T18:49:00Z"/>
        <d v="2015-10-08T04:12:00Z"/>
        <s v="27/07/2015 21:41"/>
        <s v="27/07/2015 04:49"/>
        <s v="18/07/2015 02:27"/>
        <s v="16/07/2015 15:16"/>
        <d v="2015-10-07T04:12:00Z"/>
        <s v="23/06/2015 12:18"/>
        <s v="30/05/2015 11:23"/>
        <s v="29/05/2015 07:00"/>
        <s v="22/05/2015 23:59"/>
        <s v="22/05/2015 21:45"/>
        <s v="20/05/2015 22:48"/>
        <d v="2015-12-05T21:12:00Z"/>
        <d v="2015-12-05T07:05:00Z"/>
        <d v="2015-07-05T07:10:00Z"/>
        <d v="2015-05-05T01:44:00Z"/>
        <d v="2015-01-05T08:06:00Z"/>
        <s v="30/04/2015 10:45"/>
        <s v="26/04/2015 07:09"/>
        <s v="25/04/2015 06:45"/>
        <s v="25/04/2015 06:11"/>
        <s v="17/04/2015 15:52"/>
        <s v="30/03/2015 08:48"/>
        <s v="29/03/2015 23:48"/>
        <s v="27/02/2015 13:45"/>
        <s v="16/02/2015 23:06"/>
        <d v="2015-11-02T18:57:00Z"/>
        <s v="23/01/2015 03:47"/>
        <d v="2015-07-01T05:07:00Z"/>
        <d v="2014-08-12T08:54:00Z"/>
        <d v="2014-07-12T01:22:00Z"/>
        <d v="2014-02-12T05:11:00Z"/>
        <s v="26/11/2014 14:33"/>
        <s v="21/11/2014 10:10"/>
        <s v="16/11/2014 22:33"/>
        <s v="15/11/2014 02:31"/>
        <d v="2014-07-11T03:33:00Z"/>
        <d v="2014-01-11T18:57:00Z"/>
        <s v="14/10/2014 03:51"/>
        <s v="17/09/2014 06:14"/>
        <s v="24/08/2014 23:21"/>
        <d v="2014-03-08T00:22:00Z"/>
        <s v="21/07/2014 14:54"/>
        <d v="2014-11-07T19:22:00Z"/>
        <d v="2014-07-07T11:23:00Z"/>
        <d v="2014-04-07T15:00:00Z"/>
        <s v="29/06/2014 17:15"/>
        <s v="29/06/2014 07:52"/>
        <s v="23/06/2014 20:53"/>
        <s v="23/06/2014 20:06"/>
        <s v="23/06/2014 19:21"/>
        <s v="23/06/2014 19:19"/>
        <s v="24/05/2014 09:25"/>
        <s v="13/05/2014 06:35"/>
        <d v="2014-01-05T06:36:00Z"/>
        <s v="24/04/2014 03:10"/>
        <s v="19/04/2014 13:28"/>
        <s v="19/04/2014 01:04"/>
        <s v="18/04/2014 14:27"/>
        <s v="13/04/2014 13:24"/>
        <s v="13/04/2014 12:36"/>
        <d v="2014-12-04T20:14:00Z"/>
        <d v="2014-11-04T20:29:00Z"/>
        <d v="2014-11-04T08:16:00Z"/>
        <d v="2014-11-04T07:07:00Z"/>
        <d v="2014-03-04T02:43:00Z"/>
        <d v="2014-03-04T01:58:00Z"/>
        <d v="2014-01-04T23:57:00Z"/>
        <d v="2014-01-04T23:46:00Z"/>
        <s v="16/03/2014 21:16"/>
        <d v="2014-10-03T05:18:00Z"/>
        <d v="2014-02-03T20:11:00Z"/>
        <s v="18/02/2014 09:27"/>
        <d v="2014-12-02T09:19:00Z"/>
        <d v="2014-07-02T08:40:00Z"/>
        <d v="2014-02-02T09:26:00Z"/>
        <d v="2014-01-01T16:03:00Z"/>
        <s v="23/11/2013 07:48"/>
        <s v="17/11/2013 09:04"/>
        <s v="16/11/2013 03:34"/>
        <s v="31/10/2013 23:03"/>
        <s v="25/10/2013 17:10"/>
        <s v="19/10/2013 17:54"/>
        <s v="16/10/2013 10:30"/>
        <s v="15/10/2013 00:12"/>
        <d v="2013-12-10T13:11:00Z"/>
        <d v="2013-01-10T03:38:00Z"/>
        <s v="30/09/2013 05:55"/>
        <s v="28/09/2013 07:34"/>
        <s v="25/09/2013 16:42"/>
        <s v="24/09/2013 11:29"/>
        <d v="2013-04-09T02:32:00Z"/>
        <d v="2013-04-09T00:18:00Z"/>
        <d v="2013-01-09T11:52:00Z"/>
        <s v="30/08/2013 16:25"/>
        <s v="16/08/2013 02:31"/>
        <s v="13/08/2013 15:43"/>
        <s v="21/07/2013 05:09"/>
        <s v="15/07/2013 14:03"/>
        <d v="2013-07-07T20:30:00Z"/>
        <d v="2013-07-07T18:35:00Z"/>
        <s v="24/06/2013 22:04"/>
        <s v="15/06/2013 17:34"/>
        <s v="13/06/2013 16:47"/>
        <s v="24/05/2013 14:56"/>
        <s v="24/05/2013 05:44"/>
        <s v="23/05/2013 17:19"/>
        <s v="14/05/2013 00:32"/>
        <s v="23/04/2013 23:14"/>
        <s v="20/04/2013 00:02"/>
        <s v="19/04/2013 03:05"/>
        <s v="16/04/2013 22:55"/>
        <s v="16/04/2013 10:44"/>
        <s v="14/04/2013 01:32"/>
        <d v="2013-06-04T04:42:00Z"/>
        <d v="2013-10-03T22:51:00Z"/>
        <d v="2013-01-03T13:20:00Z"/>
        <s v="28/02/2013 14:05"/>
        <s v="14/02/2013 13:13"/>
        <d v="2013-09-02T21:02:00Z"/>
        <d v="2013-09-02T14:16:00Z"/>
        <d v="2013-08-02T15:26:00Z"/>
        <d v="2013-08-02T11:12:00Z"/>
        <d v="2013-07-02T18:59:00Z"/>
        <d v="2013-06-02T01:54:00Z"/>
        <d v="2013-06-02T01:23:00Z"/>
        <d v="2013-06-02T01:12:00Z"/>
        <d v="2013-02-02T14:17:00Z"/>
        <s v="30/01/2013 20:15"/>
        <d v="2013-05-01T08:58:00Z"/>
        <s v="21/12/2012 22:28"/>
        <d v="2012-10-12T16:53:00Z"/>
        <d v="2012-07-12T08:18:00Z"/>
        <d v="2012-11-11T22:14:00Z"/>
        <d v="2012-11-11T01:12:00Z"/>
        <d v="2012-07-11T16:35:00Z"/>
        <s v="28/10/2012 03:04"/>
        <s v="24/10/2012 00:45"/>
        <d v="2012-12-10T00:31:00Z"/>
        <s v="30/09/2012 16:31"/>
        <d v="2012-05-09T14:42:00Z"/>
        <s v="31/08/2012 12:47"/>
        <s v="27/08/2012 04:37"/>
        <s v="26/08/2012 15:05"/>
        <s v="14/08/2012 02:59"/>
        <s v="28/07/2012 20:03"/>
        <s v="28/04/2012 10:08"/>
        <s v="21/04/2012 01:16"/>
        <s v="17/04/2012 07:13"/>
        <s v="17/04/2012 03:50"/>
        <d v="2012-12-04T07:15:00Z"/>
        <d v="2012-11-04T22:55:00Z"/>
        <d v="2012-11-04T10:43:00Z"/>
        <d v="2012-11-04T08:38:00Z"/>
        <s v="25/03/2012 22:37"/>
        <s v="21/03/2012 22:15"/>
        <s v="20/03/2012 18:02"/>
        <s v="26/02/2012 06:17"/>
        <d v="2012-06-02T03:49:00Z"/>
        <d v="2012-02-02T13:34:00Z"/>
        <d v="2012-10-01T18:36:00Z"/>
        <s v="27/12/2011 15:21"/>
        <s v="14/12/2011 05:04"/>
        <d v="2011-11-12T01:47:00Z"/>
        <s v="28/10/2011 18:54"/>
        <s v="23/10/2011 10:41"/>
        <s v="14/10/2011 03:35"/>
        <s v="18/09/2011 12:40"/>
        <s v="16/09/2011 19:26"/>
        <d v="2011-05-09T17:55:00Z"/>
        <d v="2011-03-09T22:55:00Z"/>
        <s v="24/08/2011 17:46"/>
        <s v="20/08/2011 18:19"/>
        <s v="20/08/2011 17:13"/>
        <s v="20/08/2011 16:55"/>
        <s v="31/07/2011 23:38"/>
        <d v="2011-06-07T19:03:00Z"/>
        <s v="22/06/2011 21:50"/>
        <d v="2011-10-05T08:55:00Z"/>
        <s v="23/04/2011 04:16"/>
        <d v="2011-11-04T08:16:00Z"/>
        <d v="2011-07-04T14:32:00Z"/>
        <d v="2011-07-04T13:11:00Z"/>
        <s v="24/03/2011 13:55"/>
        <d v="2011-11-03T11:36:00Z"/>
        <d v="2011-11-03T08:19:00Z"/>
        <d v="2011-11-03T06:25:00Z"/>
        <d v="2011-11-03T06:15:00Z"/>
        <d v="2011-11-03T05:46:00Z"/>
        <d v="2011-09-03T02:45:00Z"/>
        <s v="14/02/2011 03:40"/>
        <d v="2011-11-02T20:05:00Z"/>
        <s v="18/01/2011 20:23"/>
        <s v="13/01/2011 16:16"/>
        <d v="2011-02-01T20:20:00Z"/>
        <s v="25/12/2010 13:16"/>
        <s v="20/12/2010 18:41"/>
        <d v="2010-02-12T03:12:00Z"/>
        <s v="25/10/2010 14:42"/>
        <s v="21/10/2010 17:53"/>
        <s v="29/09/2010 17:11"/>
        <d v="2010-03-09T16:35:00Z"/>
        <d v="2010-12-08T11:54:00Z"/>
        <d v="2010-10-08T05:23:00Z"/>
        <d v="2010-04-08T22:01:00Z"/>
        <d v="2010-04-08T07:15:00Z"/>
        <s v="23/07/2010 22:51"/>
        <s v="18/07/2010 13:34"/>
        <s v="18/07/2010 13:04"/>
        <s v="14/07/2010 08:32"/>
        <s v="26/06/2010 05:30"/>
        <s v="16/06/2010 03:58"/>
        <s v="16/06/2010 03:16"/>
        <d v="2010-12-06T19:26:00Z"/>
        <s v="27/05/2010 17:14"/>
        <d v="2010-09-05T05:59:00Z"/>
        <s v="13/04/2010 23:49"/>
        <d v="2010-11-04T09:40:00Z"/>
        <d v="2010-06-04T22:15:00Z"/>
        <d v="2010-04-04T22:40:00Z"/>
        <s v="30/03/2010 16:54"/>
        <s v="16/03/2010 02:21"/>
        <s v="14/03/2010 08:08"/>
        <d v="2010-11-03T14:55:00Z"/>
        <d v="2010-11-03T14:39:00Z"/>
        <d v="2010-05-03T16:07:00Z"/>
        <d v="2010-05-03T11:47:00Z"/>
        <d v="2010-04-03T14:02:00Z"/>
        <s v="27/02/2010 08:01"/>
        <s v="27/02/2010 06:34"/>
        <s v="26/02/2010 20:31"/>
        <d v="2010-12-01T21:53:00Z"/>
        <d v="2010-10-01T00:27:00Z"/>
        <d v="2010-05-01T12:15:00Z"/>
        <d v="2010-03-01T22:36:00Z"/>
        <d v="2010-03-01T21:48:00Z"/>
        <s v="13/11/2009 03:05"/>
        <d v="2009-09-11T10:44:00Z"/>
        <d v="2009-08-11T19:41:00Z"/>
        <s v="30/10/2009 07:03"/>
        <s v="24/10/2009 14:40"/>
        <d v="2009-08-10T08:28:00Z"/>
        <d v="2009-07-10T23:13:00Z"/>
        <d v="2009-07-10T22:18:00Z"/>
        <d v="2009-07-10T22:03:00Z"/>
        <d v="2009-01-10T01:52:00Z"/>
        <s v="30/09/2009 10:16"/>
        <s v="29/09/2009 17:48"/>
        <d v="2009-02-09T07:55:00Z"/>
        <s v="16/08/2009 07:38"/>
        <d v="2009-12-08T22:48:00Z"/>
        <d v="2009-10-08T19:55:00Z"/>
        <d v="2009-09-08T10:55:00Z"/>
        <d v="2009-03-08T17:59:00Z"/>
        <s v="15/07/2009 09:22"/>
        <s v="23/06/2009 14:19"/>
        <s v="28/05/2009 08:24"/>
        <s v="19/03/2009 18:17"/>
        <d v="2009-11-02T17:34:00Z"/>
        <d v="2009-03-01T22:33:00Z"/>
        <d v="2009-03-01T20:23:00Z"/>
        <d v="2009-03-01T19:43:00Z"/>
        <s v="16/11/2008 17:02"/>
        <s v="16/10/2008 19:41"/>
        <d v="2008-05-10T15:52:00Z"/>
        <d v="2008-11-09T00:20:00Z"/>
        <d v="2008-11-09T00:00:00Z"/>
        <d v="2008-08-09T18:52:00Z"/>
        <s v="25/08/2008 13:21"/>
        <s v="23/07/2008 15:26"/>
        <s v="19/07/2008 02:39"/>
        <s v="27/06/2008 11:40"/>
        <s v="13/06/2008 23:43"/>
        <d v="2008-12-05T06:28:00Z"/>
        <d v="2008-07-05T16:45:00Z"/>
        <d v="2008-09-04T12:46:00Z"/>
        <s v="20/03/2008 22:32"/>
        <d v="2008-03-03T14:11:00Z"/>
        <s v="25/02/2008 21:02"/>
        <s v="25/02/2008 18:06"/>
        <s v="25/02/2008 08:36"/>
        <s v="24/02/2008 14:46"/>
        <s v="20/02/2008 08:08"/>
        <s v="14/02/2008 12:08"/>
        <s v="14/02/2008 10:09"/>
        <d v="2008-12-02T12:50:00Z"/>
        <s v="20/12/2007 07:55"/>
        <s v="16/12/2007 08:09"/>
        <s v="29/11/2007 19:00"/>
        <s v="27/11/2007 11:49"/>
        <s v="25/11/2007 19:53"/>
        <s v="25/11/2007 16:02"/>
        <s v="22/11/2007 08:48"/>
        <s v="16/11/2007 03:13"/>
        <s v="15/11/2007 15:05"/>
        <s v="14/11/2007 15:40"/>
        <s v="24/10/2007 21:02"/>
        <s v="15/10/2007 12:29"/>
        <s v="26/09/2007 12:36"/>
        <s v="20/09/2007 08:31"/>
        <s v="13/09/2007 03:35"/>
        <s v="13/09/2007 02:30"/>
        <d v="2007-12-09T23:49:00Z"/>
        <d v="2007-12-09T11:10:00Z"/>
        <d v="2007-10-09T01:49:00Z"/>
        <d v="2007-02-09T01:05:00Z"/>
        <s v="16/08/2007 08:39"/>
        <s v="15/08/2007 23:40"/>
        <d v="2007-08-08T17:05:00Z"/>
        <d v="2007-01-08T17:08:00Z"/>
        <s v="26/07/2007 05:40"/>
        <s v="16/07/2007 14:17"/>
        <s v="16/07/2007 01:13"/>
        <s v="13/06/2007 19:29"/>
        <d v="2007-01-04T21:11:00Z"/>
        <d v="2007-01-04T20:47:00Z"/>
        <d v="2007-01-04T20:39:00Z"/>
        <s v="25/03/2007 00:41"/>
        <s v="25/03/2007 00:40"/>
        <s v="20/02/2007 08:04"/>
        <s v="21/01/2007 11:27"/>
        <s v="13/01/2007 04:23"/>
        <s v="26/12/2006 12:34"/>
        <s v="26/12/2006 12:26"/>
        <s v="15/11/2006 11:14"/>
        <d v="2006-07-11T17:38:00Z"/>
        <s v="20/10/2006 10:48"/>
        <s v="17/10/2006 01:25"/>
        <s v="15/10/2006 17:07"/>
        <s v="28/09/2006 06:22"/>
        <d v="2006-01-09T10:18:00Z"/>
        <s v="24/08/2006 21:50"/>
        <d v="2006-07-08T22:18:00Z"/>
        <s v="17/07/2006 08:19"/>
        <s v="28/05/2006 03:12"/>
        <s v="22/05/2006 11:12"/>
        <s v="16/05/2006 15:28"/>
        <d v="2006-03-05T15:26:00Z"/>
        <s v="30/04/2006 21:40"/>
        <s v="30/04/2006 19:17"/>
        <s v="29/04/2006 16:58"/>
        <s v="20/04/2006 23:25"/>
        <d v="2006-07-04T08:30:00Z"/>
        <s v="14/03/2006 06:57"/>
        <s v="22/02/2006 22:19"/>
        <d v="2006-08-01T11:34:00Z"/>
        <d v="2006-04-01T08:32:00Z"/>
        <d v="2005-12-12T21:47:00Z"/>
        <d v="2005-05-12T12:19:00Z"/>
        <d v="2005-02-12T13:13:00Z"/>
        <s v="19/11/2005 14:10"/>
        <s v="17/11/2005 19:26"/>
        <d v="2005-08-10T03:50:00Z"/>
        <s v="29/09/2005 15:50"/>
        <s v="26/09/2005 01:55"/>
        <d v="2005-09-09T07:26:00Z"/>
        <s v="16/08/2005 02:46"/>
        <s v="24/07/2005 15:42"/>
        <d v="2005-05-07T01:52:00Z"/>
        <d v="2005-02-07T02:16:00Z"/>
        <s v="15/06/2005 02:50"/>
        <s v="13/06/2005 22:44"/>
        <s v="19/05/2005 01:54"/>
        <s v="14/05/2005 05:05"/>
        <d v="2005-10-04T11:14:00Z"/>
        <d v="2005-10-04T10:29:00Z"/>
        <s v="28/03/2005 16:09"/>
        <s v="20/03/2005 01:53"/>
        <d v="2005-02-03T10:42:00Z"/>
        <s v="26/02/2005 12:56"/>
        <s v="19/02/2005 00:04"/>
        <s v="15/02/2005 14:42"/>
        <d v="2005-08-02T14:48:00Z"/>
        <d v="2005-05-02T12:23:00Z"/>
        <s v="19/01/2005 06:11"/>
        <s v="26/12/2004 09:20"/>
        <s v="26/12/2004 04:21"/>
        <s v="26/12/2004 00:58"/>
        <s v="23/12/2004 14:59"/>
        <s v="14/12/2004 23:20"/>
        <d v="2004-06-12T14:15:00Z"/>
        <s v="28/11/2004 18:32"/>
        <s v="26/11/2004 02:25"/>
        <s v="22/11/2004 20:26"/>
        <s v="15/11/2004 09:06"/>
        <d v="2004-11-11T21:26:00Z"/>
        <d v="2004-11-11T17:34:00Z"/>
        <d v="2004-02-11T10:02:00Z"/>
        <s v="23/10/2004 08:56"/>
        <s v="15/10/2004 04:08"/>
        <d v="2004-09-10T21:26:00Z"/>
        <d v="2004-08-10T14:36:00Z"/>
        <d v="2004-08-10T08:27:00Z"/>
        <d v="2004-06-09T23:29:00Z"/>
        <d v="2004-05-09T14:57:00Z"/>
        <d v="2004-05-09T10:07:00Z"/>
        <s v="28/08/2004 13:41"/>
        <s v="28/07/2004 03:56"/>
        <d v="2004-10-06T15:19:00Z"/>
        <d v="2004-03-05T04:36:00Z"/>
        <s v="23/04/2004 01:50"/>
        <d v="2004-09-04T15:23:00Z"/>
        <d v="2004-05-04T21:24:00Z"/>
        <d v="2004-08-02T08:58:00Z"/>
        <d v="2004-07-02T02:42:00Z"/>
        <d v="2004-05-02T21:05:00Z"/>
        <s v="28/01/2004 22:15"/>
        <s v="27/12/2003 16:00"/>
        <s v="26/12/2003 01:56"/>
        <s v="25/12/2003 07:11"/>
        <s v="22/12/2003 19:15"/>
        <d v="2003-10-12T04:38:00Z"/>
        <s v="25/11/2003 20:19"/>
        <s v="18/11/2003 17:14"/>
        <d v="2003-06-11T10:38:00Z"/>
        <s v="31/10/2003 01:06"/>
        <d v="2003-08-10T09:06:00Z"/>
        <d v="2003-01-10T01:03:00Z"/>
        <s v="29/09/2003 02:36"/>
        <s v="27/09/2003 11:33"/>
        <s v="25/09/2003 21:08"/>
        <s v="25/09/2003 19:50"/>
        <s v="21/09/2003 18:16"/>
        <s v="21/08/2003 12:12"/>
        <d v="2003-04-08T04:37:00Z"/>
        <s v="15/07/2003 18:46"/>
        <s v="20/06/2003 13:30"/>
        <s v="16/06/2003 22:08"/>
        <d v="2003-07-06T00:32:00Z"/>
        <s v="26/05/2003 19:23"/>
        <s v="26/05/2003 09:24"/>
        <s v="21/05/2003 18:44"/>
        <s v="25/03/2003 02:53"/>
        <d v="2003-11-03T07:27:00Z"/>
        <s v="22/01/2003 02:06"/>
        <s v="21/01/2003 02:46"/>
        <s v="20/01/2003 08:43"/>
        <d v="2003-10-01T13:11:00Z"/>
        <d v="2002-12-12T08:30:00Z"/>
        <d v="2002-03-11T22:12:00Z"/>
        <d v="2002-02-11T01:26:00Z"/>
        <s v="23/10/2002 11:27"/>
        <d v="2002-10-10T12:28:00Z"/>
        <d v="2002-10-10T10:50:00Z"/>
        <s v="13/09/2002 22:28"/>
        <d v="2002-08-09T18:44:00Z"/>
        <s v="14/08/2002 13:57"/>
        <s v="31/07/2002 00:16"/>
        <s v="22/06/2002 02:58"/>
        <s v="18/06/2002 13:56"/>
        <s v="17/06/2002 21:26"/>
        <s v="26/04/2002 16:06"/>
        <s v="18/04/2002 16:08"/>
        <s v="18/04/2002 05:02"/>
        <s v="31/03/2002 06:52"/>
        <s v="28/03/2002 04:56"/>
        <d v="2002-05-03T21:16:00Z"/>
        <d v="2002-03-03T12:08:00Z"/>
        <d v="2002-05-02T13:27:00Z"/>
        <d v="2002-03-02T07:11:00Z"/>
        <d v="2002-10-01T11:14:00Z"/>
        <d v="2002-03-01T10:17:00Z"/>
        <d v="2002-02-01T17:22:00Z"/>
        <s v="23/12/2001 22:52"/>
        <s v="18/12/2001 04:02"/>
        <d v="2001-02-12T13:01:00Z"/>
        <s v="14/11/2001 09:26"/>
        <s v="31/10/2001 09:10"/>
        <s v="19/10/2001 03:28"/>
        <d v="2001-12-10T15:02:00Z"/>
        <d v="2001-11-09T14:56:00Z"/>
        <s v="28/07/2001 07:32"/>
        <s v="26/07/2001 00:21"/>
        <d v="2001-07-07T09:38:00Z"/>
        <d v="2001-05-07T13:53:00Z"/>
        <s v="26/06/2001 04:18"/>
        <s v="23/06/2001 20:33"/>
        <s v="19/04/2001 21:43"/>
        <s v="24/03/2001 06:27"/>
        <s v="19/03/2001 05:52"/>
        <s v="28/02/2001 18:54"/>
        <s v="24/02/2001 07:23"/>
        <s v="13/02/2001 19:28"/>
        <s v="13/02/2001 14:22"/>
        <s v="26/01/2001 03:16"/>
        <s v="16/01/2001 13:25"/>
        <s v="13/01/2001 17:33"/>
        <d v="2001-10-01T16:02:00Z"/>
        <d v="2001-09-01T16:49:00Z"/>
        <d v="2001-01-01T08:54:00Z"/>
        <d v="2001-01-01T06:57:00Z"/>
        <d v="2000-06-12T22:57:00Z"/>
        <d v="2000-06-12T17:11:00Z"/>
        <s v="25/11/2000 18:10"/>
        <s v="25/11/2000 18:09"/>
        <s v="18/11/2000 06:54"/>
        <s v="18/11/2000 02:05"/>
        <s v="17/11/2000 21:01"/>
        <s v="16/11/2000 07:45"/>
        <s v="16/11/2000 07:42"/>
        <s v="16/11/2000 04:54"/>
        <d v="2000-08-11T06:59:00Z"/>
        <s v="29/10/2000 08:37"/>
        <s v="25/10/2000 09:32"/>
        <d v="2000-06-10T04:30:00Z"/>
        <d v="2000-04-10T16:58:00Z"/>
        <d v="2000-02-10T02:25:00Z"/>
        <s v="28/08/2000 15:05"/>
        <d v="2000-09-08T11:41:00Z"/>
        <d v="2000-04-08T21:13:00Z"/>
        <d v="2000-03-08T01:09:00Z"/>
        <s v="30/07/2000 12:25"/>
        <s v="16/07/2000 03:57"/>
        <d v="2000-11-07T01:32:00Z"/>
        <s v="21/06/2000 00:51"/>
        <s v="18/06/2000 14:44"/>
        <s v="17/06/2000 15:40"/>
        <d v="2000-07-06T23:45:00Z"/>
        <d v="2000-04-06T16:39:00Z"/>
        <d v="2000-04-06T16:28:00Z"/>
        <d v="2000-12-05T18:43:00Z"/>
        <d v="2000-04-05T04:21:00Z"/>
        <d v="2000-03-03T22:22:00Z"/>
        <d v="2000-06-02T11:33:00Z"/>
        <s v="28/01/2000 14:21"/>
        <d v="2000-08-01T16:47:00Z"/>
        <s v="29/12/1999 13:29"/>
        <s v="21/12/1999 14:14"/>
        <d v="1999-11-12T18:03:00Z"/>
        <d v="1999-06-12T23:12:00Z"/>
        <s v="30/11/1999 04:01"/>
        <s v="26/11/1999 13:21"/>
        <s v="19/11/1999 13:56"/>
        <s v="17/11/1999 03:27"/>
        <d v="1999-12-11T16:57:00Z"/>
        <d v="1999-08-11T16:45:00Z"/>
        <s v="16/10/1999 09:46"/>
        <s v="30/09/1999 16:31"/>
        <s v="25/09/1999 23:52"/>
        <s v="20/09/1999 17:47"/>
        <s v="22/08/1999 12:40"/>
        <s v="20/08/1999 10:02"/>
        <s v="17/08/1999 00:01"/>
        <d v="1999-11-07T14:14:00Z"/>
        <s v="15/06/1999 20:42"/>
        <s v="17/05/1999 10:07"/>
        <s v="16/05/1999 00:51"/>
        <d v="1999-10-05T20:33:00Z"/>
        <s v="13/04/1999 10:38"/>
        <d v="1999-05-04T11:08:00Z"/>
        <d v="1999-03-04T06:17:00Z"/>
        <s v="28/03/1999 19:05"/>
        <s v="20/03/1999 10:47"/>
        <d v="1999-08-03T12:25:00Z"/>
        <d v="1999-04-03T08:52:00Z"/>
        <d v="1999-04-03T05:38:00Z"/>
        <d v="1999-06-02T21:47:00Z"/>
        <s v="28/01/1999 08:10"/>
        <s v="19/01/1999 03:35"/>
        <s v="27/12/1998 00:38"/>
        <s v="29/11/1998 14:10"/>
        <d v="1998-09-11T05:38:00Z"/>
        <d v="1998-09-11T05:30:00Z"/>
        <s v="28/09/1998 13:34"/>
        <d v="1998-03-09T17:37:00Z"/>
        <d v="1998-02-09T08:37:00Z"/>
        <d v="1998-04-08T18:59:00Z"/>
        <s v="29/07/1998 18:00"/>
        <s v="17/07/1998 08:49"/>
        <s v="16/07/1998 11:56"/>
        <s v="30/05/1998 06:22"/>
        <s v="22/05/1998 04:48"/>
        <s v="21/05/1998 05:34"/>
        <s v="13/05/1998 23:02"/>
        <d v="1998-03-05T23:30:00Z"/>
        <d v="1998-03-04T22:01:00Z"/>
        <d v="1998-01-04T17:56:00Z"/>
        <s v="14/03/1998 19:40"/>
        <s v="30/01/1998 12:16"/>
        <d v="1998-12-01T16:36:00Z"/>
        <d v="1998-12-01T10:14:00Z"/>
        <d v="1998-10-01T08:20:00Z"/>
        <s v="22/12/1997 02:05"/>
        <d v="1997-05-12T11:26:00Z"/>
        <s v="25/11/1997 12:14"/>
        <s v="18/11/1997 13:07"/>
        <s v="15/11/1997 18:59"/>
        <d v="1997-09-11T22:56:00Z"/>
        <d v="1997-08-11T10:02:00Z"/>
        <s v="28/10/1997 06:15"/>
        <s v="15/10/1997 01:03"/>
        <s v="14/10/1997 09:53"/>
        <d v="1997-06-10T12:30:00Z"/>
        <d v="1997-02-09T12:13:00Z"/>
        <s v="29/08/1997 08:14"/>
        <s v="19/07/1997 14:22"/>
        <d v="1997-09-07T19:24:00Z"/>
        <d v="1997-06-07T09:54:00Z"/>
        <s v="22/05/1997 07:50"/>
        <s v="21/05/1997 14:10"/>
        <s v="13/05/1997 14:13"/>
        <d v="1997-10-05T07:57:00Z"/>
        <s v="23/04/1997 19:44"/>
        <s v="22/04/1997 09:31"/>
        <s v="21/04/1997 12:02"/>
        <d v="1997-05-04T12:23:00Z"/>
        <d v="1997-11-03T19:22:00Z"/>
        <s v="27/02/1997 21:08"/>
        <d v="1997-04-02T10:37:00Z"/>
        <d v="1997-11-01T20:28:00Z"/>
        <s v="22/12/1996 14:53"/>
        <d v="1996-02-12T22:17:00Z"/>
        <s v="19/11/1996 10:44"/>
        <d v="1996-12-11T16:59:00Z"/>
        <s v="19/10/1996 14:44"/>
        <s v="18/10/1996 10:50"/>
        <s v="14/10/1996 23:26"/>
        <d v="1996-09-10T13:10:00Z"/>
        <s v="20/09/1996 04:11"/>
        <s v="20/09/1996 04:10"/>
        <d v="1996-05-09T23:42:00Z"/>
        <d v="1996-02-08T12:55:00Z"/>
        <s v="22/07/1996 14:19"/>
        <s v="16/07/1996 10:07"/>
        <s v="15/07/1996 21:23"/>
        <s v="17/06/1996 11:22"/>
        <d v="1996-11-06T18:22:00Z"/>
        <d v="1996-10-06T15:24:00Z"/>
        <d v="1996-10-06T04:03:00Z"/>
        <d v="1996-10-06T01:04:00Z"/>
        <s v="29/04/1996 14:40"/>
        <s v="19/04/1996 00:19"/>
        <s v="17/03/1996 14:48"/>
        <d v="1996-03-03T16:37:00Z"/>
        <d v="1996-03-03T14:55:00Z"/>
        <s v="25/02/1996 03:08"/>
        <s v="21/02/1996 12:51"/>
        <s v="17/02/1996 20:18"/>
        <s v="17/02/1996 14:21"/>
        <s v="17/02/1996 05:59"/>
        <s v="16/02/1996 15:22"/>
        <d v="1996-07-02T21:36:00Z"/>
        <d v="1996-03-02T11:14:00Z"/>
        <d v="1996-01-01T09:57:00Z"/>
        <d v="1996-01-01T08:05:00Z"/>
        <s v="25/12/1995 04:43"/>
        <s v="19/12/1995 23:28"/>
        <d v="1995-03-12T18:01:00Z"/>
        <s v="22/11/1995 04:15"/>
        <d v="1995-01-11T00:35:00Z"/>
        <s v="21/10/1995 02:38"/>
        <s v="19/10/1995 02:41"/>
        <s v="18/10/1995 10:37"/>
        <d v="1995-09-10T15:35:00Z"/>
        <d v="1995-06-10T18:09:00Z"/>
        <d v="1995-03-10T12:44:00Z"/>
        <d v="1995-03-10T01:51:00Z"/>
        <s v="23/09/1995 22:31"/>
        <s v="14/09/1995 14:04"/>
        <s v="28/08/1995 10:46"/>
        <s v="19/08/1995 21:43"/>
        <s v="16/08/1995 23:10"/>
        <s v="16/08/1995 16:24"/>
        <s v="16/08/1995 10:27"/>
        <s v="14/08/1995 04:37"/>
        <s v="30/07/1995 05:11"/>
        <d v="1995-11-07T21:46:00Z"/>
        <s v="29/06/1995 12:24"/>
        <s v="15/06/1995 00:15"/>
        <s v="27/05/1995 13:03"/>
        <s v="16/05/1995 20:12"/>
        <s v="14/05/1995 11:33"/>
        <s v="13/05/1995 08:47"/>
        <d v="1995-05-05T03:53:00Z"/>
      </sharedItems>
    </cacheField>
    <cacheField name="cdi" numFmtId="0">
      <sharedItems containsSemiMixedTypes="0" containsString="0" containsNumber="1" containsInteger="1">
        <n v="7.0"/>
        <n v="8.0"/>
        <n v="6.0"/>
        <n v="0.0"/>
        <n v="5.0"/>
        <n v="4.0"/>
        <n v="3.0"/>
        <n v="9.0"/>
        <n v="1.0"/>
        <n v="2.0"/>
      </sharedItems>
    </cacheField>
    <cacheField name="mmi" numFmtId="0">
      <sharedItems containsSemiMixedTypes="0" containsString="0" containsNumber="1" containsInteger="1">
        <n v="4.0"/>
        <n v="6.0"/>
        <n v="5.0"/>
        <n v="2.0"/>
        <n v="7.0"/>
        <n v="3.0"/>
        <n v="9.0"/>
        <n v="8.0"/>
        <n v="1.0"/>
        <n v="10.0"/>
      </sharedItems>
    </cacheField>
    <cacheField name="alert" numFmtId="0">
      <sharedItems containsBlank="1">
        <s v="green"/>
        <s v="yellow"/>
        <m/>
        <s v="orange"/>
        <s v="red"/>
      </sharedItems>
    </cacheField>
    <cacheField name="tsunami" numFmtId="0">
      <sharedItems containsSemiMixedTypes="0" containsString="0" containsNumber="1" containsInteger="1">
        <n v="0.0"/>
        <n v="1.0"/>
      </sharedItems>
    </cacheField>
    <cacheField name="sig" numFmtId="0">
      <sharedItems containsSemiMixedTypes="0" containsString="0" containsNumber="1" containsInteger="1">
        <n v="657.0"/>
        <n v="775.0"/>
        <n v="899.0"/>
        <n v="860.0"/>
        <n v="820.0"/>
        <n v="802.0"/>
        <n v="741.0"/>
        <n v="804.0"/>
        <n v="733.0"/>
        <n v="777.0"/>
        <n v="927.0"/>
        <n v="907.0"/>
        <n v="670.0"/>
        <n v="838.0"/>
        <n v="691.0"/>
        <n v="818.0"/>
        <n v="655.0"/>
        <n v="781.0"/>
        <n v="656.0"/>
        <n v="1350.0"/>
        <n v="1159.0"/>
        <n v="756.0"/>
        <n v="735.0"/>
        <n v="653.0"/>
        <n v="652.0"/>
        <n v="737.0"/>
        <n v="1411.0"/>
        <n v="800.0"/>
        <n v="2910.0"/>
        <n v="718.0"/>
        <n v="957.0"/>
        <n v="768.0"/>
        <n v="720.0"/>
        <n v="755.0"/>
        <n v="833.0"/>
        <n v="711.0"/>
        <n v="797.0"/>
        <n v="1179.0"/>
        <n v="1799.0"/>
        <n v="887.0"/>
        <n v="761.0"/>
        <n v="965.0"/>
        <n v="1043.0"/>
        <n v="672.0"/>
        <n v="1351.0"/>
        <n v="876.0"/>
        <n v="762.0"/>
        <n v="763.0"/>
        <n v="738.0"/>
        <n v="806.0"/>
        <n v="2397.0"/>
        <n v="708.0"/>
        <n v="712.0"/>
        <n v="690.0"/>
        <n v="651.0"/>
        <n v="785.0"/>
        <n v="650.0"/>
        <n v="674.0"/>
        <n v="730.0"/>
        <n v="976.0"/>
        <n v="1012.0"/>
        <n v="921.0"/>
        <n v="854.0"/>
        <n v="1094.0"/>
        <n v="688.0"/>
        <n v="995.0"/>
        <n v="740.0"/>
        <n v="826.0"/>
        <n v="684.0"/>
        <n v="2504.0"/>
        <n v="776.0"/>
        <n v="734.0"/>
        <n v="2331.0"/>
        <n v="1009.0"/>
        <n v="868.0"/>
        <n v="846.0"/>
        <n v="1237.0"/>
        <n v="1252.0"/>
        <n v="935.0"/>
        <n v="830.0"/>
        <n v="1025.0"/>
        <n v="698.0"/>
        <n v="694.0"/>
        <n v="919.0"/>
        <n v="1052.0"/>
        <n v="1021.0"/>
        <n v="843.0"/>
        <n v="932.0"/>
        <n v="1612.0"/>
        <n v="918.0"/>
        <n v="739.0"/>
        <n v="1527.0"/>
        <n v="1165.0"/>
        <n v="732.0"/>
        <n v="824.0"/>
        <n v="749.0"/>
        <n v="716.0"/>
        <n v="784.0"/>
        <n v="1111.0"/>
        <n v="1494.0"/>
        <n v="873.0"/>
        <n v="835.0"/>
        <n v="1320.0"/>
        <n v="671.0"/>
        <n v="678.0"/>
        <n v="1410.0"/>
        <n v="879.0"/>
        <n v="770.0"/>
        <n v="1812.0"/>
        <n v="1247.0"/>
        <n v="825.0"/>
        <n v="799.0"/>
        <n v="673.0"/>
        <n v="780.0"/>
        <n v="844.0"/>
        <n v="875.0"/>
        <n v="947.0"/>
        <n v="809.0"/>
        <n v="791.0"/>
        <n v="747.0"/>
        <n v="1646.0"/>
        <n v="952.0"/>
        <n v="886.0"/>
        <n v="1890.0"/>
        <n v="929.0"/>
        <n v="717.0"/>
        <n v="869.0"/>
        <n v="1145.0"/>
        <n v="909.0"/>
        <n v="1600.0"/>
        <n v="715.0"/>
        <n v="803.0"/>
        <n v="822.0"/>
        <n v="871.0"/>
        <n v="1790.0"/>
        <n v="693.0"/>
        <n v="954.0"/>
        <n v="669.0"/>
        <n v="758.0"/>
        <n v="2026.0"/>
        <n v="979.0"/>
        <n v="1075.0"/>
        <n v="1570.0"/>
        <n v="1206.0"/>
        <n v="1050.0"/>
        <n v="743.0"/>
        <n v="1704.0"/>
        <n v="1392.0"/>
        <n v="696.0"/>
        <n v="719.0"/>
        <n v="697.0"/>
        <n v="943.0"/>
        <n v="1384.0"/>
        <n v="1870.0"/>
        <n v="1623.0"/>
        <n v="998.0"/>
        <n v="771.0"/>
        <n v="676.0"/>
        <n v="1153.0"/>
        <n v="2790.0"/>
        <n v="661.0"/>
        <n v="727.0"/>
        <n v="1686.0"/>
        <n v="707.0"/>
        <n v="1064.0"/>
        <n v="704.0"/>
        <n v="1034.0"/>
        <n v="1188.0"/>
        <n v="713.0"/>
        <n v="814.0"/>
        <n v="1642.0"/>
        <n v="1297.0"/>
        <n v="987.0"/>
        <n v="654.0"/>
        <n v="849.0"/>
        <n v="742.0"/>
        <n v="1152.0"/>
        <n v="726.0"/>
        <n v="972.0"/>
        <n v="961.0"/>
        <n v="1120.0"/>
        <n v="731.0"/>
        <n v="855.0"/>
        <n v="1144.0"/>
        <n v="664.0"/>
        <n v="1545.0"/>
        <n v="2840.0"/>
        <n v="677.0"/>
        <n v="897.0"/>
        <n v="981.0"/>
        <n v="971.0"/>
        <n v="798.0"/>
        <n v="744.0"/>
        <n v="1163.0"/>
        <n v="2074.0"/>
        <n v="903.0"/>
        <n v="692.0"/>
        <n v="948.0"/>
        <n v="1496.0"/>
        <n v="1515.0"/>
        <n v="765.0"/>
        <n v="827.0"/>
        <n v="896.0"/>
        <n v="1018.0"/>
        <n v="702.0"/>
        <n v="675.0"/>
        <n v="841.0"/>
        <n v="1448.0"/>
        <n v="1960.0"/>
        <n v="759.0"/>
        <n v="686.0"/>
        <n v="1151.0"/>
        <n v="831.0"/>
        <n v="1563.0"/>
        <n v="714.0"/>
        <n v="1016.0"/>
        <n v="2820.0"/>
        <n v="872.0"/>
        <n v="760.0"/>
        <n v="700.0"/>
        <n v="709.0"/>
        <n v="779.0"/>
        <n v="982.0"/>
        <n v="724.0"/>
        <n v="706.0"/>
        <n v="1079.0"/>
        <n v="963.0"/>
        <n v="951.0"/>
        <n v="865.0"/>
        <n v="1017.0"/>
        <n v="842.0"/>
        <n v="889.0"/>
        <n v="1057.0"/>
        <n v="1332.0"/>
        <n v="1211.0"/>
        <n v="668.0"/>
        <n v="681.0"/>
        <n v="912.0"/>
        <n v="723.0"/>
        <n v="1092.0"/>
        <n v="1005.0"/>
        <n v="2015.0"/>
        <n v="679.0"/>
        <n v="710.0"/>
        <n v="1115.0"/>
        <n v="2083.0"/>
        <n v="1421.0"/>
        <n v="736.0"/>
        <n v="904.0"/>
        <n v="754.0"/>
        <n v="993.0"/>
        <n v="1425.0"/>
        <n v="1014.0"/>
        <n v="795.0"/>
        <n v="1455.0"/>
        <n v="1726.0"/>
        <n v="745.0"/>
        <n v="1221.0"/>
        <n v="1555.0"/>
        <n v="994.0"/>
        <n v="941.0"/>
        <n v="1000.0"/>
        <n v="1171.0"/>
        <n v="1213.0"/>
        <n v="2048.0"/>
        <n v="1752.0"/>
        <n v="1551.0"/>
        <n v="793.0"/>
        <n v="834.0"/>
        <n v="1400.0"/>
        <n v="847.0"/>
        <n v="1096.0"/>
        <n v="1562.0"/>
        <n v="915.0"/>
        <n v="913.0"/>
        <n v="787.0"/>
        <n v="813.0"/>
        <n v="893.0"/>
        <n v="1114.0"/>
        <n v="1154.0"/>
        <n v="931.0"/>
        <n v="1140.0"/>
        <n v="2184.0"/>
        <n v="988.0"/>
        <n v="1449.0"/>
        <n v="1054.0"/>
        <n v="946.0"/>
        <n v="772.0"/>
        <n v="1245.0"/>
        <n v="945.0"/>
        <n v="850.0"/>
        <n v="757.0"/>
        <n v="659.0"/>
        <n v="902.0"/>
        <n v="753.0"/>
        <n v="773.0"/>
        <n v="936.0"/>
        <n v="701.0"/>
        <n v="856.0"/>
        <n v="810.0"/>
        <n v="874.0"/>
        <n v="1280.0"/>
        <n v="1991.0"/>
        <n v="1180.0"/>
        <n v="1360.0"/>
        <n v="916.0"/>
        <n v="1639.0"/>
        <n v="1055.0"/>
        <n v="1175.0"/>
        <n v="703.0"/>
        <n v="1248.0"/>
        <n v="1202.0"/>
        <n v="1560.0"/>
        <n v="848.0"/>
        <n v="1046.0"/>
        <n v="840.0"/>
        <n v="680.0"/>
        <n v="888.0"/>
        <n v="910.0"/>
        <n v="832.0"/>
        <n v="914.0"/>
        <n v="808.0"/>
        <n v="1542.0"/>
        <n v="722.0"/>
        <n v="790.0"/>
        <n v="1133.0"/>
        <n v="1086.0"/>
        <n v="1385.0"/>
        <n v="782.0"/>
        <n v="1023.0"/>
        <n v="1481.0"/>
        <n v="1013.0"/>
        <n v="1026.0"/>
        <n v="891.0"/>
        <n v="934.0"/>
        <n v="721.0"/>
        <n v="683.0"/>
        <n v="1267.0"/>
        <n v="1104.0"/>
        <n v="1318.0"/>
        <n v="1020.0"/>
        <n v="1138.0"/>
        <n v="805.0"/>
        <n v="1274.0"/>
        <n v="858.0"/>
        <n v="870.0"/>
        <n v="705.0"/>
        <n v="665.0"/>
        <n v="1390.0"/>
        <n v="1024.0"/>
        <n v="1750.0"/>
        <n v="1441.0"/>
        <n v="985.0"/>
        <n v="960.0"/>
        <n v="1576.0"/>
        <n v="1007.0"/>
      </sharedItems>
    </cacheField>
    <cacheField name="net" numFmtId="0">
      <sharedItems>
        <s v="us"/>
        <s v="at"/>
        <s v="pt"/>
        <s v="ak"/>
        <s v="nn"/>
        <s v="ci"/>
        <s v="hv"/>
        <s v="nc"/>
        <s v="official"/>
        <s v="duputel"/>
        <s v="uw"/>
      </sharedItems>
    </cacheField>
    <cacheField name="nst" numFmtId="0">
      <sharedItems containsSemiMixedTypes="0" containsString="0" containsNumber="1" containsInteger="1">
        <n v="114.0"/>
        <n v="92.0"/>
        <n v="70.0"/>
        <n v="173.0"/>
        <n v="79.0"/>
        <n v="95.0"/>
        <n v="136.0"/>
        <n v="85.0"/>
        <n v="50.0"/>
        <n v="98.0"/>
        <n v="277.0"/>
        <n v="111.0"/>
        <n v="52.0"/>
        <n v="126.0"/>
        <n v="166.0"/>
        <n v="131.0"/>
        <n v="104.0"/>
        <n v="105.0"/>
        <n v="97.0"/>
        <n v="134.0"/>
        <n v="152.0"/>
        <n v="116.0"/>
        <n v="108.0"/>
        <n v="66.0"/>
        <n v="115.0"/>
        <n v="128.0"/>
        <n v="135.0"/>
        <n v="118.0"/>
        <n v="60.0"/>
        <n v="130.0"/>
        <n v="117.0"/>
        <n v="99.0"/>
        <n v="147.0"/>
        <n v="149.0"/>
        <n v="142.0"/>
        <n v="145.0"/>
        <n v="175.0"/>
        <n v="271.0"/>
        <n v="215.0"/>
        <n v="178.0"/>
        <n v="192.0"/>
        <n v="272.0"/>
        <n v="141.0"/>
        <n v="68.0"/>
        <n v="236.0"/>
        <n v="144.0"/>
        <n v="127.0"/>
        <n v="162.0"/>
        <n v="0.0"/>
        <n v="23.0"/>
        <n v="20.0"/>
        <n v="27.0"/>
        <n v="77.0"/>
        <n v="63.0"/>
        <n v="112.0"/>
        <n v="229.0"/>
        <n v="398.0"/>
        <n v="139.0"/>
        <n v="698.0"/>
        <n v="515.0"/>
        <n v="217.0"/>
        <n v="385.0"/>
        <n v="626.0"/>
        <n v="264.0"/>
        <n v="548.0"/>
        <n v="770.0"/>
        <n v="445.0"/>
        <n v="506.0"/>
        <n v="491.0"/>
        <n v="640.0"/>
        <n v="317.0"/>
        <n v="480.0"/>
        <n v="531.0"/>
        <n v="697.0"/>
        <n v="421.0"/>
        <n v="562.0"/>
        <n v="334.0"/>
        <n v="400.0"/>
        <n v="387.0"/>
        <n v="550.0"/>
        <n v="460.0"/>
        <n v="686.0"/>
        <n v="596.0"/>
        <n v="521.0"/>
        <n v="517.0"/>
        <n v="918.0"/>
        <n v="598.0"/>
        <n v="391.0"/>
        <n v="751.0"/>
        <n v="807.0"/>
        <n v="691.0"/>
        <n v="291.0"/>
        <n v="934.0"/>
        <n v="703.0"/>
        <n v="682.0"/>
        <n v="417.0"/>
        <n v="497.0"/>
        <n v="862.0"/>
        <n v="576.0"/>
        <n v="529.0"/>
        <n v="370.0"/>
        <n v="597.0"/>
        <n v="518.0"/>
        <n v="474.0"/>
        <n v="599.0"/>
        <n v="341.0"/>
        <n v="499.0"/>
        <n v="553.0"/>
        <n v="672.0"/>
        <n v="572.0"/>
        <n v="573.0"/>
        <n v="443.0"/>
        <n v="545.0"/>
        <n v="485.0"/>
        <n v="578.0"/>
        <n v="693.0"/>
        <n v="423.0"/>
        <n v="383.0"/>
        <n v="667.0"/>
        <n v="447.0"/>
        <n v="406.0"/>
        <n v="471.0"/>
        <n v="564.0"/>
        <n v="322.0"/>
        <n v="280.0"/>
        <n v="567.0"/>
        <n v="592.0"/>
        <n v="519.0"/>
        <n v="586.0"/>
        <n v="446.0"/>
        <n v="335.0"/>
        <n v="668.0"/>
        <n v="369.0"/>
        <n v="507.0"/>
        <n v="163.0"/>
        <n v="541.0"/>
        <n v="358.0"/>
        <n v="382.0"/>
        <n v="372.0"/>
        <n v="397.0"/>
        <n v="409.0"/>
        <n v="279.0"/>
        <n v="306.0"/>
        <n v="379.0"/>
        <n v="352.0"/>
        <n v="365.0"/>
        <n v="405.0"/>
        <n v="396.0"/>
        <n v="403.0"/>
        <n v="340.0"/>
        <n v="456.0"/>
        <n v="295.0"/>
        <n v="392.0"/>
        <n v="309.0"/>
        <n v="307.0"/>
        <n v="514.0"/>
        <n v="327.0"/>
        <n v="611.0"/>
        <n v="410.0"/>
        <n v="399.0"/>
        <n v="10.0"/>
        <n v="413.0"/>
        <n v="312.0"/>
        <n v="415.0"/>
        <n v="401.0"/>
        <n v="255.0"/>
        <n v="426.0"/>
        <n v="454.0"/>
        <n v="487.0"/>
        <n v="500.0"/>
        <n v="51.0"/>
        <n v="338.0"/>
        <n v="377.0"/>
        <n v="282.0"/>
        <n v="390.0"/>
        <n v="430.0"/>
        <n v="305.0"/>
        <n v="424.0"/>
        <n v="174.0"/>
        <n v="314.0"/>
        <n v="195.0"/>
        <n v="283.0"/>
        <n v="498.0"/>
        <n v="520.0"/>
        <n v="336.0"/>
        <n v="303.0"/>
        <n v="243.0"/>
        <n v="434.0"/>
        <n v="269.0"/>
        <n v="464.0"/>
        <n v="504.0"/>
        <n v="432.0"/>
        <n v="344.0"/>
        <n v="288.0"/>
        <n v="481.0"/>
        <n v="463.0"/>
        <n v="325.0"/>
        <n v="633.0"/>
        <n v="577.0"/>
        <n v="630.0"/>
        <n v="654.0"/>
        <n v="774.0"/>
        <n v="486.0"/>
        <n v="532.0"/>
        <n v="544.0"/>
        <n v="543.0"/>
        <n v="505.0"/>
        <n v="429.0"/>
        <n v="607.0"/>
        <n v="650.0"/>
        <n v="645.0"/>
        <n v="461.0"/>
        <n v="663.0"/>
        <n v="353.0"/>
        <n v="649.0"/>
        <n v="285.0"/>
        <n v="610.0"/>
        <n v="494.0"/>
        <n v="348.0"/>
        <n v="503.0"/>
        <n v="537.0"/>
        <n v="411.0"/>
        <n v="653.0"/>
        <n v="625.0"/>
        <n v="228.0"/>
        <n v="374.0"/>
        <n v="664.0"/>
        <n v="782.0"/>
        <n v="468.0"/>
        <n v="251.0"/>
        <n v="439.0"/>
        <n v="493.0"/>
        <n v="253.0"/>
        <n v="570.0"/>
        <n v="606.0"/>
        <n v="466.0"/>
        <n v="744.0"/>
        <n v="444.0"/>
        <n v="533.0"/>
        <n v="43.0"/>
        <n v="702.0"/>
        <n v="459.0"/>
        <n v="700.0"/>
        <n v="551.0"/>
        <n v="357.0"/>
        <n v="477.0"/>
        <n v="701.0"/>
        <n v="579.0"/>
        <n v="247.0"/>
        <n v="412.0"/>
        <n v="769.0"/>
        <n v="323.0"/>
        <n v="561.0"/>
        <n v="509.0"/>
        <n v="724.0"/>
        <n v="402.0"/>
        <n v="696.0"/>
        <n v="502.0"/>
        <n v="636.0"/>
        <n v="420.0"/>
        <n v="714.0"/>
        <n v="635.0"/>
        <n v="695.0"/>
        <n v="478.0"/>
        <n v="656.0"/>
        <n v="510.0"/>
        <n v="569.0"/>
        <n v="371.0"/>
        <n v="286.0"/>
        <n v="457.0"/>
        <n v="225.0"/>
        <n v="601.0"/>
        <n v="331.0"/>
        <n v="639.0"/>
        <n v="759.0"/>
        <n v="929.0"/>
        <n v="585.0"/>
        <n v="708.0"/>
        <n v="301.0"/>
        <n v="233.0"/>
        <n v="441.0"/>
        <n v="526.0"/>
        <n v="594.0"/>
        <n v="643.0"/>
        <n v="349.0"/>
        <n v="798.0"/>
        <n v="386.0"/>
        <n v="728.0"/>
        <n v="256.0"/>
        <n v="367.0"/>
        <n v="235.0"/>
        <n v="552.0"/>
        <n v="65.0"/>
        <n v="384.0"/>
        <n v="475.0"/>
        <n v="568.0"/>
        <n v="556.0"/>
        <n v="428.0"/>
        <n v="315.0"/>
        <n v="156.0"/>
        <n v="733.0"/>
        <n v="419.0"/>
        <n v="473.0"/>
        <n v="690.0"/>
        <n v="534.0"/>
        <n v="431.0"/>
        <n v="316.0"/>
        <n v="453.0"/>
        <n v="418.0"/>
        <n v="250.0"/>
        <n v="375.0"/>
        <n v="646.0"/>
        <n v="260.0"/>
        <n v="555.0"/>
        <n v="257.0"/>
        <n v="462.0"/>
        <n v="292.0"/>
        <n v="321.0"/>
        <n v="138.0"/>
        <n v="482.0"/>
        <n v="333.0"/>
        <n v="427.0"/>
        <n v="605.0"/>
        <n v="368.0"/>
        <n v="254.0"/>
        <n v="234.0"/>
        <n v="483.0"/>
        <n v="324.0"/>
        <n v="422.0"/>
        <n v="206.0"/>
        <n v="67.0"/>
        <n v="221.0"/>
        <n v="273.0"/>
        <n v="472.0"/>
        <n v="64.0"/>
        <n v="495.0"/>
        <n v="268.0"/>
        <n v="267.0"/>
        <n v="346.0"/>
        <n v="71.0"/>
        <n v="294.0"/>
        <n v="593.0"/>
        <n v="218.0"/>
        <n v="351.0"/>
        <n v="73.0"/>
      </sharedItems>
    </cacheField>
    <cacheField name="dmin" numFmtId="0">
      <sharedItems containsSemiMixedTypes="0" containsString="0" containsNumber="1">
        <n v="7.177"/>
        <n v="0.679"/>
        <n v="1.634"/>
        <n v="0.907"/>
        <n v="0.879451"/>
        <n v="2.454"/>
        <n v="1.179"/>
        <n v="2.59"/>
        <n v="2.163"/>
        <n v="2.812"/>
        <n v="3.111"/>
        <n v="3.631"/>
        <n v="5.123"/>
        <n v="2.282"/>
        <n v="0.708"/>
        <n v="4.719"/>
        <n v="1.881"/>
        <n v="0.266"/>
        <n v="6.45"/>
        <n v="1.622"/>
        <n v="2.53"/>
        <n v="0.709"/>
        <n v="1.789"/>
        <n v="0.784"/>
        <n v="5.483"/>
        <n v="2.739"/>
        <n v="1.783"/>
        <n v="0.85"/>
        <n v="0.218"/>
        <n v="1.919"/>
        <n v="5.129"/>
        <n v="1.974"/>
        <n v="1.575"/>
        <n v="6.096"/>
        <n v="2.587"/>
        <n v="0.509"/>
        <n v="2.229"/>
        <n v="3.125"/>
        <n v="1.865"/>
        <n v="4.998"/>
        <n v="4.578"/>
        <n v="4.678"/>
        <n v="1.151"/>
        <n v="2.137"/>
        <n v="1.153"/>
        <n v="0.401"/>
        <n v="0.43"/>
        <n v="2.977"/>
        <n v="3.158"/>
        <n v="8.454"/>
        <n v="5.293"/>
        <n v="5.276"/>
        <n v="1.999"/>
        <n v="2.494"/>
        <n v="0.371"/>
        <n v="1.505"/>
        <n v="0.914"/>
        <n v="2.705"/>
        <n v="2.697"/>
        <n v="0.289"/>
        <n v="2.936"/>
        <n v="2.188"/>
        <n v="0.827"/>
        <n v="5.78"/>
        <n v="3.026"/>
        <n v="1.088"/>
        <n v="2.418"/>
        <n v="1.61607"/>
        <n v="0.0"/>
        <n v="0.507"/>
        <n v="0.936943"/>
        <n v="0.92"/>
        <n v="1.168"/>
        <n v="2.685"/>
        <n v="3.713"/>
        <n v="1.025"/>
        <n v="4.951"/>
        <n v="3.259"/>
        <n v="4.778"/>
        <n v="4.493"/>
        <n v="0.993"/>
        <n v="0.07"/>
        <n v="9.799"/>
        <n v="8.865"/>
        <n v="0.579"/>
        <n v="8.363"/>
        <n v="1.178"/>
        <n v="1.173"/>
        <n v="7.463"/>
        <n v="7.227"/>
        <n v="1.273"/>
        <n v="0.875"/>
        <n v="8.139"/>
        <n v="1.395"/>
        <n v="7.994"/>
        <n v="4.518"/>
        <n v="4.655"/>
        <n v="1.487"/>
        <n v="10.669"/>
        <n v="2.619"/>
        <n v="5.931"/>
        <n v="10.405"/>
        <n v="2.378"/>
        <n v="3.183"/>
        <n v="11.764"/>
        <n v="0.739"/>
        <n v="0.437"/>
        <n v="0.918"/>
        <n v="3.085"/>
        <n v="7.989"/>
        <n v="1.55"/>
        <n v="2.821"/>
        <n v="2.043"/>
        <n v="1.319"/>
        <n v="1.518"/>
        <n v="0.23"/>
        <n v="11.255"/>
        <n v="0.388"/>
        <n v="0.312"/>
        <n v="15.394"/>
        <n v="2.267"/>
        <n v="1.716"/>
        <n v="1.816"/>
        <n v="5.128"/>
        <n v="0.621"/>
        <n v="1.671"/>
        <n v="1.458"/>
        <n v="0.151"/>
        <n v="4.035"/>
        <n v="2.015"/>
        <n v="1.164"/>
        <n v="0.357"/>
        <n v="3.403"/>
        <n v="1.921"/>
        <n v="1.293"/>
        <n v="0.885"/>
        <n v="4.109"/>
        <n v="4.501"/>
        <n v="1.657"/>
        <n v="0.87"/>
        <n v="0.546"/>
        <n v="1.271"/>
        <n v="4.765"/>
        <n v="5.086"/>
        <n v="0.428"/>
        <n v="0.646"/>
        <n v="1.269"/>
        <n v="3.909"/>
        <n v="4.121"/>
        <n v="12.896"/>
        <n v="2.839"/>
        <n v="0.817"/>
        <n v="6.024"/>
        <n v="1.504"/>
        <n v="2.978"/>
        <n v="1.205"/>
        <n v="0.04616"/>
        <n v="2.629"/>
        <n v="1.402"/>
        <n v="1.193"/>
        <n v="3.18"/>
        <n v="0.453"/>
        <n v="2.514"/>
        <n v="0.791"/>
        <n v="7.568"/>
        <n v="2.501"/>
        <n v="2.045"/>
        <n v="7.527"/>
        <n v="0.173"/>
        <n v="7.818"/>
        <n v="1.596"/>
        <n v="1.181"/>
        <n v="1.769"/>
        <n v="4.126"/>
        <n v="7.043"/>
        <n v="2.679"/>
        <n v="2.405"/>
        <n v="2.879"/>
        <n v="7.853"/>
        <n v="2.268"/>
        <n v="1.692"/>
        <n v="1.611"/>
        <n v="2.109"/>
        <n v="3.923"/>
        <n v="1.778"/>
        <n v="3.745"/>
        <n v="1.649"/>
        <n v="5.139"/>
        <n v="2.785"/>
        <n v="1.638"/>
        <n v="1.431"/>
        <n v="1.13"/>
        <n v="2.548"/>
        <n v="3.77"/>
        <n v="4.797"/>
        <n v="1.822"/>
        <n v="2.453"/>
        <n v="3.63"/>
        <n v="2.719"/>
        <n v="0.576"/>
        <n v="2.271"/>
        <n v="0.11"/>
        <n v="5.32"/>
        <n v="1.507"/>
        <n v="1.049"/>
        <n v="5.457"/>
        <n v="5.48"/>
        <n v="0.142"/>
        <n v="2.585"/>
        <n v="4.29"/>
        <n v="4.581"/>
        <n v="2.365"/>
        <n v="17.654"/>
        <n v="0.617"/>
        <n v="0.529"/>
        <n v="0.225"/>
        <n v="0.284"/>
        <n v="4.449"/>
        <n v="4.852"/>
        <n v="0.788"/>
        <n v="1.062"/>
        <n v="1.154"/>
        <n v="0.984"/>
        <n v="0.944"/>
        <n v="11.411"/>
        <n v="0.913"/>
        <n v="3.564"/>
        <n v="3.773"/>
        <n v="4.139"/>
        <n v="1.065"/>
        <n v="0.247"/>
        <n v="2.308"/>
        <n v="2.353"/>
        <n v="6.489"/>
        <n v="7.495"/>
        <n v="1.636"/>
        <n v="0.356"/>
        <n v="2.36"/>
        <n v="4.591"/>
        <n v="6.012"/>
        <n v="4.242"/>
        <n v="2.822"/>
        <n v="3.625"/>
        <n v="1.64"/>
        <n v="3.813"/>
        <n v="2.495"/>
        <n v="0.355"/>
        <n v="3.38"/>
        <n v="1.389"/>
        <n v="1.747"/>
        <n v="1.937"/>
        <n v="1.836"/>
        <n v="1.405"/>
        <n v="0.778"/>
        <n v="1.697"/>
        <n v="1.796"/>
        <n v="0.671"/>
        <n v="0.283"/>
        <n v="0.135"/>
        <n v="0.481"/>
        <n v="0.174"/>
        <n v="2.022"/>
        <n v="3.727"/>
        <n v="4.051"/>
        <n v="0.698"/>
        <n v="0.803"/>
        <n v="1.802"/>
        <n v="4.823"/>
        <n v="3.294"/>
        <n v="2.435"/>
        <n v="5.803"/>
        <n v="5.485"/>
        <n v="1.192"/>
        <n v="1.352"/>
        <n v="0.616"/>
        <n v="1.44"/>
        <n v="0.349"/>
        <n v="3.001"/>
        <n v="0.789"/>
        <n v="6.787"/>
        <n v="6.697"/>
        <n v="1.166"/>
        <n v="7.009"/>
        <n v="0.958"/>
        <n v="2.413"/>
        <n v="0.281"/>
        <n v="3.144"/>
        <n v="1.794"/>
        <n v="0.41"/>
        <n v="2.979"/>
        <n v="1.116"/>
        <n v="2.033"/>
        <n v="2.852"/>
        <n v="3.287"/>
        <n v="1.599"/>
        <n v="1.444"/>
        <n v="0.821"/>
        <n v="2.792"/>
        <n v="0.258"/>
        <n v="1.53"/>
        <n v="0.622"/>
        <n v="0.592"/>
        <n v="2.486"/>
        <n v="1.064"/>
        <n v="0.853"/>
        <n v="0.749"/>
        <n v="0.903"/>
        <n v="0.684"/>
        <n v="1.256"/>
        <n v="1.872"/>
        <n v="6.278"/>
        <n v="0.444"/>
        <n v="5.205"/>
        <n v="1.218"/>
        <n v="1.529"/>
        <n v="2.277"/>
        <n v="1.675"/>
        <n v="3.619"/>
        <n v="4.024"/>
        <n v="4.395"/>
        <n v="1.422"/>
        <n v="0.677"/>
        <n v="3.835"/>
        <n v="1.295"/>
        <n v="1.074"/>
        <n v="1.239"/>
        <n v="0.727"/>
        <n v="1.857"/>
        <n v="3.702"/>
        <n v="4.629"/>
        <n v="0.666"/>
        <n v="1.362"/>
        <n v="1.925"/>
        <n v="2.11"/>
        <n v="2.019"/>
        <n v="4.318"/>
        <n v="2.485"/>
        <n v="3.246"/>
        <n v="2.6"/>
        <n v="1.421"/>
        <n v="1.549"/>
        <n v="1.079"/>
        <n v="1.397"/>
        <n v="3.557"/>
        <n v="4.415"/>
        <n v="1.078"/>
        <n v="0.46"/>
        <n v="4.107"/>
        <n v="6.393"/>
        <n v="3.934"/>
        <n v="2.421"/>
        <n v="0.263"/>
        <n v="2.124"/>
        <n v="6.713"/>
        <n v="4.838"/>
        <n v="0.133"/>
        <n v="0.748"/>
        <n v="0.751"/>
        <n v="0.402"/>
        <n v="3.121"/>
        <n v="3.34"/>
        <n v="3.82"/>
        <n v="3.803"/>
        <n v="2.25"/>
        <n v="2.666"/>
        <n v="2.885"/>
        <n v="2.828"/>
        <n v="0.761"/>
        <n v="3.787"/>
        <n v="3.729"/>
        <n v="1.029"/>
        <n v="0.828"/>
        <n v="0.609"/>
        <n v="1.008"/>
        <n v="0.6568"/>
        <n v="1.001"/>
        <n v="1.635"/>
        <n v="7.496"/>
        <n v="0.409"/>
        <n v="3.651"/>
        <n v="3.997"/>
        <n v="5.194"/>
        <n v="8.05"/>
        <n v="8.284"/>
        <n v="0.636"/>
        <n v="3.968"/>
        <n v="1.98"/>
        <n v="5.79"/>
        <n v="1.984"/>
        <n v="2.958"/>
        <n v="1.709"/>
        <n v="7.359"/>
        <n v="4.446"/>
        <n v="7.241"/>
        <n v="0.735"/>
        <n v="3.276"/>
        <n v="3.097"/>
        <n v="0.624"/>
        <n v="3.741"/>
        <n v="0.5137"/>
        <n v="0.3225"/>
        <n v="0.04685"/>
      </sharedItems>
    </cacheField>
    <cacheField name="gap" numFmtId="0">
      <sharedItems containsSemiMixedTypes="0" containsString="0" containsNumber="1">
        <n v="25.0"/>
        <n v="40.0"/>
        <n v="28.0"/>
        <n v="36.0"/>
        <n v="172.8"/>
        <n v="37.0"/>
        <n v="23.0"/>
        <n v="24.0"/>
        <n v="129.0"/>
        <n v="56.0"/>
        <n v="15.0"/>
        <n v="17.0"/>
        <n v="50.0"/>
        <n v="58.0"/>
        <n v="10.0"/>
        <n v="31.0"/>
        <n v="30.0"/>
        <n v="33.0"/>
        <n v="13.0"/>
        <n v="22.0"/>
        <n v="18.0"/>
        <n v="45.0"/>
        <n v="20.0"/>
        <n v="44.0"/>
        <n v="32.0"/>
        <n v="61.0"/>
        <n v="21.0"/>
        <n v="26.0"/>
        <n v="34.0"/>
        <n v="27.0"/>
        <n v="92.0"/>
        <n v="69.0"/>
        <n v="54.0"/>
        <n v="12.0"/>
        <n v="94.0"/>
        <n v="42.0"/>
        <n v="29.0"/>
        <n v="43.0"/>
        <n v="46.0"/>
        <n v="57.0"/>
        <n v="108.0"/>
        <n v="208.8"/>
        <n v="49.0"/>
        <n v="126.0"/>
        <n v="205.2"/>
        <n v="19.0"/>
        <n v="0.0"/>
        <n v="114.0"/>
        <n v="48.0"/>
        <n v="78.0"/>
        <n v="38.0"/>
        <n v="66.0"/>
        <n v="9.0"/>
        <n v="35.0"/>
        <n v="11.0"/>
        <n v="16.0"/>
        <n v="14.0"/>
        <n v="60.0"/>
        <n v="55.79"/>
        <n v="39.0"/>
        <n v="98.0"/>
        <n v="68.0"/>
        <n v="63.0"/>
        <n v="210.0"/>
        <n v="82.0"/>
        <n v="55.0"/>
        <n v="74.0"/>
        <n v="41.0"/>
        <n v="62.0"/>
        <n v="123.0"/>
        <n v="8.0"/>
        <n v="51.0"/>
        <n v="119.0"/>
        <n v="229.0"/>
        <n v="53.0"/>
        <n v="25.2"/>
        <n v="16.6"/>
        <n v="12.6"/>
        <n v="10.1"/>
        <n v="26.6"/>
        <n v="11.5"/>
        <n v="11.4"/>
        <n v="14.2"/>
        <n v="20.7"/>
        <n v="15.3"/>
        <n v="23.7"/>
        <n v="16.5"/>
        <n v="17.5"/>
        <n v="26.5"/>
        <n v="18.4"/>
        <n v="20.9"/>
        <n v="19.3"/>
        <n v="13.7"/>
        <n v="8.7"/>
        <n v="14.8"/>
        <n v="57.3"/>
        <n v="25.5"/>
        <n v="42.7"/>
        <n v="34.4"/>
        <n v="17.7"/>
        <n v="15.5"/>
        <n v="34.3"/>
        <n v="10.2"/>
        <n v="14.6"/>
        <n v="13.8"/>
        <n v="11.7"/>
        <n v="15.7"/>
        <n v="15.4"/>
        <n v="26.9"/>
        <n v="95.9"/>
        <n v="54.1"/>
        <n v="14.9"/>
        <n v="15.2"/>
        <n v="37.9"/>
        <n v="13.4"/>
        <n v="11.1"/>
        <n v="17.6"/>
        <n v="10.6"/>
        <n v="38.6"/>
        <n v="46.5"/>
        <n v="19.7"/>
        <n v="10.9"/>
        <n v="12.3"/>
        <n v="33.5"/>
        <n v="24.9"/>
        <n v="12.5"/>
        <n v="37.2"/>
        <n v="18.2"/>
        <n v="9.5"/>
        <n v="18.7"/>
        <n v="10.8"/>
        <n v="48.4"/>
        <n v="17.4"/>
        <n v="33.9"/>
        <n v="34.7"/>
        <n v="25.3"/>
        <n v="13.3"/>
        <n v="30.1"/>
        <n v="24.3"/>
        <n v="18.5"/>
        <n v="50.3"/>
        <n v="15.1"/>
        <n v="15.8"/>
        <n v="12.4"/>
        <n v="20.2"/>
        <n v="12.7"/>
        <n v="52.8"/>
        <n v="18.1"/>
        <n v="18.6"/>
        <n v="20.6"/>
        <n v="12.1"/>
        <n v="19.2"/>
        <n v="239.0"/>
        <n v="16.7"/>
        <n v="17.1"/>
        <n v="23.2"/>
        <n v="27.8"/>
        <n v="17.8"/>
        <n v="22.7"/>
        <n v="220.0"/>
        <n v="20.4"/>
        <n v="21.4"/>
        <n v="30.2"/>
        <n v="20.3"/>
        <n v="20.8"/>
        <n v="16.3"/>
        <n v="14.1"/>
        <n v="16.8"/>
        <n v="27.2"/>
        <n v="21.1"/>
        <n v="22.6"/>
        <n v="29.8"/>
        <n v="33.7"/>
        <n v="28.6"/>
        <n v="22.3"/>
        <n v="22.2"/>
        <n v="11.3"/>
        <n v="25.9"/>
        <n v="28.3"/>
        <n v="16.4"/>
        <n v="30.7"/>
        <n v="30.6"/>
        <n v="27.6"/>
        <n v="18.8"/>
        <n v="30.3"/>
        <n v="27.5"/>
        <n v="15.9"/>
        <n v="40.1"/>
        <n v="22.4"/>
        <n v="23.9"/>
        <n v="23.1"/>
        <n v="26.2"/>
        <n v="29.1"/>
        <n v="32.3"/>
        <n v="21.3"/>
        <n v="12.8"/>
        <n v="25.7"/>
        <n v="24.1"/>
        <n v="37.7"/>
        <n v="14.7"/>
        <n v="40.3"/>
        <n v="21.6"/>
        <n v="31.6"/>
        <n v="53.4"/>
        <n v="15.6"/>
        <n v="124.0"/>
        <n v="28.4"/>
        <n v="47.4"/>
        <n v="36.8"/>
        <n v="46.3"/>
        <n v="25.6"/>
        <n v="48.2"/>
        <n v="20.5"/>
        <n v="48.8"/>
        <n v="19.6"/>
        <n v="26.4"/>
        <n v="31.4"/>
        <n v="16.1"/>
        <n v="21.2"/>
        <n v="22.1"/>
        <n v="22.9"/>
        <n v="33.8"/>
        <n v="31.8"/>
        <n v="47.3"/>
        <n v="78.5"/>
        <n v="31.9"/>
        <n v="27.9"/>
        <n v="59.3"/>
        <n v="21.8"/>
        <n v="23.6"/>
        <n v="28.8"/>
        <n v="50.2"/>
        <n v="21.5"/>
        <n v="37.3"/>
        <n v="24.7"/>
        <n v="32.2"/>
        <n v="18.3"/>
        <n v="31.2"/>
        <n v="46.9"/>
        <n v="29.9"/>
        <n v="33.3"/>
        <n v="42.5"/>
        <n v="46.6"/>
        <n v="44.8"/>
        <n v="71.0"/>
        <n v="27.7"/>
        <n v="25.1"/>
        <n v="45.9"/>
        <n v="61.2"/>
        <n v="55.4"/>
        <n v="24.5"/>
        <n v="71.3"/>
        <n v="78.8"/>
        <n v="39.1"/>
        <n v="26.7"/>
        <n v="19.1"/>
        <n v="19.4"/>
        <n v="28.7"/>
        <n v="38.4"/>
      </sharedItems>
    </cacheField>
    <cacheField name="magType" numFmtId="0">
      <sharedItems>
        <s v="mww"/>
        <s v="Mi"/>
        <s v="mwc"/>
        <s v="mwb"/>
        <s v="ml"/>
        <s v="mw"/>
        <s v="ms"/>
        <s v="mb"/>
        <s v="md"/>
      </sharedItems>
    </cacheField>
    <cacheField name="depth" numFmtId="0">
      <sharedItems containsSemiMixedTypes="0" containsString="0" containsNumber="1">
        <n v="192.955"/>
        <n v="69.727"/>
        <n v="171.371"/>
        <n v="32.571"/>
        <n v="21.0"/>
        <n v="10.0"/>
        <n v="229.0"/>
        <n v="167.404"/>
        <n v="35.981"/>
        <n v="18.027"/>
        <n v="210.097"/>
        <n v="598.467"/>
        <n v="15.462"/>
        <n v="43.063"/>
        <n v="595.854"/>
        <n v="594.028"/>
        <n v="105.631"/>
        <n v="62.603"/>
        <n v="209.976"/>
        <n v="187.589"/>
        <n v="65.842"/>
        <n v="22.065"/>
        <n v="205.681"/>
        <n v="598.925"/>
        <n v="20.522"/>
        <n v="14.497"/>
        <n v="17.925"/>
        <n v="610.671"/>
        <n v="28.566"/>
        <n v="105.249"/>
        <n v="29.0"/>
        <n v="38.0"/>
        <n v="14.0"/>
        <n v="25.0"/>
        <n v="579.0"/>
        <n v="37.0"/>
        <n v="624.464"/>
        <n v="660.0"/>
        <n v="630.379"/>
        <n v="20.0"/>
        <n v="26.943"/>
        <n v="137.0"/>
        <n v="116.0"/>
        <n v="12.0"/>
        <n v="30.0"/>
        <n v="33.729"/>
        <n v="622.73"/>
        <n v="236.0"/>
        <n v="220.0"/>
        <n v="27.0"/>
        <n v="24.0"/>
        <n v="41.0"/>
        <n v="28.0"/>
        <n v="535.0"/>
        <n v="110.0"/>
        <n v="8.0"/>
        <n v="33.0"/>
        <n v="19.0"/>
        <n v="13.0"/>
        <n v="165.49"/>
        <n v="14.27"/>
        <n v="126.0"/>
        <n v="51.6"/>
        <n v="527.0"/>
        <n v="6.0"/>
        <n v="7.0"/>
        <n v="93.0"/>
        <n v="16.7"/>
        <n v="33.3"/>
        <n v="20.74"/>
        <n v="22.79"/>
        <n v="47.23"/>
        <n v="55.14"/>
        <n v="46.66"/>
        <n v="35.0"/>
        <n v="11.0"/>
        <n v="43.0"/>
        <n v="246.0"/>
        <n v="301.0"/>
        <n v="13.23"/>
        <n v="28.93"/>
        <n v="43.98"/>
        <n v="15.0"/>
        <n v="80.0"/>
        <n v="28.37"/>
        <n v="16.0"/>
        <n v="624.0"/>
        <n v="26.0"/>
        <n v="22.0"/>
        <n v="73.0"/>
        <n v="533.76"/>
        <n v="165.0"/>
        <n v="112.0"/>
        <n v="2.7"/>
        <n v="107.0"/>
        <n v="96.0"/>
        <n v="12.06"/>
        <n v="57.8"/>
        <n v="143.0"/>
        <n v="14.86"/>
        <n v="18.0"/>
        <n v="577.0"/>
        <n v="12.26"/>
        <n v="591.0"/>
        <n v="49.0"/>
        <n v="181.0"/>
        <n v="18.98"/>
        <n v="212.0"/>
        <n v="46.0"/>
        <n v="57.92"/>
        <n v="122.57"/>
        <n v="146.0"/>
        <n v="15.46"/>
        <n v="267.0"/>
        <n v="145.0"/>
        <n v="66.0"/>
        <n v="63.0"/>
        <n v="43.21"/>
        <n v="570.41"/>
        <n v="60.21"/>
        <n v="16.56"/>
        <n v="133.0"/>
        <n v="46.7"/>
        <n v="540.0"/>
        <n v="17.0"/>
        <n v="461.0"/>
        <n v="39.0"/>
        <n v="550.0"/>
        <n v="576.0"/>
        <n v="115.0"/>
        <n v="68.0"/>
        <n v="670.81"/>
        <n v="21.43"/>
        <n v="630.0"/>
        <n v="9.0"/>
        <n v="146.82"/>
        <n v="600.0"/>
        <n v="529.0"/>
        <n v="33.93"/>
        <n v="34.0"/>
        <n v="5.81"/>
        <n v="559.0"/>
        <n v="40.0"/>
        <n v="22.86"/>
        <n v="20.49"/>
        <n v="25.21"/>
        <n v="14.06"/>
        <n v="90.0"/>
        <n v="19.36"/>
        <n v="110.57"/>
        <n v="553.81"/>
        <n v="119.0"/>
        <n v="48.0"/>
        <n v="47.39"/>
        <n v="38.12"/>
        <n v="5.0"/>
        <n v="169.0"/>
        <n v="414.5"/>
        <n v="595.98"/>
        <n v="135.0"/>
        <n v="36.0"/>
        <n v="627.17"/>
        <n v="152.0"/>
        <n v="94.54"/>
        <n v="19.73"/>
        <n v="8.45"/>
        <n v="15.11"/>
        <n v="614.0"/>
        <n v="42.0"/>
        <n v="596.4"/>
        <n v="476.0"/>
        <n v="82.0"/>
        <n v="16.37"/>
        <n v="196.0"/>
        <n v="50.0"/>
        <n v="78.0"/>
        <n v="405.69"/>
        <n v="29.95"/>
        <n v="20.59"/>
        <n v="136.0"/>
        <n v="27.59"/>
        <n v="177.0"/>
        <n v="125.6"/>
        <n v="55.0"/>
        <n v="85.0"/>
        <n v="602.75"/>
        <n v="620.56"/>
        <n v="606.21"/>
        <n v="12.59"/>
        <n v="231.0"/>
        <n v="23.0"/>
        <n v="28.41"/>
        <n v="22.44"/>
        <n v="6.43"/>
        <n v="460.0"/>
        <n v="664.0"/>
        <n v="72.6"/>
        <n v="11.19"/>
        <n v="44.0"/>
        <n v="31.0"/>
        <n v="22.91"/>
        <n v="8.22"/>
        <n v="552.06"/>
        <n v="223.0"/>
        <n v="219.96"/>
        <n v="45.0"/>
        <n v="53.19"/>
        <n v="434.0"/>
        <n v="130.0"/>
        <n v="101.0"/>
        <n v="615.42"/>
        <n v="53.0"/>
        <n v="109.0"/>
        <n v="26.59"/>
        <n v="106.0"/>
        <n v="43.37"/>
        <n v="22.56"/>
        <n v="60.53"/>
        <n v="22.4"/>
        <n v="24.07"/>
        <n v="28.42"/>
        <n v="16.441"/>
        <n v="14.83"/>
        <n v="122.0"/>
        <n v="44.26"/>
        <n v="187.0"/>
        <n v="371.0"/>
        <n v="9.97"/>
        <n v="9.45"/>
        <n v="19.04"/>
        <n v="573.0"/>
        <n v="41.54"/>
        <n v="402.0"/>
        <n v="8.2"/>
        <n v="56.0"/>
        <n v="385.5"/>
        <n v="598.1"/>
        <n v="173.7"/>
        <n v="602.2"/>
        <n v="8.8"/>
        <n v="8.7"/>
        <n v="200.7"/>
        <n v="155.0"/>
        <n v="13.7"/>
        <n v="170.0"/>
        <n v="91.1"/>
        <n v="583.2"/>
        <n v="134.7"/>
        <n v="198.0"/>
        <n v="25.1"/>
        <n v="40.7"/>
        <n v="118.0"/>
        <n v="59.0"/>
        <n v="91.0"/>
        <n v="185.1"/>
        <n v="147.0"/>
        <n v="32.0"/>
        <n v="79.0"/>
        <n v="166.2"/>
        <n v="25.7"/>
        <n v="6.8"/>
        <n v="18.6"/>
        <n v="42.6"/>
        <n v="20.1"/>
        <n v="206.7"/>
        <n v="578.0"/>
        <n v="10.5"/>
        <n v="9.987"/>
        <n v="176.0"/>
        <n v="22.9"/>
        <n v="28.737"/>
        <n v="15.4"/>
        <n v="595.0"/>
        <n v="31.1"/>
        <n v="81.0"/>
        <n v="292.0"/>
        <n v="64.0"/>
        <n v="204.8"/>
        <n v="27.4"/>
        <n v="108.0"/>
        <n v="25.5"/>
        <n v="7.8"/>
        <n v="83.0"/>
        <n v="156.0"/>
        <n v="122.9"/>
        <n v="28.9"/>
        <n v="40.5"/>
        <n v="280.0"/>
        <n v="120.0"/>
        <n v="350.4"/>
        <n v="38.182"/>
        <n v="150.0"/>
        <n v="60.5"/>
        <n v="30.1"/>
        <n v="224.6"/>
        <n v="115.6"/>
        <n v="201.7"/>
        <n v="39.7"/>
        <n v="206.3"/>
        <n v="525.0"/>
        <n v="27.8"/>
        <n v="16.1"/>
        <n v="39.2"/>
        <n v="94.0"/>
        <n v="105.0"/>
        <n v="13.4"/>
        <n v="188.6"/>
        <n v="65.8"/>
        <n v="228.4"/>
        <n v="187.1"/>
        <n v="16.6"/>
        <n v="17.4"/>
        <n v="8.382"/>
        <n v="113.7"/>
        <n v="174.8"/>
        <n v="40.2"/>
        <n v="71.9"/>
        <n v="4.2"/>
        <n v="54.0"/>
        <n v="85.7"/>
        <n v="62.0"/>
        <n v="24.9"/>
        <n v="32.8"/>
        <n v="125.1"/>
        <n v="225.6"/>
        <n v="123.8"/>
        <n v="131.8"/>
        <n v="51.798"/>
        <n v="60.0"/>
        <n v="36.4"/>
        <n v="103.0"/>
        <n v="50.4"/>
        <n v="45.8"/>
        <n v="42.9"/>
        <n v="225.0"/>
        <n v="61.1"/>
        <n v="183.4"/>
        <n v="43.6"/>
        <n v="128.1"/>
        <n v="47.5"/>
        <n v="13.73"/>
        <n v="60.6"/>
        <n v="70.0"/>
        <n v="73.7"/>
        <n v="138.0"/>
        <n v="164.2"/>
        <n v="87.2"/>
        <n v="56.6"/>
        <n v="90.1"/>
        <n v="67.2"/>
        <n v="114.1"/>
        <n v="144.3"/>
        <n v="151.6"/>
        <n v="110.2"/>
        <n v="61.4"/>
        <n v="164.6"/>
        <n v="55.7"/>
        <n v="23.4"/>
        <n v="34.8"/>
        <n v="179.3"/>
        <n v="123.1"/>
        <n v="176.4"/>
        <n v="58.0"/>
        <n v="167.3"/>
        <n v="105.6"/>
        <n v="198.7"/>
        <n v="22.8"/>
        <n v="19.9"/>
        <n v="57.0"/>
        <n v="100.8"/>
        <n v="69.1"/>
        <n v="226.5"/>
        <n v="49.2"/>
        <n v="18.3"/>
        <n v="587.3"/>
        <n v="26.3"/>
        <n v="200.1"/>
        <n v="49.5"/>
        <n v="164.4"/>
        <n v="21.1"/>
        <n v="31.9"/>
        <n v="19.2"/>
        <n v="40.8"/>
        <n v="11.1"/>
        <n v="141.9"/>
        <n v="63.4"/>
        <n v="159.3"/>
        <n v="19.7"/>
        <n v="28.4"/>
        <n v="24.4"/>
        <n v="59.9"/>
        <n v="12.2"/>
        <n v="119.6"/>
        <n v="18.7"/>
        <n v="127.9"/>
        <n v="45.6"/>
        <n v="12.5"/>
        <n v="139.4"/>
        <n v="14.2"/>
        <n v="20.2"/>
        <n v="11.2"/>
      </sharedItems>
    </cacheField>
    <cacheField name="latitude" numFmtId="0">
      <sharedItems containsSemiMixedTypes="0" containsString="0" containsNumber="1">
        <n v="-13.8814"/>
        <n v="12.814"/>
        <n v="-38.1911"/>
        <n v="54.3844"/>
        <n v="54.49"/>
        <n v="20.0196"/>
        <n v="-17.853"/>
        <n v="-22.9824"/>
        <n v="8.8894"/>
        <n v="-23.0622"/>
        <n v="-23.2286"/>
        <n v="-15.6002"/>
        <n v="-25.2657"/>
        <n v="-0.781"/>
        <n v="-30.0249"/>
        <n v="-22.2844"/>
        <n v="-6.0255"/>
        <n v="52.7772"/>
        <n v="-4.2924"/>
        <n v="-23.4797"/>
        <n v="36.5227"/>
        <n v="-2.851"/>
        <n v="-30.1147"/>
        <n v="-29.4748"/>
        <n v="-15.3597"/>
        <n v="-4.8138"/>
        <n v="38.0726"/>
        <n v="38.0235"/>
        <n v="37.4135"/>
        <n v="37.2012"/>
        <n v="-26.7209"/>
        <n v="2.7401"/>
        <n v="-7.0852"/>
        <n v="-14.9383"/>
        <n v="-15.3983"/>
        <n v="-9.7963"/>
        <n v="-4.9559"/>
        <n v="-20.0508"/>
        <n v="-19.2918"/>
        <n v="-25.5948"/>
        <n v="-26.0442"/>
        <n v="-25.9678"/>
        <n v="7.6712"/>
        <n v="18.33"/>
        <n v="18.3667"/>
        <n v="23.1444"/>
        <n v="23.029"/>
        <n v="-21.2077"/>
        <n v="-6.2237"/>
        <n v="29.7263"/>
        <n v="-32.6922"/>
        <n v="17.5978"/>
        <n v="-9.0618"/>
        <n v="-14.8628"/>
        <n v="-54.1325"/>
        <n v="-23.6141"/>
        <n v="11.5538"/>
        <n v="-22.5732"/>
        <n v="-22.72"/>
        <n v="23.3421"/>
        <n v="37.7015"/>
        <n v="-0.6831"/>
        <n v="-30.0528"/>
        <n v="-23.7852"/>
        <n v="-4.455"/>
        <n v="-29.535"/>
        <n v="-6.9291"/>
        <n v="52.502"/>
        <n v="52.6252"/>
        <n v="52.48"/>
        <n v="52.6563"/>
        <n v="35.1456"/>
        <n v="37.8167"/>
        <n v="-7.5924"/>
        <n v="-7.6033"/>
        <n v="-4.4898"/>
        <n v="23.5414"/>
        <n v="56.2581"/>
        <n v="-21.1704"/>
        <n v="-21.1036"/>
        <n v="12.1598"/>
        <n v="16.9502"/>
        <n v="-60.3026"/>
        <n v="-60.1023"/>
        <n v="-14.892"/>
        <n v="-58.3814"/>
        <n v="18.3521"/>
        <n v="55.2364"/>
        <n v="55.2657"/>
        <n v="-58.4157"/>
        <n v="-57.5959"/>
        <n v="6.4547"/>
        <n v="55.4742"/>
        <n v="55.3154"/>
        <n v="13.6989"/>
        <n v="7.5904"/>
        <n v="-30.2144"/>
        <n v="-16.4796"/>
        <n v="34.5861"/>
        <n v="0.1684"/>
        <n v="-17.2495"/>
        <n v="38.2296"/>
        <n v="-21.6857"/>
        <n v="-18.9204"/>
        <n v="38.4752"/>
        <n v="54.7018"/>
        <n v="-28.4792"/>
        <n v="-29.7466"/>
        <n v="-29.6131"/>
        <n v="-37.596"/>
        <n v="37.6856"/>
        <n v="-23.2787"/>
        <n v="-61.8484"/>
        <n v="5.0074"/>
        <n v="51.2407"/>
        <n v="-39.3264"/>
        <n v="37.8973"/>
        <n v="54.662"/>
        <n v="0.9604"/>
        <n v="-27.9285"/>
        <n v="-28.013"/>
        <n v="0.8696"/>
        <n v="-6.6704"/>
        <n v="-4.2791"/>
        <n v="-4.3724"/>
        <n v="12.0065"/>
        <n v="55.1079"/>
        <n v="-7.847"/>
        <n v="-5.6368"/>
        <n v="15.9163"/>
        <n v="-33.2938"/>
        <n v="28.9386"/>
        <n v="-23.2966"/>
        <n v="38.1689"/>
        <n v="-12.0662"/>
        <n v="-6.7762"/>
        <n v="34.1818"/>
        <n v="44.4646"/>
        <n v="48.9638"/>
        <n v="45.6161"/>
        <n v="19.4193"/>
        <n v="38.4312"/>
        <n v="6.6969"/>
        <n v="1.6213"/>
        <n v="-21.9449"/>
        <n v="-18.5747"/>
        <n v="6.9098"/>
        <n v="6.7567"/>
        <n v="-35.4758"/>
        <n v="-3.4528"/>
        <n v="-20.3641"/>
        <n v="-60.2152"/>
        <n v="-7.2822"/>
        <n v="-34.2364"/>
        <n v="-16.1985"/>
        <n v="-0.5858"/>
        <n v="-18.2242"/>
        <n v="0.5126"/>
        <n v="35.7695"/>
        <n v="-6.4078"/>
        <n v="-30.6441"/>
        <n v="13.1994"/>
        <n v="-5.8119"/>
        <n v="-4.051"/>
        <n v="-6.9746"/>
        <n v="-1.8146"/>
        <n v="-58.6262"/>
        <n v="-14.7131"/>
        <n v="-2.1862"/>
        <n v="14.6802"/>
        <n v="-43.1219"/>
        <n v="-30.0404"/>
        <n v="-13.336"/>
        <n v="2.258"/>
        <n v="-8.144"/>
        <n v="5.8983"/>
        <n v="55.0999"/>
        <n v="-58.5446"/>
        <n v="-22.0629"/>
        <n v="-21.9496"/>
        <n v="61.3464"/>
        <n v="-17.8735"/>
        <n v="71.6312"/>
        <n v="37.5203"/>
        <n v="49.297"/>
        <n v="49.3346"/>
        <n v="49.2586"/>
        <n v="-21.7427"/>
        <n v="52.8549"/>
        <n v="49.2902"/>
        <n v="-5.7012"/>
        <n v="-18.3604"/>
        <n v="-0.2559"/>
        <n v="-25.415"/>
        <n v="-31.7447"/>
        <n v="-10.0207"/>
        <n v="-18.4743"/>
        <n v="42.6861"/>
        <n v="-22.0295"/>
        <n v="-11.0355"/>
        <n v="-16.0315"/>
        <n v="10.7731"/>
        <n v="-8.319"/>
        <n v="-18.1125"/>
        <n v="-7.3718"/>
        <n v="51.4234"/>
        <n v="-8.2581"/>
        <n v="19.3182"/>
        <n v="-20.6588"/>
        <n v="-5.5321"/>
        <n v="-5.5024"/>
        <n v="-4.3762"/>
        <n v="-6.3043"/>
        <n v="-6.0699"/>
        <n v="16.3855"/>
        <n v="56.0039"/>
        <n v="-15.7675"/>
        <n v="17.4825"/>
        <n v="-7.4921"/>
        <n v="-54.2189"/>
        <n v="-21.3246"/>
        <n v="-21.5027"/>
        <n v="9.5147"/>
        <n v="34.9109"/>
        <n v="-4.2433"/>
        <n v="-15.3197"/>
        <n v="-21.6484"/>
        <n v="-21.6971"/>
        <n v="-7.2168"/>
        <n v="52.3909"/>
        <n v="18.5499"/>
        <n v="15.0222"/>
        <n v="33.1926"/>
        <n v="36.9293"/>
        <n v="54.4434"/>
        <n v="-49.4837"/>
        <n v="11.1269"/>
        <n v="13.7174"/>
        <n v="14.9091"/>
        <n v="54.0312"/>
        <n v="-1.2923"/>
        <n v="-56.414"/>
        <n v="-14.5884"/>
        <n v="5.5043"/>
        <n v="-33.0375"/>
        <n v="-22.6784"/>
        <n v="56.9401"/>
        <n v="-23.2593"/>
        <n v="-19.2814"/>
        <n v="9.9071"/>
        <n v="-6.2464"/>
        <n v="-10.3506"/>
        <n v="4.4782"/>
        <n v="-19.3733"/>
        <n v="-43.4064"/>
        <n v="-7.5082"/>
        <n v="-4.5049"/>
        <n v="-10.749"/>
        <n v="-10.8416"/>
        <n v="-10.6812"/>
        <n v="40.4535"/>
        <n v="5.2834"/>
        <n v="39.2732"/>
        <n v="11.9097"/>
        <n v="37.3931"/>
        <n v="-42.6058"/>
        <n v="-42.3205"/>
        <n v="-42.7373"/>
        <n v="42.8621"/>
        <n v="-4.8626"/>
        <n v="-6.0033"/>
        <n v="-19.7819"/>
        <n v="-37.3586"/>
        <n v="-3.6849"/>
        <n v="20.9228"/>
        <n v="-22.4765"/>
        <n v="18.5429"/>
        <n v="-2.0967"/>
        <n v="-56.2409"/>
        <n v="-21.9724"/>
        <n v="0.4947"/>
        <n v="0.4261"/>
        <n v="-16.0429"/>
        <n v="0.3819"/>
        <n v="32.7906"/>
        <n v="23.0944"/>
        <n v="36.4725"/>
        <n v="-13.9805"/>
        <n v="-14.0683"/>
        <n v="-14.3235"/>
        <n v="-4.9521"/>
        <n v="53.9776"/>
        <n v="59.6204"/>
        <n v="18.8239"/>
        <n v="41.9723"/>
        <n v="3.8965"/>
        <n v="24.8036"/>
        <n v="15.8015"/>
        <n v="-4.1064"/>
        <n v="38.2107"/>
        <n v="-9.1825"/>
        <n v="-10.0598"/>
        <n v="-10.5372"/>
        <n v="-8.8994"/>
        <n v="38.67"/>
        <n v="31.0009"/>
        <n v="-29.5097"/>
        <n v="-29.5067"/>
        <n v="6.8431"/>
        <n v="-30.8796"/>
        <n v="-8.3381"/>
        <n v="36.5244"/>
        <n v="-14.8595"/>
        <n v="-0.6212"/>
        <n v="-31.7275"/>
        <n v="-31.5173"/>
        <n v="-31.4244"/>
        <n v="-31.5622"/>
        <n v="-31.5729"/>
        <n v="24.913"/>
        <n v="-9.3293"/>
        <n v="-9.3438"/>
        <n v="-2.6286"/>
        <n v="52.376"/>
        <n v="-10.4012"/>
        <n v="13.8672"/>
        <n v="-9.307"/>
        <n v="27.7375"/>
        <n v="27.8386"/>
        <n v="56.594"/>
        <n v="-11.1093"/>
        <n v="-11.0559"/>
        <n v="-10.8759"/>
        <n v="38.9056"/>
        <n v="27.8087"/>
        <n v="-7.2175"/>
        <n v="-5.4624"/>
        <n v="-5.2005"/>
        <n v="-5.375"/>
        <n v="27.7711"/>
        <n v="28.2244"/>
        <n v="28.2305"/>
        <n v="-15.8815"/>
        <n v="-15.4994"/>
        <n v="-4.7294"/>
        <n v="-7.2968"/>
        <n v="39.8558"/>
        <n v="-23.1125"/>
        <n v="-17.0309"/>
        <n v="5.9045"/>
        <n v="7.9401"/>
        <n v="-6.5108"/>
        <n v="6.1572"/>
        <n v="1.9604"/>
        <n v="2.2999"/>
        <n v="-37.6478"/>
        <n v="1.8929"/>
        <n v="-5.9873"/>
        <n v="-19.6903"/>
        <n v="12.5262"/>
        <n v="13.7641"/>
        <n v="-14.598"/>
        <n v="0.8295"/>
        <n v="-19.8015"/>
        <n v="37.0052"/>
        <n v="14.724"/>
        <n v="-6.2304"/>
        <n v="-14.9831"/>
        <n v="-55.4703"/>
        <n v="51.8486"/>
        <n v="-29.9414"/>
        <n v="-29.9379"/>
        <n v="-29.9772"/>
        <n v="40.2893"/>
        <n v="7.2096"/>
        <n v="-21.4542"/>
        <n v="49.6388"/>
        <n v="-6.7547"/>
        <n v="-6.6558"/>
        <n v="17.397"/>
        <n v="-11.1284"/>
        <n v="-11.4633"/>
        <n v="-11.2701"/>
        <n v="11.642"/>
        <n v="-6.7878"/>
        <n v="-6.5858"/>
        <n v="-20.5709"/>
        <n v="-20.3113"/>
        <n v="-19.8927"/>
        <n v="-19.6097"/>
        <n v="-19.9807"/>
        <n v="40.8287"/>
        <n v="27.4312"/>
        <n v="14.6682"/>
        <n v="35.9053"/>
        <n v="-15.0691"/>
        <n v="-32.9076"/>
        <n v="-13.8633"/>
        <n v="-17.1171"/>
        <n v="-60.2738"/>
        <n v="-60.2627"/>
        <n v="-30.2921"/>
        <n v="37.1557"/>
        <n v="26.0913"/>
        <n v="-6.4456"/>
        <n v="9.8796"/>
        <n v="35.5142"/>
        <n v="53.1995"/>
        <n v="-30.9255"/>
        <n v="27.1825"/>
        <n v="-15.8385"/>
        <n v="26.951"/>
        <n v="51.5573"/>
        <n v="29.9377"/>
        <n v="-7.44"/>
        <n v="51.537"/>
        <n v="-41.734"/>
        <n v="5.7732"/>
        <n v="-41.704"/>
        <n v="-60.857"/>
        <n v="-6.029"/>
        <n v="-3.917"/>
        <n v="10.701"/>
        <n v="11.763"/>
        <n v="-10.004"/>
        <n v="52.235"/>
        <n v="54.892"/>
        <n v="-23.009"/>
        <n v="18.728"/>
        <n v="-3.898"/>
        <n v="30.308"/>
        <n v="46.221"/>
        <n v="-3.214"/>
        <n v="28.033"/>
        <n v="-6.475"/>
        <n v="-3.517"/>
        <n v="-6.598"/>
        <n v="50.958"/>
        <n v="50.954"/>
        <n v="67.631"/>
        <n v="-10.994"/>
        <n v="1.135"/>
        <n v="-10.928"/>
        <n v="-10.838"/>
        <n v="-10.997"/>
        <n v="-10.499"/>
        <n v="-11.183"/>
        <n v="-10.799"/>
        <n v="42.77"/>
        <n v="-28.094"/>
        <n v="55.228"/>
        <n v="-14.344"/>
        <n v="-6.533"/>
        <n v="37.89"/>
        <n v="14.129"/>
        <n v="23.005"/>
        <n v="13.988"/>
        <n v="52.788"/>
        <n v="10.086"/>
        <n v="-4.892"/>
        <n v="1.929"/>
        <n v="10.085"/>
        <n v="10.811"/>
        <n v="12.139"/>
        <n v="2.19"/>
        <n v="49.8"/>
        <n v="-4.651"/>
        <n v="-18.685"/>
        <n v="-1.617"/>
        <n v="-5.462"/>
        <n v="-32.625"/>
        <n v="28.696"/>
        <n v="18.229"/>
        <n v="0.802"/>
        <n v="2.327"/>
        <n v="-35.2"/>
        <n v="-6.242"/>
        <n v="16.493"/>
        <n v="51.708"/>
        <n v="9.999"/>
        <n v="-17.827"/>
        <n v="2.433"/>
        <n v="51.842"/>
        <n v="-7.551"/>
        <n v="17.986"/>
        <n v="-14.438"/>
        <n v="38.721"/>
        <n v="-6.57"/>
        <n v="27.73"/>
        <n v="40.273"/>
        <n v="2.965"/>
        <n v="-20.671"/>
        <n v="-7.641"/>
        <n v="-18.311"/>
        <n v="-18.308"/>
        <n v="-18.365"/>
        <n v="-3.518"/>
        <n v="-29.539"/>
        <n v="39.955"/>
        <n v="-20.244"/>
        <n v="-10.375"/>
        <n v="37.001"/>
        <n v="38.276"/>
        <n v="17.208"/>
        <n v="20.687"/>
        <n v="39.241"/>
        <n v="36.166"/>
        <n v="38.058"/>
        <n v="36.281"/>
        <n v="38.297"/>
        <n v="38.435"/>
        <n v="-35.38"/>
        <n v="-36.422"/>
        <n v="28.777"/>
        <n v="-20.628"/>
        <n v="-38.355"/>
        <n v="-19.702"/>
        <n v="28.412"/>
        <n v="-6.001"/>
        <n v="-3.487"/>
        <n v="24.696"/>
        <n v="-4.963"/>
        <n v="-43.522"/>
        <n v="-1.266"/>
        <n v="-17.541"/>
        <n v="-5.746"/>
        <n v="-5.486"/>
        <n v="6.497"/>
        <n v="-5.931"/>
        <n v="-5.966"/>
        <n v="-38.067"/>
        <n v="-10.627"/>
        <n v="-2.329"/>
        <n v="-2.174"/>
        <n v="7.881"/>
        <n v="-13.698"/>
        <n v="3.748"/>
        <n v="33.165"/>
        <n v="-10.878"/>
        <n v="2.383"/>
        <n v="32.2862"/>
        <n v="13.667"/>
        <n v="-36.217"/>
        <n v="37.745"/>
        <n v="-34.326"/>
        <n v="-34.29"/>
        <n v="-3.762"/>
        <n v="-36.665"/>
        <n v="-13.571"/>
        <n v="-37.773"/>
        <n v="-36.122"/>
        <n v="25.93"/>
        <n v="18.443"/>
        <n v="40.652"/>
        <n v="-9.019"/>
        <n v="-8.783"/>
        <n v="-8.726"/>
        <n v="-19.394"/>
        <n v="-17.239"/>
        <n v="-8.207"/>
        <n v="29.218"/>
        <n v="-6.133"/>
        <n v="-13.298"/>
        <n v="-13.093"/>
        <n v="-12.517"/>
        <n v="-13.006"/>
        <n v="-2.482"/>
        <n v="-0.72"/>
        <n v="-15.489"/>
        <n v="-7.782"/>
        <n v="-1.479"/>
        <n v="32.821"/>
        <n v="14.099"/>
        <n v="33.167"/>
        <n v="29.039"/>
        <n v="-45.762"/>
        <n v="-5.157"/>
        <n v="16.731"/>
        <n v="-23.043"/>
        <n v="3.886"/>
        <n v="-0.691"/>
        <n v="36.419"/>
        <n v="-0.414"/>
        <n v="1.271"/>
        <n v="14.423"/>
        <n v="39.533"/>
        <n v="41.892"/>
        <n v="1.885"/>
        <n v="-13.501"/>
        <n v="30.901"/>
        <n v="39.802"/>
        <n v="37.552"/>
        <n v="37.55"/>
        <n v="11.005"/>
        <n v="39.03"/>
        <n v="31.002"/>
        <n v="36.164"/>
        <n v="-20.071"/>
        <n v="35.49"/>
        <n v="13.351"/>
        <n v="-2.245"/>
        <n v="-2.332"/>
        <n v="-2.486"/>
        <n v="-2.405"/>
        <n v="2.768"/>
        <n v="36.345"/>
        <n v="36.501"/>
        <n v="16.357"/>
        <n v="-39.011"/>
        <n v="-22.954"/>
        <n v="14.944"/>
        <n v="-10.95"/>
        <n v="-8.224"/>
        <n v="-8.292"/>
        <n v="-5.757"/>
        <n v="-2.312"/>
        <n v="-22.925"/>
        <n v="-22.247"/>
        <n v="-3.899"/>
        <n v="-44.796"/>
        <n v="-4.99"/>
        <n v="-1.999"/>
        <n v="-2.13"/>
        <n v="-1.689"/>
        <n v="-2.625"/>
        <n v="-2.52"/>
        <n v="-4.438"/>
        <n v="2.966"/>
        <n v="-11.61"/>
        <n v="-9.834"/>
        <n v="-13.386"/>
        <n v="-5.859"/>
        <n v="-15.595"/>
        <n v="2.872"/>
        <n v="36.808"/>
        <n v="37.535"/>
        <n v="13.554"/>
        <n v="-7.306"/>
        <n v="-7.169"/>
        <n v="-8.466"/>
        <n v="37.336"/>
        <n v="-20.617"/>
        <n v="-1.034"/>
        <n v="1.065"/>
        <n v="46.243"/>
        <n v="21.974"/>
        <n v="21.799"/>
        <n v="46.592"/>
        <n v="-6.482"/>
        <n v="-13.457"/>
        <n v="-5.881"/>
        <n v="19.877"/>
        <n v="-16.592"/>
        <n v="-6.759"/>
        <n v="51.148"/>
        <n v="-15.798"/>
        <n v="-9.284"/>
        <n v="-5.724"/>
        <n v="60.772"/>
        <n v="0.093"/>
        <n v="-20.187"/>
        <n v="-19.99"/>
        <n v="-27.211"/>
        <n v="-27.017"/>
        <n v="60.491"/>
        <n v="60.949"/>
        <n v="-16.527"/>
        <n v="-3.595"/>
        <n v="-21.324"/>
        <n v="36.311"/>
        <n v="28.164"/>
        <n v="36.357"/>
        <n v="-6.224"/>
        <n v="38.089"/>
        <n v="2.164"/>
        <n v="-22.361"/>
        <n v="34.539"/>
        <n v="-5.437"/>
        <n v="-5.678"/>
        <n v="-4.539"/>
        <n v="7.92"/>
        <n v="1.819"/>
        <n v="11.245"/>
        <n v="41.292"/>
        <n v="-19.987"/>
        <n v="1.989"/>
        <n v="0.587"/>
        <n v="-1.714"/>
        <n v="-1.644"/>
        <n v="2.085"/>
        <n v="33.807"/>
        <n v="-6.527"/>
        <n v="2.908"/>
        <n v="-5.562"/>
        <n v="4.756"/>
        <n v="-14.252"/>
        <n v="5.293"/>
        <n v="34.064"/>
        <n v="8.879"/>
        <n v="6.91"/>
        <n v="3.295"/>
        <n v="-49.312"/>
        <n v="18.958"/>
        <n v="42.9"/>
        <n v="43.006"/>
        <n v="-3.609"/>
        <n v="-46.676"/>
        <n v="4.695"/>
        <n v="-8.152"/>
        <n v="-11.128"/>
        <n v="49.277"/>
        <n v="37.226"/>
        <n v="24.53"/>
        <n v="11.422"/>
        <n v="13.925"/>
        <n v="-10.951"/>
        <n v="33.205"/>
        <n v="33.184"/>
        <n v="33.07"/>
        <n v="-35.173"/>
        <n v="-0.443"/>
        <n v="55.682"/>
        <n v="-37.695"/>
        <n v="-9.362"/>
        <n v="-13.174"/>
        <n v="36.512"/>
        <n v="-3.665"/>
        <n v="-4.003"/>
        <n v="-3.615"/>
        <n v="-3.12"/>
        <n v="-22.015"/>
        <n v="28.995"/>
        <n v="8.416"/>
        <n v="35.7005"/>
        <n v="23.039"/>
        <n v="-5.581"/>
        <n v="12.025"/>
        <n v="-19.262"/>
        <n v="37.812"/>
        <n v="42.648"/>
        <n v="50.211"/>
        <n v="42.45"/>
        <n v="50.038"/>
        <n v="41.774"/>
        <n v="41.815"/>
        <n v="19.917"/>
        <n v="-45.104"/>
        <n v="-60.532"/>
        <n v="-3.828"/>
        <n v="-30.608"/>
        <n v="55.492"/>
        <n v="-5.095"/>
        <n v="2.354"/>
        <n v="38.849"/>
        <n v="36.964"/>
        <n v="-8.294"/>
        <n v="-4.694"/>
        <n v="18.77"/>
        <n v="13.626"/>
        <n v="-10.491"/>
        <n v="-5.311"/>
        <n v="-4.786"/>
        <n v="63.5141"/>
        <n v="2.824"/>
        <n v="63.5144"/>
        <n v="-1.511"/>
        <n v="-1.757"/>
        <n v="13.036"/>
        <n v="-3.302"/>
        <n v="14.101"/>
        <n v="7.929"/>
        <n v="35.626"/>
        <n v="-30.805"/>
        <n v="-12.592"/>
        <n v="13.088"/>
        <n v="-27.535"/>
        <n v="16.985"/>
        <n v="24.279"/>
        <n v="-21.663"/>
        <n v="6.033"/>
        <n v="36.502"/>
        <n v="-5.345"/>
        <n v="38.573"/>
        <n v="-3.212"/>
        <n v="-17.664"/>
        <n v="-17.6"/>
        <n v="-9.613"/>
        <n v="23.954"/>
        <n v="39.402"/>
        <n v="35.946"/>
        <n v="-5.912"/>
        <n v="-4.102"/>
        <n v="12.686"/>
        <n v="-0.578"/>
        <n v="58.775"/>
        <n v="39.059"/>
        <n v="-17.543"/>
        <n v="-16.086"/>
        <n v="-17.745"/>
        <n v="-16.265"/>
        <n v="-7.41"/>
        <n v="34.083"/>
        <n v="-4.029"/>
        <n v="47.149"/>
        <n v="-4.68"/>
        <n v="13.671"/>
        <n v="23.419"/>
        <n v="-4.022"/>
        <n v="13.049"/>
        <n v="56.7744"/>
        <n v="-14.928"/>
        <n v="6.631"/>
        <n v="6.898"/>
        <n v="-4.218"/>
        <n v="39.566"/>
        <n v="40.167"/>
        <n v="40.245"/>
        <n v="-5.228"/>
        <n v="-5.097"/>
        <n v="-5.496"/>
        <n v="-4.827"/>
        <n v="-5.233"/>
        <n v="-3.98"/>
        <n v="7.042"/>
        <n v="-4.766"/>
        <n v="-6.549"/>
        <n v="35.456"/>
        <n v="-15.421"/>
        <n v="-7.977"/>
        <n v="-4.11"/>
        <n v="18.198"/>
        <n v="48.786"/>
        <n v="-12.037"/>
        <n v="33.901"/>
        <n v="-7.747"/>
        <n v="57.3546"/>
        <n v="63.98"/>
        <n v="-13.802"/>
        <n v="63.966"/>
        <n v="-4.612"/>
        <n v="-4.646"/>
        <n v="-4.721"/>
        <n v="-23.548"/>
        <n v="-1.105"/>
        <n v="-6.817"/>
        <n v="-5.844"/>
        <n v="43.046"/>
        <n v="-16.925"/>
        <n v="-10.86"/>
        <n v="-6.845"/>
        <n v="15.766"/>
        <n v="57.3424"/>
        <n v="-18.901"/>
        <n v="-16.423"/>
        <n v="-6.351"/>
        <n v="-5.978"/>
        <n v="40.758"/>
        <n v="36.522"/>
        <n v="34.6033"/>
        <n v="16.059"/>
        <n v="23.738"/>
        <n v="23.772"/>
        <n v="-16.117"/>
        <n v="9.044"/>
        <n v="40.748"/>
        <n v="15.782"/>
        <n v="18.386"/>
        <n v="-5.165"/>
        <n v="-4.751"/>
        <n v="-5.159"/>
        <n v="-21.422"/>
        <n v="-5.591"/>
        <n v="-16.66"/>
        <n v="30.512"/>
        <n v="51.587"/>
        <n v="52.056"/>
        <n v="5.397"/>
        <n v="28.343"/>
        <n v="-12.853"/>
        <n v="52.886"/>
        <n v="-4.596"/>
        <n v="-21.632"/>
        <n v="-2.071"/>
        <n v="-6.92"/>
        <n v="-6.954"/>
        <n v="-8.194"/>
        <n v="-29.45"/>
        <n v="5.41"/>
        <n v="-0.593"/>
        <n v="-2.693"/>
        <n v="-2.961"/>
        <n v="-11.04"/>
        <n v="37.106"/>
        <n v="-17.731"/>
        <n v="0.207"/>
        <n v="-5.147"/>
        <n v="22.306"/>
        <n v="-8.148"/>
        <n v="-0.544"/>
        <n v="30.154"/>
        <n v="-23.913"/>
        <n v="-15.848"/>
        <n v="-30.985"/>
        <n v="14.374"/>
        <n v="-5.495"/>
        <n v="54.841"/>
        <n v="1.241"/>
        <n v="37.57"/>
        <n v="-15.145"/>
        <n v="13.849"/>
        <n v="35.069"/>
        <n v="-4.368"/>
        <n v="-30.933"/>
        <n v="-22.101"/>
        <n v="9.79"/>
        <n v="3.849"/>
        <n v="-3.562"/>
        <n v="16.333"/>
        <n v="10.598"/>
        <n v="-30.058"/>
        <n v="18.684"/>
        <n v="-20.438"/>
        <n v="36.411"/>
        <n v="33.825"/>
        <n v="13.986"/>
        <n v="11.112"/>
        <n v="-12.584"/>
        <n v="-6.485"/>
        <n v="7.742"/>
        <n v="29.976"/>
        <n v="37.661"/>
        <n v="18.219"/>
        <n v="43.207"/>
        <n v="31.789"/>
        <n v="35.345"/>
        <n v="-14.993"/>
        <n v="31.885"/>
        <n v="30.568"/>
        <n v="-7.133"/>
        <n v="34.556"/>
        <n v="9.454"/>
        <n v="9.463"/>
        <n v="21.898"/>
        <n v="-10.769"/>
        <n v="1.0"/>
        <n v="1.016"/>
        <n v="17.6"/>
        <n v="-7.137"/>
        <n v="12.614"/>
        <n v="51.478"/>
        <n v="51.564"/>
        <n v="-13.481"/>
        <n v="-6.518"/>
        <n v="-23.944"/>
        <n v="-14.705"/>
        <n v="11.905"/>
        <n v="11.657"/>
        <n v="15.978"/>
        <n v="-9.593"/>
        <n v="-0.917"/>
        <n v="-0.567"/>
        <n v="-0.891"/>
        <n v="37.353"/>
        <n v="45.324"/>
        <n v="27.291"/>
        <n v="53.826"/>
        <n v="0.729"/>
        <n v="-6.903"/>
        <n v="-3.703"/>
        <n v="44.663"/>
        <n v="28.826"/>
        <n v="-28.906"/>
        <n v="16.84"/>
        <n v="28.094"/>
        <n v="27.929"/>
        <n v="19.055"/>
        <n v="-2.045"/>
        <n v="-2.778"/>
        <n v="-2.75"/>
        <n v="-10.68"/>
        <n v="16.779"/>
        <n v="26.092"/>
        <n v="5.139"/>
        <n v="-5.771"/>
        <n v="-5.429"/>
        <n v="-5.799"/>
        <n v="-4.836"/>
        <n v="-23.34"/>
        <n v="21.966"/>
        <n v="-19.544"/>
        <n v="38.401"/>
        <n v="52.629"/>
        <n v="-23.008"/>
        <n v="-8.378"/>
        <n v="40.149"/>
        <n v="12.626"/>
      </sharedItems>
    </cacheField>
    <cacheField name="longitude" numFmtId="0">
      <sharedItems containsSemiMixedTypes="0" containsString="0" containsNumber="1">
        <n v="167.158"/>
        <n v="-88.1265"/>
        <n v="-70.3731"/>
        <n v="-160.699"/>
        <n v="-160.796"/>
        <n v="-61.0955"/>
        <n v="-174.937"/>
        <n v="-177.208"/>
        <n v="-77.1231"/>
        <n v="170.456"/>
        <n v="170.694"/>
        <n v="-174.608"/>
        <n v="178.424"/>
        <n v="98.5339"/>
        <n v="-177.897"/>
        <n v="179.391"/>
        <n v="112.033"/>
        <n v="158.484"/>
        <n v="143.155"/>
        <n v="-66.5108"/>
        <n v="70.9787"/>
        <n v="-79.8001"/>
        <n v="-176.112"/>
        <n v="-178.787"/>
        <n v="166.385"/>
        <n v="149.487"/>
        <n v="73.2077"/>
        <n v="37.203"/>
        <n v="36.8306"/>
        <n v="36.9997"/>
        <n v="-63.0394"/>
        <n v="127.051"/>
        <n v="130.039"/>
        <n v="166.878"/>
        <n v="-172.968"/>
        <n v="159.596"/>
        <n v="100.738"/>
        <n v="-178.346"/>
        <n v="-172.129"/>
        <n v="178.278"/>
        <n v="178.381"/>
        <n v="178.363"/>
        <n v="-82.3396"/>
        <n v="-102.913"/>
        <n v="-103.252"/>
        <n v="121.307"/>
        <n v="121.348"/>
        <n v="170.239"/>
        <n v="146.471"/>
        <n v="102.279"/>
        <n v="-178.959"/>
        <n v="120.809"/>
        <n v="-71.1647"/>
        <n v="-70.3081"/>
        <n v="159.027"/>
        <n v="-66.7236"/>
        <n v="-86.9919"/>
        <n v="170.349"/>
        <n v="170.277"/>
        <n v="121.636"/>
        <n v="141.587"/>
        <n v="98.6034"/>
        <n v="-177.74"/>
        <n v="-179.968"/>
        <n v="-76.9395"/>
        <n v="-176.729"/>
        <n v="105.251"/>
        <n v="-168.08"/>
        <n v="-168.15"/>
        <n v="-167.736"/>
        <n v="-167.917"/>
        <n v="31.9095"/>
        <n v="101.299"/>
        <n v="127.581"/>
        <n v="122.2"/>
        <n v="-76.8461"/>
        <n v="126.48"/>
        <n v="-156.492"/>
        <n v="174.54"/>
        <n v="174.895"/>
        <n v="-87.8542"/>
        <n v="-99.7877"/>
        <n v="-24.9992"/>
        <n v="-24.4608"/>
        <n v="167.085"/>
        <n v="-23.3318"/>
        <n v="-73.4804"/>
        <n v="-157.707"/>
        <n v="-157.68"/>
        <n v="-25.3206"/>
        <n v="-25.1874"/>
        <n v="126.742"/>
        <n v="-157.917"/>
        <n v="-157.829"/>
        <n v="120.713"/>
        <n v="-82.8813"/>
        <n v="-177.773"/>
        <n v="-177.356"/>
        <n v="98.2551"/>
        <n v="96.6475"/>
        <n v="66.3745"/>
        <n v="141.665"/>
        <n v="-177.064"/>
        <n v="-176.235"/>
        <n v="141.607"/>
        <n v="163.208"/>
        <n v="-176.619"/>
        <n v="-177.224"/>
        <n v="-177.842"/>
        <n v="179.544"/>
        <n v="141.992"/>
        <n v="171.489"/>
        <n v="-55.559"/>
        <n v="127.517"/>
        <n v="100.443"/>
        <n v="-74.9067"/>
        <n v="26.7953"/>
        <n v="-159.675"/>
        <n v="-26.8332"/>
        <n v="-71.3937"/>
        <n v="-71.1958"/>
        <n v="-29.7046"/>
        <n v="123.493"/>
        <n v="101.215"/>
        <n v="101.095"/>
        <n v="124.13"/>
        <n v="-158.477"/>
        <n v="147.755"/>
        <n v="110.678"/>
        <n v="-95.9533"/>
        <n v="-177.838"/>
        <n v="128.262"/>
        <n v="-68.4204"/>
        <n v="-117.85"/>
        <n v="166.648"/>
        <n v="129.785"/>
        <n v="25.7101"/>
        <n v="-115.118"/>
        <n v="157.695"/>
        <n v="148.959"/>
        <n v="-78.756"/>
        <n v="39.0609"/>
        <n v="125.174"/>
        <n v="126.416"/>
        <n v="-179.511"/>
        <n v="-175.272"/>
        <n v="125.178"/>
        <n v="125.008"/>
        <n v="-73.163"/>
        <n v="128.37"/>
        <n v="-178.57"/>
        <n v="-26.5801"/>
        <n v="104.791"/>
        <n v="-72.3102"/>
        <n v="167.998"/>
        <n v="128.034"/>
        <n v="120.358"/>
        <n v="126.189"/>
        <n v="-117.599"/>
        <n v="129.169"/>
        <n v="-178.1"/>
        <n v="-89.3056"/>
        <n v="-75.2697"/>
        <n v="152.597"/>
        <n v="146.449"/>
        <n v="122.58"/>
        <n v="-25.304"/>
        <n v="-70.1546"/>
        <n v="-77.0505"/>
        <n v="-92.4527"/>
        <n v="42.3568"/>
        <n v="-71.3815"/>
        <n v="166.875"/>
        <n v="126.758"/>
        <n v="-71.587"/>
        <n v="126.921"/>
        <n v="164.699"/>
        <n v="-26.3856"/>
        <n v="169.733"/>
        <n v="169.427"/>
        <n v="-149.955"/>
        <n v="-178.927"/>
        <n v="-11.2431"/>
        <n v="20.5565"/>
        <n v="-129.724"/>
        <n v="-129.289"/>
        <n v="-129.412"/>
        <n v="169.522"/>
        <n v="153.243"/>
        <n v="156.297"/>
        <n v="151.205"/>
        <n v="-178.063"/>
        <n v="119.846"/>
        <n v="178.199"/>
        <n v="-179.373"/>
        <n v="161.503"/>
        <n v="179.35"/>
        <n v="141.929"/>
        <n v="170.126"/>
        <n v="-70.8284"/>
        <n v="168.143"/>
        <n v="-62.9019"/>
        <n v="116.627"/>
        <n v="-178.153"/>
        <n v="119.802"/>
        <n v="-178.026"/>
        <n v="116.438"/>
        <n v="-155.0"/>
        <n v="-63.0058"/>
        <n v="151.5"/>
        <n v="151.402"/>
        <n v="153.2"/>
        <n v="142.612"/>
        <n v="142.754"/>
        <n v="-97.9787"/>
        <n v="-149.166"/>
        <n v="-74.7092"/>
        <n v="-83.52"/>
        <n v="108.174"/>
        <n v="2.1628"/>
        <n v="168.671"/>
        <n v="168.598"/>
        <n v="-84.4865"/>
        <n v="45.9592"/>
        <n v="143.485"/>
        <n v="-173.168"/>
        <n v="168.859"/>
        <n v="169.148"/>
        <n v="123.074"/>
        <n v="176.769"/>
        <n v="-98.4887"/>
        <n v="-93.8993"/>
        <n v="103.855"/>
        <n v="27.4139"/>
        <n v="168.857"/>
        <n v="164.016"/>
        <n v="124.629"/>
        <n v="-90.9718"/>
        <n v="-92.0092"/>
        <n v="170.92"/>
        <n v="120.431"/>
        <n v="-25.7432"/>
        <n v="167.377"/>
        <n v="125.066"/>
        <n v="-72.0617"/>
        <n v="25.1558"/>
        <n v="162.786"/>
        <n v="-178.804"/>
        <n v="-63.9047"/>
        <n v="125.452"/>
        <n v="155.172"/>
        <n v="161.335"/>
        <n v="122.617"/>
        <n v="176.052"/>
        <n v="-73.9413"/>
        <n v="127.921"/>
        <n v="153.522"/>
        <n v="161.132"/>
        <n v="161.314"/>
        <n v="161.327"/>
        <n v="-126.194"/>
        <n v="96.1678"/>
        <n v="73.9776"/>
        <n v="-88.8968"/>
        <n v="141.387"/>
        <n v="173.254"/>
        <n v="173.669"/>
        <n v="173.054"/>
        <n v="13.0961"/>
        <n v="108.163"/>
        <n v="148.887"/>
        <n v="-178.244"/>
        <n v="179.146"/>
        <n v="152.792"/>
        <n v="94.569"/>
        <n v="173.117"/>
        <n v="145.507"/>
        <n v="100.665"/>
        <n v="-26.9353"/>
        <n v="-178.204"/>
        <n v="-79.616"/>
        <n v="-79.7899"/>
        <n v="167.379"/>
        <n v="-79.9218"/>
        <n v="130.754"/>
        <n v="94.8654"/>
        <n v="71.1311"/>
        <n v="166.594"/>
        <n v="166.624"/>
        <n v="166.855"/>
        <n v="94.3299"/>
        <n v="158.546"/>
        <n v="-153.339"/>
        <n v="-106.934"/>
        <n v="142.781"/>
        <n v="126.862"/>
        <n v="93.6505"/>
        <n v="-93.633"/>
        <n v="129.508"/>
        <n v="72.7797"/>
        <n v="-71.2574"/>
        <n v="-71.0184"/>
        <n v="-70.9437"/>
        <n v="158.422"/>
        <n v="20.6"/>
        <n v="128.873"/>
        <n v="-72.0585"/>
        <n v="-72.0068"/>
        <n v="94.648"/>
        <n v="-71.4519"/>
        <n v="124.875"/>
        <n v="70.3676"/>
        <n v="167.303"/>
        <n v="131.262"/>
        <n v="-71.3792"/>
        <n v="-71.804"/>
        <n v="-71.6876"/>
        <n v="-71.4262"/>
        <n v="-71.6744"/>
        <n v="-109.623"/>
        <n v="157.877"/>
        <n v="158.053"/>
        <n v="138.528"/>
        <n v="-169.446"/>
        <n v="165.141"/>
        <n v="-58.5479"/>
        <n v="158.403"/>
        <n v="139.725"/>
        <n v="140.493"/>
        <n v="-156.43"/>
        <n v="163.215"/>
        <n v="163.696"/>
        <n v="164.169"/>
        <n v="142.032"/>
        <n v="86.0655"/>
        <n v="154.557"/>
        <n v="151.875"/>
        <n v="151.777"/>
        <n v="151.771"/>
        <n v="86.0173"/>
        <n v="84.8216"/>
        <n v="84.7314"/>
        <n v="-178.6"/>
        <n v="-173.029"/>
        <n v="152.562"/>
        <n v="122.535"/>
        <n v="142.881"/>
        <n v="-66.688"/>
        <n v="168.52"/>
        <n v="-82.6576"/>
        <n v="-82.6865"/>
        <n v="154.46"/>
        <n v="123.126"/>
        <n v="126.575"/>
        <n v="127.056"/>
        <n v="179.662"/>
        <n v="126.522"/>
        <n v="148.232"/>
        <n v="-177.759"/>
        <n v="-88.1225"/>
        <n v="144.429"/>
        <n v="-73.5714"/>
        <n v="146.169"/>
        <n v="-178.4"/>
        <n v="142.452"/>
        <n v="-92.4614"/>
        <n v="152.807"/>
        <n v="-175.51"/>
        <n v="-28.3669"/>
        <n v="178.735"/>
        <n v="-177.607"/>
        <n v="-177.516"/>
        <n v="-177.725"/>
        <n v="25.3889"/>
        <n v="-82.3045"/>
        <n v="170.355"/>
        <n v="-127.732"/>
        <n v="155.024"/>
        <n v="155.087"/>
        <n v="-100.972"/>
        <n v="162.052"/>
        <n v="162.051"/>
        <n v="162.148"/>
        <n v="-85.8779"/>
        <n v="154.95"/>
        <n v="155.048"/>
        <n v="-70.4931"/>
        <n v="-70.5756"/>
        <n v="-70.9455"/>
        <n v="-70.7691"/>
        <n v="-70.7022"/>
        <n v="-125.134"/>
        <n v="127.367"/>
        <n v="-58.9272"/>
        <n v="82.5864"/>
        <n v="167.372"/>
        <n v="-177.881"/>
        <n v="167.249"/>
        <n v="-176.545"/>
        <n v="-46.4011"/>
        <n v="-47.0621"/>
        <n v="-71.5215"/>
        <n v="144.661"/>
        <n v="-110.321"/>
        <n v="154.931"/>
        <n v="124.117"/>
        <n v="23.2523"/>
        <n v="152.786"/>
        <n v="-178.323"/>
        <n v="65.5052"/>
        <n v="-74.5112"/>
        <n v="65.5009"/>
        <n v="-174.767"/>
        <n v="138.833"/>
        <n v="128.221"/>
        <n v="-175.23"/>
        <n v="174.152"/>
        <n v="-78.1999"/>
        <n v="174.337"/>
        <n v="-25.07"/>
        <n v="149.706"/>
        <n v="153.927"/>
        <n v="-42.594"/>
        <n v="-86.926"/>
        <n v="107.236"/>
        <n v="151.444"/>
        <n v="153.221"/>
        <n v="-177.232"/>
        <n v="145.288"/>
        <n v="152.127"/>
        <n v="102.888"/>
        <n v="150.788"/>
        <n v="142.542"/>
        <n v="61.996"/>
        <n v="154.607"/>
        <n v="138.476"/>
        <n v="148.174"/>
        <n v="157.408"/>
        <n v="157.283"/>
        <n v="142.508"/>
        <n v="165.741"/>
        <n v="-77.393"/>
        <n v="166.018"/>
        <n v="165.969"/>
        <n v="165.655"/>
        <n v="165.588"/>
        <n v="164.882"/>
        <n v="165.114"/>
        <n v="143.092"/>
        <n v="-70.653"/>
        <n v="-134.859"/>
        <n v="167.286"/>
        <n v="129.825"/>
        <n v="143.949"/>
        <n v="-92.164"/>
        <n v="95.885"/>
        <n v="-91.895"/>
        <n v="-132.101"/>
        <n v="-85.298"/>
        <n v="134.03"/>
        <n v="-76.362"/>
        <n v="-85.315"/>
        <n v="126.638"/>
        <n v="-88.59"/>
        <n v="126.837"/>
        <n v="145.064"/>
        <n v="153.173"/>
        <n v="-174.705"/>
        <n v="134.276"/>
        <n v="147.117"/>
        <n v="-71.365"/>
        <n v="-113.104"/>
        <n v="-102.689"/>
        <n v="92.463"/>
        <n v="93.063"/>
        <n v="-72.217"/>
        <n v="145.955"/>
        <n v="-98.231"/>
        <n v="95.991"/>
        <n v="123.206"/>
        <n v="167.133"/>
        <n v="93.21"/>
        <n v="95.911"/>
        <n v="146.809"/>
        <n v="-99.789"/>
        <n v="-75.966"/>
        <n v="43.508"/>
        <n v="147.881"/>
        <n v="88.155"/>
        <n v="142.779"/>
        <n v="97.893"/>
        <n v="169.716"/>
        <n v="-74.525"/>
        <n v="168.218"/>
        <n v="168.156"/>
        <n v="144.828"/>
        <n v="-176.34"/>
        <n v="142.205"/>
        <n v="168.226"/>
        <n v="161.2"/>
        <n v="140.401"/>
        <n v="141.588"/>
        <n v="-94.338"/>
        <n v="99.822"/>
        <n v="142.463"/>
        <n v="141.562"/>
        <n v="144.59"/>
        <n v="141.111"/>
        <n v="142.373"/>
        <n v="142.842"/>
        <n v="-72.834"/>
        <n v="-72.96"/>
        <n v="63.951"/>
        <n v="168.471"/>
        <n v="-73.326"/>
        <n v="167.947"/>
        <n v="59.18"/>
        <n v="149.977"/>
        <n v="100.082"/>
        <n v="-109.156"/>
        <n v="133.76"/>
        <n v="171.83"/>
        <n v="-77.306"/>
        <n v="168.069"/>
        <n v="150.765"/>
        <n v="146.822"/>
        <n v="123.48"/>
        <n v="150.59"/>
        <n v="150.428"/>
        <n v="-73.31"/>
        <n v="161.447"/>
        <n v="136.484"/>
        <n v="136.543"/>
        <n v="91.936"/>
        <n v="166.643"/>
        <n v="96.018"/>
        <n v="96.548"/>
        <n v="161.116"/>
        <n v="97.048"/>
        <n v="-115.295"/>
        <n v="92.831"/>
        <n v="-73.257"/>
        <n v="141.59"/>
        <n v="-71.799"/>
        <n v="-71.891"/>
        <n v="100.991"/>
        <n v="-73.374"/>
        <n v="167.227"/>
        <n v="-75.048"/>
        <n v="-72.898"/>
        <n v="128.425"/>
        <n v="-72.571"/>
        <n v="-124.692"/>
        <n v="157.551"/>
        <n v="157.354"/>
        <n v="157.487"/>
        <n v="-70.321"/>
        <n v="178.331"/>
        <n v="118.631"/>
        <n v="129.782"/>
        <n v="130.385"/>
        <n v="165.91"/>
        <n v="166.497"/>
        <n v="166.382"/>
        <n v="166.51"/>
        <n v="101.524"/>
        <n v="99.867"/>
        <n v="-172.095"/>
        <n v="107.297"/>
        <n v="99.49"/>
        <n v="140.395"/>
        <n v="92.902"/>
        <n v="137.944"/>
        <n v="-112.903"/>
        <n v="166.562"/>
        <n v="153.782"/>
        <n v="-86.217"/>
        <n v="-174.66"/>
        <n v="126.387"/>
        <n v="133.305"/>
        <n v="70.743"/>
        <n v="132.885"/>
        <n v="122.091"/>
        <n v="-92.364"/>
        <n v="73.824"/>
        <n v="143.754"/>
        <n v="127.363"/>
        <n v="166.967"/>
        <n v="83.52"/>
        <n v="141.464"/>
        <n v="142.214"/>
        <n v="142.714"/>
        <n v="91.824"/>
        <n v="140.881"/>
        <n v="103.322"/>
        <n v="141.526"/>
        <n v="168.892"/>
        <n v="81.467"/>
        <n v="125.63"/>
        <n v="99.808"/>
        <n v="99.891"/>
        <n v="99.972"/>
        <n v="99.931"/>
        <n v="95.964"/>
        <n v="21.863"/>
        <n v="21.67"/>
        <n v="-94.304"/>
        <n v="178.291"/>
        <n v="-70.182"/>
        <n v="-61.274"/>
        <n v="162.149"/>
        <n v="118.467"/>
        <n v="118.37"/>
        <n v="147.098"/>
        <n v="-77.838"/>
        <n v="-70.237"/>
        <n v="-69.89"/>
        <n v="101.02"/>
        <n v="167.553"/>
        <n v="153.5"/>
        <n v="100.141"/>
        <n v="99.627"/>
        <n v="99.668"/>
        <n v="100.841"/>
        <n v="100.139"/>
        <n v="101.367"/>
        <n v="-77.963"/>
        <n v="165.762"/>
        <n v="159.465"/>
        <n v="-76.603"/>
        <n v="107.419"/>
        <n v="167.68"/>
        <n v="127.464"/>
        <n v="134.85"/>
        <n v="138.446"/>
        <n v="-90.618"/>
        <n v="155.741"/>
        <n v="155.777"/>
        <n v="157.043"/>
        <n v="136.588"/>
        <n v="169.357"/>
        <n v="126.976"/>
        <n v="126.282"/>
        <n v="154.524"/>
        <n v="120.493"/>
        <n v="120.547"/>
        <n v="153.266"/>
        <n v="151.195"/>
        <n v="-76.677"/>
        <n v="150.982"/>
        <n v="-155.935"/>
        <n v="-172.033"/>
        <n v="155.512"/>
        <n v="157.522"/>
        <n v="167.789"/>
        <n v="151.133"/>
        <n v="165.743"/>
        <n v="97.05"/>
        <n v="-174.123"/>
        <n v="-173.907"/>
        <n v="-71.056"/>
        <n v="-71.022"/>
        <n v="167.516"/>
        <n v="167.089"/>
        <n v="176.989"/>
        <n v="127.214"/>
        <n v="33.583"/>
        <n v="23.212"/>
        <n v="-112.117"/>
        <n v="71.093"/>
        <n v="29.83"/>
        <n v="142.122"/>
        <n v="96.786"/>
        <n v="-67.895"/>
        <n v="73.588"/>
        <n v="151.84"/>
        <n v="-76.398"/>
        <n v="153.474"/>
        <n v="142.039"/>
        <n v="92.19"/>
        <n v="97.082"/>
        <n v="-86.172"/>
        <n v="-125.953"/>
        <n v="-69.197"/>
        <n v="97.041"/>
        <n v="98.459"/>
        <n v="99.779"/>
        <n v="99.607"/>
        <n v="97.108"/>
        <n v="130.131"/>
        <n v="129.933"/>
        <n v="95.592"/>
        <n v="122.129"/>
        <n v="126.421"/>
        <n v="167.259"/>
        <n v="123.337"/>
        <n v="141.491"/>
        <n v="92.375"/>
        <n v="92.958"/>
        <n v="95.982"/>
        <n v="161.345"/>
        <n v="-81.409"/>
        <n v="145.228"/>
        <n v="145.119"/>
        <n v="135.404"/>
        <n v="164.721"/>
        <n v="-77.508"/>
        <n v="124.868"/>
        <n v="162.208"/>
        <n v="-128.772"/>
        <n v="138.779"/>
        <n v="122.694"/>
        <n v="-86.665"/>
        <n v="120.534"/>
        <n v="162.161"/>
        <n v="137.227"/>
        <n v="137.071"/>
        <n v="136.618"/>
        <n v="-70.525"/>
        <n v="133.091"/>
        <n v="160.003"/>
        <n v="-73.406"/>
        <n v="122.839"/>
        <n v="167.198"/>
        <n v="71.029"/>
        <n v="135.339"/>
        <n v="135.023"/>
        <n v="135.538"/>
        <n v="127.4"/>
        <n v="169.766"/>
        <n v="58.311"/>
        <n v="-82.824"/>
        <n v="-121.101"/>
        <n v="121.362"/>
        <n v="150.88"/>
        <n v="125.416"/>
        <n v="142.619"/>
        <n v="144.57"/>
        <n v="87.721"/>
        <n v="144.38"/>
        <n v="87.813"/>
        <n v="143.593"/>
        <n v="143.91"/>
        <n v="95.672"/>
        <n v="167.144"/>
        <n v="-43.411"/>
        <n v="152.174"/>
        <n v="-71.637"/>
        <n v="159.999"/>
        <n v="152.502"/>
        <n v="128.855"/>
        <n v="141.568"/>
        <n v="3.634"/>
        <n v="120.743"/>
        <n v="153.238"/>
        <n v="-104.104"/>
        <n v="-90.774"/>
        <n v="160.77"/>
        <n v="153.701"/>
        <n v="153.275"/>
        <n v="-147.453"/>
        <n v="96.085"/>
        <n v="-147.912"/>
        <n v="133.973"/>
        <n v="134.297"/>
        <n v="93.068"/>
        <n v="142.945"/>
        <n v="146.199"/>
        <n v="-82.793"/>
        <n v="49.047"/>
        <n v="-71.124"/>
        <n v="166.383"/>
        <n v="144.619"/>
        <n v="-70.586"/>
        <n v="-100.865"/>
        <n v="122.179"/>
        <n v="-68.329"/>
        <n v="124.249"/>
        <n v="70.482"/>
        <n v="151.248"/>
        <n v="31.271"/>
        <n v="142.427"/>
        <n v="168.004"/>
        <n v="167.856"/>
        <n v="159.53"/>
        <n v="122.734"/>
        <n v="141.089"/>
        <n v="90.541"/>
        <n v="150.196"/>
        <n v="123.907"/>
        <n v="144.98"/>
        <n v="133.13"/>
        <n v="-154.701"/>
        <n v="24.244"/>
        <n v="-72.077"/>
        <n v="-73.987"/>
        <n v="-71.649"/>
        <n v="-73.641"/>
        <n v="155.865"/>
        <n v="132.526"/>
        <n v="128.02"/>
        <n v="-122.727"/>
        <n v="126.249"/>
        <n v="102.562"/>
        <n v="-88.938"/>
        <n v="70.232"/>
        <n v="101.776"/>
        <n v="-88.66"/>
        <n v="-153.281"/>
        <n v="167.17"/>
        <n v="126.899"/>
        <n v="126.579"/>
        <n v="152.725"/>
        <n v="54.799"/>
        <n v="49.954"/>
        <n v="49.946"/>
        <n v="153.181"/>
        <n v="151.781"/>
        <n v="153.226"/>
        <n v="153.102"/>
        <n v="152.169"/>
        <n v="-77.829"/>
        <n v="153.945"/>
        <n v="105.63"/>
        <n v="133.134"/>
        <n v="166.91"/>
        <n v="30.709"/>
        <n v="127.394"/>
        <n v="-102.48"/>
        <n v="142.246"/>
        <n v="166.448"/>
        <n v="139.376"/>
        <n v="150.917"/>
        <n v="-154.198"/>
        <n v="-20.758"/>
        <n v="97.453"/>
        <n v="-20.487"/>
        <n v="101.905"/>
        <n v="102.102"/>
        <n v="102.087"/>
        <n v="-66.452"/>
        <n v="123.573"/>
        <n v="143.807"/>
        <n v="150.876"/>
        <n v="146.837"/>
        <n v="-174.248"/>
        <n v="165.354"/>
        <n v="105.555"/>
        <n v="119.74"/>
        <n v="-154.347"/>
        <n v="-69.171"/>
        <n v="168.214"/>
        <n v="148.763"/>
        <n v="148.82"/>
        <n v="31.161"/>
        <n v="71.24"/>
        <n v="-116.265"/>
        <n v="-96.931"/>
        <n v="121.158"/>
        <n v="120.982"/>
        <n v="168.039"/>
        <n v="-84.159"/>
        <n v="29.864"/>
        <n v="-88.33"/>
        <n v="-97.436"/>
        <n v="152.877"/>
        <n v="152.486"/>
        <n v="-176.46"/>
        <n v="149.568"/>
        <n v="-72.662"/>
        <n v="79.403"/>
        <n v="-177.668"/>
        <n v="159.52"/>
        <n v="121.937"/>
        <n v="57.193"/>
        <n v="166.697"/>
        <n v="-169.123"/>
        <n v="153.235"/>
        <n v="-176.376"/>
        <n v="124.891"/>
        <n v="128.946"/>
        <n v="129.022"/>
        <n v="112.413"/>
        <n v="-71.715"/>
        <n v="126.764"/>
        <n v="-80.393"/>
        <n v="138.901"/>
        <n v="141.926"/>
        <n v="166.16"/>
        <n v="70.11"/>
        <n v="-65.431"/>
        <n v="119.584"/>
        <n v="151.714"/>
        <n v="125.308"/>
        <n v="-74.238"/>
        <n v="99.261"/>
        <n v="57.605"/>
        <n v="-70.207"/>
        <n v="-179.376"/>
        <n v="-71.41"/>
        <n v="-91.473"/>
        <n v="147.867"/>
        <n v="162.035"/>
        <n v="122.536"/>
        <n v="20.656"/>
        <n v="167.375"/>
        <n v="-88.808"/>
        <n v="87.325"/>
        <n v="-76.681"/>
        <n v="-71.22"/>
        <n v="-176.772"/>
        <n v="125.779"/>
        <n v="-75.749"/>
        <n v="144.362"/>
        <n v="-98.216"/>
        <n v="-63.486"/>
        <n v="-71.872"/>
        <n v="-101.604"/>
        <n v="169.287"/>
        <n v="70.945"/>
        <n v="59.809"/>
        <n v="144.901"/>
        <n v="-60.892"/>
        <n v="166.676"/>
        <n v="147.408"/>
        <n v="127.647"/>
        <n v="68.208"/>
        <n v="57.291"/>
        <n v="-102.756"/>
        <n v="138.92"/>
        <n v="131.314"/>
        <n v="78.133"/>
        <n v="-75.675"/>
        <n v="131.468"/>
        <n v="131.093"/>
        <n v="155.568"/>
        <n v="32.126"/>
        <n v="126.334"/>
        <n v="126.284"/>
        <n v="121.498"/>
        <n v="161.445"/>
        <n v="120.45"/>
        <n v="120.254"/>
        <n v="-100.965"/>
        <n v="122.589"/>
        <n v="125.154"/>
        <n v="-176.847"/>
        <n v="-177.632"/>
        <n v="167.13"/>
        <n v="154.999"/>
        <n v="-70.093"/>
        <n v="167.297"/>
        <n v="-86.772"/>
        <n v="-86.856"/>
        <n v="-98.07"/>
        <n v="-79.587"/>
        <n v="136.225"/>
        <n v="135.84"/>
        <n v="136.952"/>
        <n v="142.38"/>
        <n v="149.892"/>
        <n v="100.276"/>
        <n v="159.586"/>
        <n v="119.931"/>
        <n v="129.151"/>
        <n v="140.233"/>
        <n v="149.3"/>
        <n v="34.799"/>
        <n v="-71.417"/>
        <n v="-93.469"/>
        <n v="130.148"/>
        <n v="130.175"/>
        <n v="-104.205"/>
        <n v="101.436"/>
        <n v="-77.851"/>
        <n v="-77.881"/>
        <n v="-78.581"/>
        <n v="-98.597"/>
        <n v="-110.284"/>
        <n v="-75.577"/>
        <n v="154.347"/>
        <n v="153.773"/>
        <n v="154.178"/>
        <n v="151.515"/>
        <n v="-70.294"/>
        <n v="99.196"/>
        <n v="22.283"/>
        <n v="142.827"/>
        <n v="169.9"/>
        <n v="125.127"/>
        <n v="21.695"/>
        <n v="125.297"/>
      </sharedItems>
    </cacheField>
    <cacheField name="location" numFmtId="0">
      <sharedItems containsBlank="1">
        <s v="Sola, Vanuatu"/>
        <s v="Intipucá, El Salvador"/>
        <s v="Loncopué, Argentina"/>
        <s v="Sand Point, Alaska"/>
        <s v="Alaska Peninsula"/>
        <s v="Codrington, Antigua and Barbuda"/>
        <s v="Tonga"/>
        <s v="the Fiji Islands"/>
        <s v="Panama-Colombia border region"/>
        <s v="the Loyalty Islands"/>
        <s v="Hihifo, Tonga"/>
        <s v="Teluk Dalam, Indonesia"/>
        <s v="Kermadec Islands, New Zealand"/>
        <s v="Tuban, Indonesia"/>
        <s v="the Kamchatka Peninsula, Russia"/>
        <s v="New Guinea, Papua New Guinea"/>
        <s v="San Antonio de los Cobres, Argentina"/>
        <s v="Jurm, Afghanistan"/>
        <s v="Ecuador"/>
        <s v="Kermadec Islands region"/>
        <s v="Port-Olry, Vanuatu"/>
        <s v="Kimbe, Papua New Guinea"/>
        <s v="Murghob, Tajikistan"/>
        <s v="Ekinözü, Turkey"/>
        <s v="Nurdağı, Turkey"/>
        <s v="Central Turkey"/>
        <m/>
        <s v="Tobelo, Indonesia"/>
        <s v="Pulau Pulau Tanimbar, Indonesia"/>
        <s v="Vanuatu"/>
        <s v="Malango, Solomon Islands"/>
        <s v="Bengkulu, Indonesia"/>
        <s v="Neiafu, Tonga"/>
        <s v="Boca Chica, Panama"/>
        <s v="Aguililla, Mexico"/>
        <s v="Yujing, Taiwan"/>
        <s v="Lugu, Taiwan"/>
        <s v="Isangel, Vanuatu"/>
        <s v="Kainantu, Papua New Guinea"/>
        <s v="Kangding, China"/>
        <s v="the Kermadec Islands"/>
        <s v="Bantay, Philippines"/>
        <s v="Tarauacá, Brazil"/>
        <s v="Azángaro, Peru"/>
        <s v="Masachapa, Nicaragua"/>
        <s v="Tadine, New Caledonia"/>
        <s v="Hualien City, Taiwan"/>
        <s v="Namie, Japan"/>
        <s v="Pariaman, Indonesia"/>
        <s v="Barranca, Peru"/>
        <s v="Labuan, Indonesia"/>
        <s v="Nikolski, Alaska"/>
        <s v="Pólis, Cyprus"/>
        <s v="northern Qinghai, China"/>
        <s v="Lospalos, Timor Leste"/>
        <s v="Flores Sea"/>
        <s v="Hirara, Japan"/>
        <s v="Chignik, Alaska"/>
        <s v="Vanuatu region"/>
        <s v="Jiquilillo, Nicaragua"/>
        <s v="Acapulco, Mexico"/>
        <s v="South Sandwich Islands region"/>
        <s v="Nippes, Haiti"/>
        <s v="Perryville, Alaska"/>
        <s v="Pondaguitan, Philippines"/>
        <s v="Hukay, Philippines"/>
        <s v="Burica, Panama"/>
        <s v="Alo, Wallis and Futuna"/>
        <s v="Southern Qinghai, China"/>
        <s v="Sinabang, Indonesia"/>
        <s v="Mauritius - Reunion region"/>
        <s v="Haveluloto, Tonga"/>
        <s v="Pangai, Tonga"/>
        <s v="Ishinomaki, Japan"/>
        <s v="Ust’-Kamchatsk Staryy, Russia"/>
        <s v="Gisborne, New Zealand"/>
        <s v="South Shetland Islands"/>
        <s v="Turt, Mongolia"/>
        <s v="Corral, Chile"/>
        <s v="Néon Karlovásion, Greece"/>
        <s v="central Mid-Atlantic Ridge"/>
        <s v="Vallenar, Chile"/>
        <s v="Katabu, Indonesia"/>
        <s v="San Pedro, Philippines"/>
        <s v="Popondetta, Papua New Guinea"/>
        <s v="Batang, Indonesia"/>
        <s v="Santa María Xadani, Mexico"/>
        <s v="Naze, Japan"/>
        <s v="San Pedro de Atacama, Chile"/>
        <s v="Monte Cristo Range, NV Earthquake"/>
        <s v="Lata, Solomon Islands"/>
        <s v="Banda Sea"/>
        <s v="Néa Anatolí, Greece"/>
        <s v="Stanley, Idaho"/>
        <s v="Severo-Kuril’sk, Russia"/>
        <s v="Kuril’sk, Russia"/>
        <s v="Lucea, Jamaica"/>
        <s v="Do?anyol, Turkey"/>
        <s v="Magsaysay, Philippines"/>
        <s v="Bitung, Indonesia"/>
        <s v="Ndoi Island, Fiji"/>
        <s v="Kisante, Philippines"/>
        <s v="Columbio, Philippines"/>
        <s v="Constitución, Chile"/>
        <s v="Kairatu, Indonesia"/>
        <s v="Bristol Island, South Sandwich Islands"/>
        <s v="San Antonio, Chile"/>
        <s v="Lakatoro, Vanuatu"/>
        <s v="Laiwui, Indonesia"/>
        <s v="Broome, Australia"/>
        <s v="Kota Ternate, Indonesia"/>
        <s v="Searles Valley, CA"/>
        <s v="Saumlaki, Indonesia"/>
        <s v="L'Esperance Rock, New Zealand"/>
        <s v="La Libertad, El Salvador"/>
        <s v="Navarro, Peru"/>
        <s v="Namatanai, Papua New Guinea"/>
        <s v="Bulolo, Papua New Guinea"/>
        <s v="Luwuk, Indonesia"/>
        <s v="Palora, Ecuador"/>
        <s v="Puerto Madero, Mexico"/>
        <s v="Prince Edward Islands region"/>
        <s v="Coquimbo, Chile"/>
        <s v="Molucca Sea"/>
        <s v="Tarauaca, Brazil"/>
        <s v="Point MacKenzie, Alaska"/>
        <s v="Levuka, Fiji"/>
        <s v="Olonkinbyen, Svalbard and Jan Mayen"/>
        <s v="Lithakiá, Greece"/>
        <s v="Port McNeill, Canada"/>
        <s v="Ozernovskiy, Russia"/>
        <s v="Palu, Indonesia"/>
        <s v="Kirakira, Solomon Islands"/>
        <s v="Chitose, Japan"/>
        <s v="Iñapari, Peru"/>
        <s v="Carúpano, Venezuela"/>
        <s v="Labuan Lombok, Indonesia"/>
        <s v="Labuan Bajo, Indonesia"/>
        <s v="Adak, Alaska"/>
        <s v="Leilani Estates, Hawaii"/>
        <s v="Boyuibe, Bolivia"/>
        <s v="Kokopo, Papua New Guinea"/>
        <s v="Tari, Papua New Guinea"/>
        <s v="Pinotepa de Don Luis, Mexico"/>
        <s v="Chiniak, Alaska"/>
        <s v="Atiquipa, Peru"/>
        <s v="Barra Patuca, Honduras"/>
        <s v="Kawalu, Indonesia"/>
        <s v="Bouvet Island region"/>
        <s v="Parrita, Costa Rica"/>
        <s v="?alabja, Iraq"/>
        <s v="Angoram, Papua New Guinea"/>
        <s v="Maumere, Indonesia"/>
        <s v="Attu Station, Alaska"/>
        <s v="Matzaco, Mexico"/>
        <s v="Chiapas, Mexico"/>
        <s v="Mawu, China"/>
        <s v="Kos, Greece"/>
        <s v="Komandorskiye Ostrova, Russia region"/>
        <s v="Auckland Islands, New Zealand region"/>
        <s v="Lim-oo, Philippines"/>
        <s v="Puerto San José, Guatemala"/>
        <s v="San Pablo, Guatemala"/>
        <s v="Poso, Indonesia"/>
        <s v="Burias, Philippines"/>
        <s v="Valparaíso, Chile"/>
        <s v="Moijabana, Botswana"/>
        <s v="Padilla, Bolivia"/>
        <s v="Mabua, Philippines"/>
        <s v="Panguna, Papua New Guinea"/>
        <s v="Tabiauan, Philippines"/>
        <s v="Nadi, Fiji"/>
        <s v="Quellón, Chile"/>
        <s v="Ferndale, California"/>
        <s v="Reuleuet, Indonesia"/>
        <s v="Puerto El Triunfo, El Salvador"/>
        <s v="Amberley, New Zealand"/>
        <s v="Blenheim, New Zealand"/>
        <s v="Preci, Italy"/>
        <s v="Pamanukan, Indonesia"/>
        <s v="Kandrian, Papua New Guinea"/>
        <s v="Fiji region"/>
        <s v="Rabaul, Papua New Guinea"/>
        <s v="Chauk, Myanmar"/>
        <s v="Pagan region, Northern Mariana Islands"/>
        <s v="Sungai Penuh, Indonesia"/>
        <s v="Rosa Zarate, Ecuador"/>
        <s v="Muisne, Ecuador"/>
        <s v="Norsup, Vanuatu"/>
        <s v="Kumamoto, Japan"/>
        <s v="Mawlaik, Myanmar"/>
        <s v="Ashk?sham, Afghanistan"/>
        <s v="Sumatra, Indonesia"/>
        <s v="Mil’kovo, Russia"/>
        <s v="Pedro Bay, Alaska"/>
        <s v="La Cruz de Loreto, Mexico"/>
        <s v="Shizunai-furukawach?, Japan"/>
        <s v="Sarangani, Philippines"/>
        <s v="Imph?l, India"/>
        <s v="Manuel Ávila Camacho (Ponte Duro), Mexico"/>
        <s v="Amahai, Indonesia"/>
        <s v="Buala, Solomon Islands"/>
        <s v="Lefkáda, Greece"/>
        <s v="Makurazaki, Japan"/>
        <s v="Nicobar Islands, India region"/>
        <s v="Ovalle, Chile"/>
        <s v="Maubara, Timor Leste"/>
        <s v="Hindu Kush region, Afghanistan"/>
        <s v="Sorong, Indonesia"/>
        <s v="Illapel, Chile"/>
        <s v="Topolobampo, Mexico"/>
        <s v="Gizo, Solomon Islands"/>
        <s v="Abepura, Indonesia"/>
        <s v="Fox Islands, Aleutian Islands, Alaska"/>
        <s v="Bathsheba, Barbados"/>
        <s v="Bonin Islands, Japan region"/>
        <s v="Ugashik, Alaska"/>
        <s v="?funato, Japan"/>
        <s v="Nepal"/>
        <s v="Kod?ri??, Nepal"/>
        <s v="Bharatpur, Nepal"/>
        <s v="Miyako, Japan"/>
        <s v="El Aguilar, Argentina"/>
        <s v="Port-Vila, Vanuatu"/>
        <s v="Punta de Burica, Panama"/>
        <s v="Sangay, Philippines"/>
        <s v="Ternate, Indonesia"/>
        <s v="Finschhafen, Papua New Guinea"/>
        <s v="Piti Village, Guam"/>
        <s v="Aniso, Peru"/>
        <s v="Micronesia region"/>
        <s v="Mata-Utu, Wallis and Futuna"/>
        <s v="Rat Islands, Aleutian Islands, Alaska"/>
        <s v="Kamariótissa, Greece"/>
        <s v="Vernon, Canada"/>
        <s v="Coyuquilla Norte, Mexico"/>
        <s v="Belén, Nicaragua"/>
        <s v="Iquique, Chile"/>
        <s v="Indianola, California"/>
        <s v="Nago, Japan"/>
        <s v="Greenland, Barbados"/>
        <s v="Hotan, China"/>
        <s v="Scotia Sea"/>
        <s v="off the east coast of Honshu, Japan"/>
        <s v="Etchoropo, Mexico"/>
        <s v="Sagbayan, Philippines"/>
        <s v="Kíssamos, Greece"/>
        <s v="Okhotsk"/>
        <s v="Khuzdar, Pakistan"/>
        <s v="Bela, Pakistan"/>
        <s v="Atka, Alaska"/>
        <s v="Izu Islands, Japan region"/>
        <s v="Bahía Solano, Colombia"/>
        <s v="northern Mid-Atlantic Ridge"/>
        <s v="Java, Indonesia"/>
        <s v="Vaini, Tonga"/>
        <s v="Linqiong, China"/>
        <s v="Aitape, Papua New Guinea"/>
        <s v="Kh?sh, Iran"/>
        <s v="Belaya Gora, Russia"/>
        <s v="Yacuanquer, Colombia"/>
        <s v="Obihiro, Japan"/>
        <s v="Edna Bay, Alaska"/>
        <s v="Champerico, Guatemala"/>
        <s v="Shwebo, Myanmar"/>
        <s v="Prince Rupert, Canada"/>
        <s v="Costa Rica"/>
        <s v="Tual, Indonesia"/>
        <s v="San Agustín, Colombia"/>
        <s v="Hojancha, Costa Rica"/>
        <s v="Sulangan, Philippines"/>
        <s v="Poronaysk, Russia"/>
        <s v="Manokwari, Indonesia"/>
        <s v="Lae, Papua New Guinea"/>
        <s v="Hacienda La Calera, Chile"/>
        <s v="San Luis, Mexico"/>
        <s v="El Habillal, Mexico"/>
        <s v="off the west coast of northern Sumatra"/>
        <s v="Santiago Llano Grande, Mexico"/>
        <s v="Saryg-Sep, Russia"/>
        <s v="Jimalalud, Philippines"/>
        <s v="Wau, Papua New Guinea"/>
        <s v="Nuevo Balsas, Mexico"/>
        <s v="Santiago, Peru"/>
        <s v="Van, Turkey"/>
        <s v="Mangan, India"/>
        <s v="Kabanjahe, Indonesia"/>
        <s v="Contamana, Peru"/>
        <s v="Wé, New Caledonia"/>
        <s v="Ishikawa, Japan"/>
        <s v="Helio García Alfaro, Mexico"/>
        <s v="Tachilek, Myanmar"/>
        <s v="?tsuchi, Japan"/>
        <s v="Hasaki, Japan"/>
        <s v="Kamaishi, Japan"/>
        <s v="?arai, Japan"/>
        <s v="2011 Great Tohoku Earthquake, Japan"/>
        <s v="Tomé, Chile"/>
        <s v="Dalbandin, Pakistan"/>
        <s v="Carahue, Chile"/>
        <s v="Bam, Iran"/>
        <s v="El Huitusi, Mexico"/>
        <s v="Papua, Indonesia"/>
        <s v="Methven, New Zealand"/>
        <s v="Madang, Papua New Guinea"/>
        <s v="Bantogon, Philippines"/>
        <s v="New Britain region, Papua New Guinea"/>
        <s v="Cañete, Chile"/>
        <s v="Biak, Indonesia"/>
        <s v="Meulaboh, Indonesia"/>
        <s v="Qamdo, China"/>
        <s v="Delta, B.C., MX"/>
        <s v="Bamboo Flat, India"/>
        <s v="Santa Cruz, Chile"/>
        <s v="Talcahuano, Chile"/>
        <s v="Lebu, Chile"/>
        <s v="Quirihue, Chile"/>
        <s v="Katsuren-haebaru, Japan"/>
        <s v="Léogâne, Haiti"/>
        <s v="Ba, Fiji"/>
        <s v="Bima, Indonesia"/>
        <s v="Matavai, Samoa"/>
        <s v="Banjar, Indonesia"/>
        <s v="Padang, Indonesia"/>
        <s v="Tateyama, Japan"/>
        <s v="?yama, Japan"/>
        <s v="Bahía de Kino, Mexico"/>
        <s v="Te Anau, New Zealand"/>
        <s v="Guanaja, Honduras"/>
        <s v="‘Ohonua, Tonga"/>
        <s v="Gorontalo, Indonesia"/>
        <s v="Brisas Barra de Suchiate, Mexico"/>
        <s v="Nookat, Kyrgyzstan"/>
        <s v="Jumla, Nepal"/>
        <s v="Morioka, Japan"/>
        <s v="Mizusawa, Japan"/>
        <s v="Tianpeng, China"/>
        <s v="Philippine Islands region"/>
        <s v="Koróni, Greece"/>
        <s v="Methóni, Greece"/>
        <s v="General Pascual Fentes, Mexico"/>
        <s v="Ant"/>
        <s v="Basse-Pointe, Martinique"/>
        <s v="Dompu, Indonesia"/>
        <s v="Macas, Ecuador"/>
        <s v="Tocopilla, Chile"/>
        <s v="Kepulauan Mentawai region, Indonesia"/>
        <s v="Timbiquí, Colombia"/>
        <s v="San Vicente de Cañete, Peru"/>
        <s v="Rengasdengklok, Indonesia"/>
        <s v="Luganville, Vanuatu"/>
        <s v="Mikuni, Japan"/>
        <s v="Kashiwazaki, Japan"/>
        <s v="Iztapa, Guatemala"/>
        <s v="Nanao, Japan"/>
        <s v="S"/>
        <s v="the Kuril Islands"/>
        <s v="Hengchun, Taiwan"/>
        <s v="Kuril Islands"/>
        <s v="Puako, Hawaii"/>
        <s v="Singaparna, Indonesia"/>
        <s v="Tilichiki, Russia"/>
        <s v="Singkil, Indonesia"/>
        <s v="Copiapó, Chile"/>
        <s v="Lautoka, Fiji"/>
        <s v="Ambon, Indonesia"/>
        <s v="Chipinge, Zimbabwe"/>
        <s v="Kýthira, Greece"/>
        <s v="Kalemie, Democratic Republic"/>
        <s v="Muzaffar?b?d, Pakistan"/>
        <s v="Yurimaguas, Peru"/>
        <s v="San Juan del Sur, Nicaragua"/>
        <s v="Big Lagoon, California"/>
        <s v="Padangsidempuan, Indonesia"/>
        <s v="Maebaru-ch??, Japan"/>
        <s v="Pulau-Pulau Talaud, Indonesia"/>
        <s v="Palimbang, Philippines"/>
        <s v="Katsuura, Japan"/>
        <s v="Sabang, Indonesia"/>
        <s v="2004 Sumatra - Andaman Islands Earthquake"/>
        <s v="Macquarie Island"/>
        <s v="George Town, Cayman Islands"/>
        <s v="Nemuro, Japan"/>
        <s v="Nabire, Indonesia"/>
        <s v="Riverton, New Zealand"/>
        <s v="Pizarro, Colombia"/>
        <s v="Ojiya, Japan"/>
        <s v="Yonakuni, Japan"/>
        <s v="Talisay, Philippines"/>
        <s v="Shing?, Japan"/>
        <s v="Teno, Chile"/>
        <s v="Atlasovo, Russia"/>
        <s v="Naisano Dua, Indonesia"/>
        <s v="Afghanistan-Tajikistan-Pakistan region"/>
        <s v="Progreso, Panama"/>
        <s v="San Simeon, California"/>
        <s v="Can-Avid, Philippines"/>
        <s v="Kushiro, Japan"/>
        <s v="Aktash, Russia"/>
        <s v="Taungdwingyi, Myanmar"/>
        <s v="Dellys, Algeria"/>
        <s v="Ruteng, Indonesia"/>
        <s v="Cuyutlán, Mexico"/>
        <s v="New Ireland region, Papua New Guinea"/>
        <s v="Cantwell, Alaska"/>
        <s v="San Jose Village, Northern Mariana Islands"/>
        <s v="Abhar, Iran"/>
        <s v="Monte Patria, Chile"/>
        <s v="Merizo Village, Guam"/>
        <s v="Nuxco, Mexico"/>
        <s v="Calama, Chile"/>
        <s v="Mindanao, Philippines"/>
        <s v="Sultanda??, Turkey"/>
        <s v="Hanamaki, Japan"/>
        <s v="Kendari, Indonesia"/>
        <s v="Inarajan Village, Guam"/>
        <s v="Kokhanok, Alaska"/>
        <s v="Skýros, Greece"/>
        <s v="Punta de Bombón, Peru"/>
        <s v="Achanizo, Peru"/>
        <s v="Pacocha, Peru"/>
        <s v="Atico, Peru"/>
        <s v="Kure, Japan"/>
        <s v="Longbranch, Washington"/>
        <s v="Cojutepeque, El Salvador"/>
        <s v="Bhach?u, India"/>
        <s v="Old Harbor, Alaska"/>
        <s v="Lukatan, Philippines"/>
        <s v="Balkanabat, Turkmenistan"/>
        <s v="Badamdar, Azerbaijan"/>
        <s v="Baku, Azerbaijan"/>
        <s v="Juradó, Colombia"/>
        <s v="Matsue, Japan"/>
        <s v="Nkove, Tanzania"/>
        <s v="Uglegorsk, Russia"/>
        <s v="Shimoda, Japan"/>
        <s v="Larsen Bay, Alaska"/>
        <s v="Selfoss, Iceland"/>
        <s v="South Indian Ocean"/>
        <s v="Ialibu, Papua New Guinea"/>
        <s v="Shikotan, Russia"/>
        <s v="Bolitoc, Philippines"/>
        <s v="Karluk, Alaska"/>
        <s v="Arica, Chile"/>
        <s v="Düzce, Turkey"/>
        <s v="Hector Mine, CA Earthquake"/>
        <s v="San Baltazar Loxicha, Mexico"/>
        <s v="Puli, Taiwan"/>
        <s v="Quepos, Costa Rica"/>
        <s v="Derince, Turkey"/>
        <s v="Potrerillos, Honduras"/>
        <s v="Texcala, Mexico"/>
        <s v="Camaná, Peru"/>
        <s v="P?palkoti, India"/>
        <s v="Vilyuchinsk, Russia"/>
        <s v="K?h Sef?d, Iran"/>
        <s v="Sumberpucung, Indonesia"/>
        <s v="Bahía de Caráquez, Ecuador"/>
        <s v="Rust?q, Afghanistan"/>
        <s v="Mizque, Bolivia"/>
        <s v="Ishigaki, Japan"/>
        <s v="San Fernando, Peru"/>
        <s v="Kerman, Iran"/>
        <s v="Labasa, Fiji"/>
        <s v="San José El Ídolo, Guatemala"/>
        <s v="San Sebastián, El Salvador"/>
        <s v="western Xizang"/>
        <s v="Roncesvalles, Colombia"/>
        <s v="El Ciruelo, Mexico"/>
        <s v="Churumuco de Morelos, Mexico"/>
        <s v="Q?’en, Iran"/>
        <s v="Yigo Village, Guam"/>
        <s v="Scarborough, Trinidad and Tobago"/>
        <s v="Kinablangan, Philippines"/>
        <s v="Harnai, Pakistan"/>
        <s v="Turkmenistan-Iran border region"/>
        <s v="Iwanai, Japan"/>
        <s v="Miyazaki, Japan"/>
        <s v="Thang, India"/>
        <s v="Changuillo, Peru"/>
        <s v="Nishinoomote, Japan"/>
        <s v="Paphos, Cyprus"/>
        <s v="Cortes, Philippines"/>
        <s v="Palapag, Philippines"/>
        <s v="Villa El Carmen, Nicaragua"/>
        <s v="Santa María Chico Ometepec, Mexico"/>
        <s v="Puerto Santa, Peru"/>
        <s v="Insrom, Indonesia"/>
        <s v="Lijiang, China"/>
        <s v="Yelizovo, Russia"/>
        <s v="Nuwaybi‘a, Egypt"/>
        <s v="Ocozocoautla de Espinosa, Mexico"/>
        <s v="El Colomo, Mexico"/>
        <s v="Sucúa, Ecuador"/>
        <s v="Paramonga, Peru"/>
        <s v="Azoyú, Mexico"/>
        <s v="Neira, Colombia"/>
        <s v="Jinghong, China"/>
        <s v="Galaxídhion, Greece"/>
        <s v="Tungor, Russia"/>
        <s v="Vao, New Caledonia"/>
        <s v="Aianí, Greece"/>
        <s v="Cabatuan, Philippines"/>
      </sharedItems>
    </cacheField>
    <cacheField name="continent" numFmtId="0">
      <sharedItems containsBlank="1">
        <m/>
        <s v="South America"/>
        <s v="Asia"/>
        <s v="Oceania"/>
        <s v="North America"/>
        <s v="Europe"/>
        <s v="Africa"/>
      </sharedItems>
    </cacheField>
    <cacheField name="country" numFmtId="0">
      <sharedItems containsBlank="1">
        <s v="Vanuatu"/>
        <m/>
        <s v="Argentina"/>
        <s v="Colombia"/>
        <s v="Indonesia"/>
        <s v="Russian Federation (the)"/>
        <s v="Papua New Guinea"/>
        <s v="Afghanistan"/>
        <s v="Ecuador"/>
        <s v="Tajikistan"/>
        <s v="Turkiye"/>
        <s v="Solomon Islands"/>
        <s v="Fiji"/>
        <s v="Panama"/>
        <s v="Mexico"/>
        <s v="Taiwan"/>
        <s v="People's Republic of China"/>
        <s v="Philippines"/>
        <s v="Brazil"/>
        <s v="Peru"/>
        <s v="United States of America"/>
        <s v="Antarctica"/>
        <s v="Haiti"/>
        <s v="Japan"/>
        <s v="Mongolia"/>
        <s v="Greece"/>
        <s v="Chile"/>
        <s v="Russia"/>
        <s v="Turkey"/>
        <s v="United Kingdom of Great Britain and Northern Ireland (the)"/>
        <s v="South Georgia and the South Sandwich Islands"/>
        <s v="Venezuela"/>
        <s v="Bolivia"/>
        <s v="Costa Rica"/>
        <s v="Iran"/>
        <s v="Guatemala"/>
        <s v="Botswana"/>
        <s v="New Zealand"/>
        <s v="Italy"/>
        <s v="Myanmar"/>
        <s v="India"/>
        <s v="Nepal"/>
        <s v="Nicaragua"/>
        <s v="Pakistan"/>
        <s v="Canada"/>
        <s v="Tonga"/>
        <s v="Kyrgyzstan"/>
        <s v="Martinique"/>
        <s v="Mozambique"/>
        <s v="Tanzania"/>
        <s v="Algeria"/>
        <s v="El Salvador"/>
        <s v="Turkmenistan"/>
        <s v="Azerbaijan"/>
        <s v="Iceland"/>
        <s v="Trinidad and Tobago"/>
        <s v="Saudi Arabia"/>
      </sharedItems>
    </cacheField>
    <cacheField name="date_time_converted" numFmtId="164">
      <sharedItems containsSemiMixedTypes="0" containsDate="1" containsString="0">
        <d v="2023-08-16T12:47:00Z"/>
        <d v="2023-07-19T00:22:00Z"/>
        <d v="2023-07-17T03:05:00Z"/>
        <d v="2023-07-16T06:48:00Z"/>
        <d v="2023-07-10T20:28:00Z"/>
        <d v="2023-07-02T10:27:00Z"/>
        <d v="2023-06-15T18:06:00Z"/>
        <d v="2023-05-25T03:05:00Z"/>
        <d v="2023-05-20T01:51:00Z"/>
        <d v="2023-05-19T02:57:00Z"/>
        <d v="2023-05-10T16:02:00Z"/>
        <d v="2023-04-28T03:13:00Z"/>
        <d v="2023-04-24T20:00:00Z"/>
        <d v="2023-04-24T00:41:00Z"/>
        <d v="2023-04-18T04:31:00Z"/>
        <d v="2023-04-14T09:55:00Z"/>
        <d v="2023-04-03T03:06:00Z"/>
        <d v="2023-04-02T18:04:00Z"/>
        <d v="2023-03-22T16:00:00Z"/>
        <d v="2023-03-21T16:47:00Z"/>
        <d v="2023-03-18T17:12:00Z"/>
        <d v="2023-03-16T00:56:00Z"/>
        <d v="2023-03-04T06:41:00Z"/>
        <d v="2023-03-02T18:04:00Z"/>
        <d v="2023-03-01T05:36:00Z"/>
        <d v="2023-02-23T00:37:00Z"/>
        <d v="2023-02-06T10:24:00Z"/>
        <d v="2023-02-06T01:28:00Z"/>
        <d v="2023-02-06T01:17:00Z"/>
        <d v="2023-01-20T22:09:00Z"/>
        <d v="2023-01-18T06:06:00Z"/>
        <d v="2023-01-09T17:47:00Z"/>
        <d v="2023-01-08T12:32:00Z"/>
        <d v="2022-12-04T19:24:00Z"/>
        <d v="2022-11-22T02:03:00Z"/>
        <d v="2022-11-18T13:37:00Z"/>
        <d v="2022-11-12T07:09:00Z"/>
        <d v="2022-11-11T10:48:00Z"/>
        <d v="2022-11-09T10:14:00Z"/>
        <d v="2022-11-09T09:51:00Z"/>
        <d v="2022-11-09T09:38:00Z"/>
        <d v="2022-10-20T11:57:00Z"/>
        <d v="2022-09-22T06:16:00Z"/>
        <d v="2022-09-19T18:05:00Z"/>
        <d v="2022-09-18T06:44:00Z"/>
        <d v="2022-09-17T13:41:00Z"/>
        <d v="2022-09-14T11:04:00Z"/>
        <d v="2022-09-10T23:47:00Z"/>
        <d v="2022-09-05T04:52:00Z"/>
        <d v="2022-08-14T13:44:00Z"/>
        <d v="2022-07-27T00:43:00Z"/>
        <d v="2022-06-08T00:55:00Z"/>
        <d v="2022-05-26T12:02:00Z"/>
        <d v="2022-05-19T10:13:00Z"/>
        <d v="2022-05-10T23:06:00Z"/>
        <d v="2022-04-21T07:42:00Z"/>
        <d v="2022-03-31T05:44:00Z"/>
        <d v="2022-03-30T20:56:00Z"/>
        <d v="2022-03-22T17:41:00Z"/>
        <d v="2022-03-16T14:36:00Z"/>
        <d v="2022-03-13T21:09:00Z"/>
        <d v="2022-03-02T12:52:00Z"/>
        <d v="2022-02-16T20:21:00Z"/>
        <d v="2022-02-03T15:58:00Z"/>
        <d v="2022-01-29T02:46:00Z"/>
        <d v="2022-01-14T09:05:00Z"/>
        <d v="2022-01-11T12:39:00Z"/>
        <d v="2022-01-11T11:35:00Z"/>
        <d v="2022-01-11T01:07:00Z"/>
        <d v="2022-01-07T17:45:00Z"/>
        <d v="2021-12-29T18:25:00Z"/>
        <d v="2021-12-14T03:20:00Z"/>
        <d v="2021-11-28T10:52:00Z"/>
        <d v="2021-11-10T15:45:00Z"/>
        <d v="2021-10-11T09:10:00Z"/>
        <d v="2021-10-09T10:58:00Z"/>
        <d v="2021-10-02T06:29:00Z"/>
        <d v="2021-09-22T09:57:00Z"/>
        <d v="2021-09-08T01:47:00Z"/>
        <d v="2021-08-22T21:33:00Z"/>
        <d v="2021-08-22T00:45:00Z"/>
        <d v="2021-08-18T10:10:00Z"/>
        <d v="2021-08-16T11:10:00Z"/>
        <d v="2021-08-14T12:29:00Z"/>
        <d v="2021-08-14T11:57:00Z"/>
        <d v="2021-08-12T18:35:00Z"/>
        <d v="2021-08-12T18:32:00Z"/>
        <d v="2021-08-11T17:46:00Z"/>
        <d v="2021-07-29T06:15:00Z"/>
        <d v="2021-07-23T20:48:00Z"/>
        <d v="2021-07-21T21:15:00Z"/>
        <d v="2021-06-20T17:05:00Z"/>
        <d v="2021-05-21T22:13:00Z"/>
        <d v="2021-05-21T18:04:00Z"/>
        <d v="2021-05-14T06:33:00Z"/>
        <d v="2021-05-12T14:05:00Z"/>
        <d v="2021-05-01T01:27:00Z"/>
        <d v="2021-04-25T22:28:00Z"/>
        <d v="2021-04-24T00:23:00Z"/>
        <d v="2021-03-20T09:09:00Z"/>
        <d v="2021-03-16T18:38:00Z"/>
        <d v="2021-03-04T23:12:00Z"/>
        <d v="2021-03-04T19:28:00Z"/>
        <d v="2021-03-04T17:41:00Z"/>
        <d v="2021-03-04T13:27:00Z"/>
        <d v="2021-02-13T14:07:00Z"/>
        <d v="2021-02-10T13:19:00Z"/>
        <d v="2021-01-23T23:36:00Z"/>
        <d v="2021-01-21T12:23:00Z"/>
        <d v="2021-01-11T21:32:00Z"/>
        <d v="2020-12-27T21:39:00Z"/>
        <d v="2020-10-30T11:51:00Z"/>
        <d v="2020-10-19T20:54:00Z"/>
        <d v="2020-09-18T21:43:00Z"/>
        <d v="2020-09-01T21:09:00Z"/>
        <d v="2020-09-01T04:09:00Z"/>
        <d v="2020-08-30T21:20:00Z"/>
        <d v="2020-08-21T04:09:00Z"/>
        <d v="2020-08-18T22:29:00Z"/>
        <d v="2020-08-18T22:23:00Z"/>
        <d v="2020-08-18T00:03:00Z"/>
        <d v="2020-07-22T06:12:00Z"/>
        <d v="2020-07-17T02:50:00Z"/>
        <d v="2020-07-06T22:54:00Z"/>
        <d v="2020-06-23T15:29:00Z"/>
        <d v="2020-06-18T12:49:00Z"/>
        <d v="2020-06-13T15:51:00Z"/>
        <d v="2020-06-03T07:35:00Z"/>
        <d v="2020-05-15T11:03:00Z"/>
        <d v="2020-05-12T22:41:00Z"/>
        <d v="2020-05-06T13:53:00Z"/>
        <d v="2020-05-02T12:51:00Z"/>
        <d v="2020-03-31T23:52:00Z"/>
        <d v="2020-03-25T02:49:00Z"/>
        <d v="2020-02-13T10:33:00Z"/>
        <d v="2020-01-28T19:10:00Z"/>
        <d v="2020-01-24T17:55:00Z"/>
        <d v="2019-12-15T06:11:00Z"/>
        <d v="2019-11-14T16:17:00Z"/>
        <d v="2019-11-08T10:44:00Z"/>
        <d v="2019-11-04T22:43:00Z"/>
        <d v="2019-10-31T01:11:00Z"/>
        <d v="2019-10-29T01:04:00Z"/>
        <d v="2019-09-29T15:57:00Z"/>
        <d v="2019-09-25T23:46:00Z"/>
        <d v="2019-09-01T15:54:00Z"/>
        <d v="2019-08-27T23:55:00Z"/>
        <d v="2019-08-02T12:03:00Z"/>
        <d v="2019-08-01T18:28:00Z"/>
        <d v="2019-07-31T15:02:00Z"/>
        <d v="2019-07-14T09:10:00Z"/>
        <d v="2019-07-14T05:39:00Z"/>
        <d v="2019-07-07T15:08:00Z"/>
        <d v="2019-07-06T03:19:00Z"/>
        <d v="2019-06-24T02:53:00Z"/>
        <d v="2019-06-15T22:55:00Z"/>
        <d v="2019-05-30T09:03:00Z"/>
        <d v="2019-05-26T07:41:00Z"/>
        <d v="2019-05-14T12:58:00Z"/>
        <d v="2019-05-06T21:19:00Z"/>
        <d v="2019-04-12T11:40:00Z"/>
        <d v="2019-04-09T17:53:00Z"/>
        <d v="2019-03-01T08:50:00Z"/>
        <d v="2019-02-22T10:17:00Z"/>
        <d v="2019-02-01T16:14:00Z"/>
        <d v="2019-01-22T19:01:00Z"/>
        <d v="2019-01-20T01:32:00Z"/>
        <d v="2019-01-15T18:06:00Z"/>
        <d v="2019-01-06T17:27:00Z"/>
        <d v="2019-01-05T19:25:00Z"/>
        <d v="2018-12-29T03:39:00Z"/>
        <d v="2018-12-20T17:01:00Z"/>
        <d v="2018-12-11T02:26:00Z"/>
        <d v="2018-12-05T06:43:00Z"/>
        <d v="2018-12-05T04:18:00Z"/>
        <d v="2018-11-30T17:29:00Z"/>
        <d v="2018-11-18T20:25:00Z"/>
        <d v="2018-11-09T01:49:00Z"/>
        <d v="2018-10-25T22:54:00Z"/>
        <d v="2018-10-22T06:22:00Z"/>
        <d v="2018-10-22T06:16:00Z"/>
        <d v="2018-10-22T05:39:00Z"/>
        <d v="2018-10-16T01:03:00Z"/>
        <d v="2018-10-13T11:10:00Z"/>
        <d v="2018-10-10T23:16:00Z"/>
        <d v="2018-10-10T20:48:00Z"/>
        <d v="2018-09-30T10:52:00Z"/>
        <d v="2018-09-28T10:02:00Z"/>
        <d v="2018-09-16T21:11:00Z"/>
        <d v="2018-09-10T04:19:00Z"/>
        <d v="2018-09-09T19:31:00Z"/>
        <d v="2018-09-06T15:49:00Z"/>
        <d v="2018-09-05T18:07:00Z"/>
        <d v="2018-08-29T03:51:00Z"/>
        <d v="2018-08-24T09:04:00Z"/>
        <d v="2018-08-21T22:32:00Z"/>
        <d v="2018-08-21T21:31:00Z"/>
        <d v="2018-08-19T14:56:00Z"/>
        <d v="2018-08-19T00:19:00Z"/>
        <d v="2018-08-17T15:35:00Z"/>
        <d v="2018-08-15T21:56:00Z"/>
        <d v="2018-08-05T11:46:00Z"/>
        <d v="2018-05-04T22:32:00Z"/>
        <d v="2018-04-02T13:40:00Z"/>
        <d v="2018-03-29T21:25:00Z"/>
        <d v="2018-03-26T09:51:00Z"/>
        <d v="2018-03-08T17:39:00Z"/>
        <d v="2018-03-06T14:13:00Z"/>
        <d v="2018-02-25T17:44:00Z"/>
        <d v="2018-02-16T23:39:00Z"/>
        <d v="2018-01-23T09:31:00Z"/>
        <d v="2018-01-14T09:18:00Z"/>
        <d v="2018-01-10T02:51:00Z"/>
        <d v="2017-12-15T16:47:00Z"/>
        <d v="2017-12-13T18:03:00Z"/>
        <d v="2017-11-19T22:43:00Z"/>
        <d v="2017-11-19T15:09:00Z"/>
        <d v="2017-11-13T02:28:00Z"/>
        <d v="2017-11-12T18:18:00Z"/>
        <d v="2017-11-07T21:26:00Z"/>
        <d v="2017-11-04T09:00:00Z"/>
        <d v="2017-11-01T02:23:00Z"/>
        <d v="2017-10-31T00:42:00Z"/>
        <d v="2017-10-24T10:47:00Z"/>
        <d v="2017-10-08T22:34:00Z"/>
        <d v="2017-09-19T18:14:00Z"/>
        <d v="2017-09-08T04:49:00Z"/>
        <d v="2017-08-08T13:19:00Z"/>
        <d v="2017-07-20T22:31:00Z"/>
        <d v="2017-07-17T23:34:00Z"/>
        <d v="2017-07-11T07:00:00Z"/>
        <d v="2017-07-06T08:03:00Z"/>
        <d v="2017-06-22T12:31:00Z"/>
        <d v="2017-06-14T07:29:00Z"/>
        <d v="2017-06-02T22:24:00Z"/>
        <d v="2017-05-29T14:35:00Z"/>
        <d v="2017-05-10T23:23:00Z"/>
        <d v="2017-05-09T13:52:00Z"/>
        <d v="2017-04-28T20:23:00Z"/>
        <d v="2017-04-24T21:38:00Z"/>
        <d v="2017-04-03T17:40:00Z"/>
        <d v="2017-03-29T04:09:00Z"/>
        <d v="2017-02-24T17:28:00Z"/>
        <d v="2017-02-21T14:09:00Z"/>
        <d v="2017-02-10T14:03:00Z"/>
        <d v="2017-01-22T04:30:00Z"/>
        <d v="2017-01-19T23:04:00Z"/>
        <d v="2017-01-10T06:13:00Z"/>
        <d v="2017-01-03T21:52:00Z"/>
        <d v="2016-12-25T14:22:00Z"/>
        <d v="2016-12-21T00:17:00Z"/>
        <d v="2016-12-17T10:51:00Z"/>
        <d v="2016-12-09T19:10:00Z"/>
        <d v="2016-12-08T21:56:00Z"/>
        <d v="2016-12-08T17:38:00Z"/>
        <d v="2016-12-08T14:49:00Z"/>
        <d v="2016-12-06T22:03:00Z"/>
        <d v="2016-11-25T14:24:00Z"/>
        <d v="2016-11-24T18:43:00Z"/>
        <d v="2016-11-21T20:59:00Z"/>
        <d v="2016-11-14T00:34:00Z"/>
        <d v="2016-11-13T11:32:00Z"/>
        <d v="2016-11-13T11:02:00Z"/>
        <d v="2016-10-30T06:40:00Z"/>
        <d v="2016-10-19T00:26:00Z"/>
        <d v="2016-10-17T06:14:00Z"/>
        <d v="2016-09-24T21:28:00Z"/>
        <d v="2016-09-01T16:37:00Z"/>
        <d v="2016-08-31T03:11:00Z"/>
        <d v="2016-08-24T10:34:00Z"/>
        <d v="2016-08-12T01:26:00Z"/>
        <d v="2016-07-29T21:18:00Z"/>
        <d v="2016-06-01T22:56:00Z"/>
        <d v="2016-05-28T09:46:00Z"/>
        <d v="2016-05-28T05:38:00Z"/>
        <d v="2016-05-18T16:46:00Z"/>
        <d v="2016-05-18T07:57:00Z"/>
        <d v="2016-04-28T19:33:00Z"/>
        <d v="2016-04-16T23:58:00Z"/>
        <d v="2016-04-15T16:25:00Z"/>
        <d v="2016-04-13T13:55:00Z"/>
        <d v="2016-04-10T10:28:00Z"/>
        <d v="2016-04-07T03:32:00Z"/>
        <d v="2016-04-06T06:58:00Z"/>
        <d v="2016-04-03T08:23:00Z"/>
        <d v="2016-03-02T12:49:00Z"/>
        <d v="2016-01-30T03:25:00Z"/>
        <d v="2016-01-24T10:30:00Z"/>
        <d v="2016-01-21T18:06:00Z"/>
        <d v="2016-01-14T03:25:00Z"/>
        <d v="2016-01-11T16:38:00Z"/>
        <d v="2016-01-03T23:05:00Z"/>
        <d v="2015-12-17T19:49:00Z"/>
        <d v="2015-12-09T10:21:00Z"/>
        <d v="2015-12-07T07:50:00Z"/>
        <d v="2015-11-26T05:45:00Z"/>
        <d v="2015-11-24T22:50:00Z"/>
        <d v="2015-11-24T22:45:00Z"/>
        <d v="2015-11-18T18:31:00Z"/>
        <d v="2015-11-17T07:10:00Z"/>
        <d v="2015-11-13T20:51:00Z"/>
        <d v="2015-11-11T02:46:00Z"/>
        <d v="2015-11-11T01:54:00Z"/>
        <d v="2015-11-08T16:47:00Z"/>
        <d v="2015-11-07T07:31:00Z"/>
        <d v="2015-11-04T03:44:00Z"/>
        <d v="2015-10-26T09:09:00Z"/>
        <d v="2015-10-20T21:52:00Z"/>
        <d v="2015-09-24T15:53:00Z"/>
        <d v="2015-09-21T17:40:00Z"/>
        <d v="2015-09-17T04:10:00Z"/>
        <d v="2015-09-17T03:55:00Z"/>
        <d v="2015-09-16T23:18:00Z"/>
        <d v="2015-09-16T22:54:00Z"/>
        <d v="2015-09-13T08:14:00Z"/>
        <d v="2015-08-12T18:49:00Z"/>
        <d v="2015-08-10T04:12:00Z"/>
        <d v="2015-07-27T21:41:00Z"/>
        <d v="2015-07-27T04:49:00Z"/>
        <d v="2015-07-18T02:27:00Z"/>
        <d v="2015-07-16T15:16:00Z"/>
        <d v="2015-07-10T04:12:00Z"/>
        <d v="2015-06-23T12:18:00Z"/>
        <d v="2015-05-30T11:23:00Z"/>
        <d v="2015-05-29T07:00:00Z"/>
        <d v="2015-05-22T23:59:00Z"/>
        <d v="2015-05-22T21:45:00Z"/>
        <d v="2015-05-20T22:48:00Z"/>
        <d v="2015-05-12T21:12:00Z"/>
        <d v="2015-05-12T07:05:00Z"/>
        <d v="2015-05-07T07:10:00Z"/>
        <d v="2015-05-05T01:44:00Z"/>
        <d v="2015-05-01T08:06:00Z"/>
        <d v="2015-04-30T10:45:00Z"/>
        <d v="2015-04-26T07:09:00Z"/>
        <d v="2015-04-25T06:45:00Z"/>
        <d v="2015-04-25T06:11:00Z"/>
        <d v="2015-04-17T15:52:00Z"/>
        <d v="2015-03-30T08:48:00Z"/>
        <d v="2015-03-29T23:48:00Z"/>
        <d v="2015-02-27T13:45:00Z"/>
        <d v="2015-02-16T23:06:00Z"/>
        <d v="2015-02-11T18:57:00Z"/>
        <d v="2015-01-23T03:47:00Z"/>
        <d v="2015-01-07T05:07:00Z"/>
        <d v="2014-12-08T08:54:00Z"/>
        <d v="2014-12-07T01:22:00Z"/>
        <d v="2014-12-02T05:11:00Z"/>
        <d v="2014-11-26T14:33:00Z"/>
        <d v="2014-11-21T10:10:00Z"/>
        <d v="2014-11-16T22:33:00Z"/>
        <d v="2014-11-15T02:31:00Z"/>
        <d v="2014-11-07T03:33:00Z"/>
        <d v="2014-11-01T18:57:00Z"/>
        <d v="2014-10-14T03:51:00Z"/>
        <d v="2014-09-17T06:14:00Z"/>
        <d v="2014-08-24T23:21:00Z"/>
        <d v="2014-08-03T00:22:00Z"/>
        <d v="2014-07-21T14:54:00Z"/>
        <d v="2014-07-11T19:22:00Z"/>
        <d v="2014-07-07T11:23:00Z"/>
        <d v="2014-07-04T15:00:00Z"/>
        <d v="2014-06-29T17:15:00Z"/>
        <d v="2014-06-29T07:52:00Z"/>
        <d v="2014-06-23T20:53:00Z"/>
        <d v="2014-06-23T20:06:00Z"/>
        <d v="2014-06-23T19:21:00Z"/>
        <d v="2014-06-23T19:19:00Z"/>
        <d v="2014-05-24T09:25:00Z"/>
        <d v="2014-05-13T06:35:00Z"/>
        <d v="2014-05-01T06:36:00Z"/>
        <d v="2014-04-24T03:10:00Z"/>
        <d v="2014-04-19T13:28:00Z"/>
        <d v="2014-04-19T01:04:00Z"/>
        <d v="2014-04-18T14:27:00Z"/>
        <d v="2014-04-13T13:24:00Z"/>
        <d v="2014-04-13T12:36:00Z"/>
        <d v="2014-04-12T20:14:00Z"/>
        <d v="2014-04-11T20:29:00Z"/>
        <d v="2014-04-11T08:16:00Z"/>
        <d v="2014-04-11T07:07:00Z"/>
        <d v="2014-04-03T02:43:00Z"/>
        <d v="2014-04-03T01:58:00Z"/>
        <d v="2014-04-01T23:57:00Z"/>
        <d v="2014-04-01T23:46:00Z"/>
        <d v="2014-03-16T21:16:00Z"/>
        <d v="2014-03-10T05:18:00Z"/>
        <d v="2014-03-02T20:11:00Z"/>
        <d v="2014-02-18T09:27:00Z"/>
        <d v="2014-02-12T09:19:00Z"/>
        <d v="2014-02-07T08:40:00Z"/>
        <d v="2014-02-02T09:26:00Z"/>
        <d v="2014-01-01T16:03:00Z"/>
        <d v="2013-11-23T07:48:00Z"/>
        <d v="2013-11-17T09:04:00Z"/>
        <d v="2013-11-16T03:34:00Z"/>
        <d v="2013-10-31T23:03:00Z"/>
        <d v="2013-10-25T17:10:00Z"/>
        <d v="2013-10-19T17:54:00Z"/>
        <d v="2013-10-16T10:30:00Z"/>
        <d v="2013-10-15T00:12:00Z"/>
        <d v="2013-10-12T13:11:00Z"/>
        <d v="2013-10-01T03:38:00Z"/>
        <d v="2013-09-30T05:55:00Z"/>
        <d v="2013-09-28T07:34:00Z"/>
        <d v="2013-09-25T16:42:00Z"/>
        <d v="2013-09-24T11:29:00Z"/>
        <d v="2013-09-04T02:32:00Z"/>
        <d v="2013-09-04T00:18:00Z"/>
        <d v="2013-09-01T11:52:00Z"/>
        <d v="2013-08-30T16:25:00Z"/>
        <d v="2013-08-16T02:31:00Z"/>
        <d v="2013-08-13T15:43:00Z"/>
        <d v="2013-07-21T05:09:00Z"/>
        <d v="2013-07-15T14:03:00Z"/>
        <d v="2013-07-07T20:30:00Z"/>
        <d v="2013-07-07T18:35:00Z"/>
        <d v="2013-06-24T22:04:00Z"/>
        <d v="2013-06-15T17:34:00Z"/>
        <d v="2013-06-13T16:47:00Z"/>
        <d v="2013-05-24T14:56:00Z"/>
        <d v="2013-05-24T05:44:00Z"/>
        <d v="2013-05-23T17:19:00Z"/>
        <d v="2013-05-14T00:32:00Z"/>
        <d v="2013-04-23T23:14:00Z"/>
        <d v="2013-04-20T00:02:00Z"/>
        <d v="2013-04-19T03:05:00Z"/>
        <d v="2013-04-16T22:55:00Z"/>
        <d v="2013-04-16T10:44:00Z"/>
        <d v="2013-04-14T01:32:00Z"/>
        <d v="2013-04-06T04:42:00Z"/>
        <d v="2013-03-10T22:51:00Z"/>
        <d v="2013-03-01T13:20:00Z"/>
        <d v="2013-02-28T14:05:00Z"/>
        <d v="2013-02-14T13:13:00Z"/>
        <d v="2013-02-09T21:02:00Z"/>
        <d v="2013-02-09T14:16:00Z"/>
        <d v="2013-02-08T15:26:00Z"/>
        <d v="2013-02-08T11:12:00Z"/>
        <d v="2013-02-07T18:59:00Z"/>
        <d v="2013-02-06T01:54:00Z"/>
        <d v="2013-02-06T01:23:00Z"/>
        <d v="2013-02-06T01:12:00Z"/>
        <d v="2013-02-02T14:17:00Z"/>
        <d v="2013-01-30T20:15:00Z"/>
        <d v="2013-01-05T08:58:00Z"/>
        <d v="2012-12-21T22:28:00Z"/>
        <d v="2012-12-10T16:53:00Z"/>
        <d v="2012-12-07T08:18:00Z"/>
        <d v="2012-11-11T22:14:00Z"/>
        <d v="2012-11-11T01:12:00Z"/>
        <d v="2012-11-07T16:35:00Z"/>
        <d v="2012-10-28T03:04:00Z"/>
        <d v="2012-10-24T00:45:00Z"/>
        <d v="2012-10-12T00:31:00Z"/>
        <d v="2012-09-30T16:31:00Z"/>
        <d v="2012-09-05T14:42:00Z"/>
        <d v="2012-08-31T12:47:00Z"/>
        <d v="2012-08-27T04:37:00Z"/>
        <d v="2012-08-26T15:05:00Z"/>
        <d v="2012-08-14T02:59:00Z"/>
        <d v="2012-07-28T20:03:00Z"/>
        <d v="2012-04-28T10:08:00Z"/>
        <d v="2012-04-21T01:16:00Z"/>
        <d v="2012-04-17T07:13:00Z"/>
        <d v="2012-04-17T03:50:00Z"/>
        <d v="2012-04-12T07:15:00Z"/>
        <d v="2012-04-11T22:55:00Z"/>
        <d v="2012-04-11T10:43:00Z"/>
        <d v="2012-04-11T08:38:00Z"/>
        <d v="2012-03-25T22:37:00Z"/>
        <d v="2012-03-21T22:15:00Z"/>
        <d v="2012-03-20T18:02:00Z"/>
        <d v="2012-02-26T06:17:00Z"/>
        <d v="2012-02-06T03:49:00Z"/>
        <d v="2012-02-02T13:34:00Z"/>
        <d v="2012-01-10T18:36:00Z"/>
        <d v="2011-12-27T15:21:00Z"/>
        <d v="2011-12-14T05:04:00Z"/>
        <d v="2011-12-11T01:47:00Z"/>
        <d v="2011-10-28T18:54:00Z"/>
        <d v="2011-10-23T10:41:00Z"/>
        <d v="2011-10-14T03:35:00Z"/>
        <d v="2011-09-18T12:40:00Z"/>
        <d v="2011-09-16T19:26:00Z"/>
        <d v="2011-09-05T17:55:00Z"/>
        <d v="2011-09-03T22:55:00Z"/>
        <d v="2011-08-24T17:46:00Z"/>
        <d v="2011-08-20T18:19:00Z"/>
        <d v="2011-08-20T17:13:00Z"/>
        <d v="2011-08-20T16:55:00Z"/>
        <d v="2011-07-31T23:38:00Z"/>
        <d v="2011-07-06T19:03:00Z"/>
        <d v="2011-06-22T21:50:00Z"/>
        <d v="2011-05-10T08:55:00Z"/>
        <d v="2011-04-23T04:16:00Z"/>
        <d v="2011-04-11T08:16:00Z"/>
        <d v="2011-04-07T14:32:00Z"/>
        <d v="2011-04-07T13:11:00Z"/>
        <d v="2011-03-24T13:55:00Z"/>
        <d v="2011-03-11T11:36:00Z"/>
        <d v="2011-03-11T08:19:00Z"/>
        <d v="2011-03-11T06:25:00Z"/>
        <d v="2011-03-11T06:15:00Z"/>
        <d v="2011-03-11T05:46:00Z"/>
        <d v="2011-03-09T02:45:00Z"/>
        <d v="2011-02-14T03:40:00Z"/>
        <d v="2011-02-11T20:05:00Z"/>
        <d v="2011-01-18T20:23:00Z"/>
        <d v="2011-01-13T16:16:00Z"/>
        <d v="2011-01-02T20:20:00Z"/>
        <d v="2010-12-25T13:16:00Z"/>
        <d v="2010-12-20T18:41:00Z"/>
        <d v="2010-12-02T03:12:00Z"/>
        <d v="2010-10-25T14:42:00Z"/>
        <d v="2010-10-21T17:53:00Z"/>
        <d v="2010-09-29T17:11:00Z"/>
        <d v="2010-09-03T16:35:00Z"/>
        <d v="2010-08-12T11:54:00Z"/>
        <d v="2010-08-10T05:23:00Z"/>
        <d v="2010-08-04T22:01:00Z"/>
        <d v="2010-08-04T07:15:00Z"/>
        <d v="2010-07-23T22:51:00Z"/>
        <d v="2010-07-18T13:34:00Z"/>
        <d v="2010-07-18T13:04:00Z"/>
        <d v="2010-07-14T08:32:00Z"/>
        <d v="2010-06-26T05:30:00Z"/>
        <d v="2010-06-16T03:58:00Z"/>
        <d v="2010-06-16T03:16:00Z"/>
        <d v="2010-06-12T19:26:00Z"/>
        <d v="2010-05-27T17:14:00Z"/>
        <d v="2010-05-09T05:59:00Z"/>
        <d v="2010-04-13T23:49:00Z"/>
        <d v="2010-04-11T09:40:00Z"/>
        <d v="2010-04-06T22:15:00Z"/>
        <d v="2010-04-04T22:40:00Z"/>
        <d v="2010-03-30T16:54:00Z"/>
        <d v="2010-03-16T02:21:00Z"/>
        <d v="2010-03-14T08:08:00Z"/>
        <d v="2010-03-11T14:55:00Z"/>
        <d v="2010-03-11T14:39:00Z"/>
        <d v="2010-03-05T16:07:00Z"/>
        <d v="2010-03-05T11:47:00Z"/>
        <d v="2010-03-04T14:02:00Z"/>
        <d v="2010-02-27T08:01:00Z"/>
        <d v="2010-02-27T06:34:00Z"/>
        <d v="2010-02-26T20:31:00Z"/>
        <d v="2010-01-12T21:53:00Z"/>
        <d v="2010-01-10T00:27:00Z"/>
        <d v="2010-01-05T12:15:00Z"/>
        <d v="2010-01-03T22:36:00Z"/>
        <d v="2010-01-03T21:48:00Z"/>
        <d v="2009-11-13T03:05:00Z"/>
        <d v="2009-11-09T10:44:00Z"/>
        <d v="2009-11-08T19:41:00Z"/>
        <d v="2009-10-30T07:03:00Z"/>
        <d v="2009-10-24T14:40:00Z"/>
        <d v="2009-10-08T08:28:00Z"/>
        <d v="2009-10-07T23:13:00Z"/>
        <d v="2009-10-07T22:18:00Z"/>
        <d v="2009-10-07T22:03:00Z"/>
        <d v="2009-10-01T01:52:00Z"/>
        <d v="2009-09-30T10:16:00Z"/>
        <d v="2009-09-29T17:48:00Z"/>
        <d v="2009-09-02T07:55:00Z"/>
        <d v="2009-08-16T07:38:00Z"/>
        <d v="2009-08-12T22:48:00Z"/>
        <d v="2009-08-10T19:55:00Z"/>
        <d v="2009-08-09T10:55:00Z"/>
        <d v="2009-08-03T17:59:00Z"/>
        <d v="2009-07-15T09:22:00Z"/>
        <d v="2009-06-23T14:19:00Z"/>
        <d v="2009-05-28T08:24:00Z"/>
        <d v="2009-03-19T18:17:00Z"/>
        <d v="2009-02-11T17:34:00Z"/>
        <d v="2009-01-03T22:33:00Z"/>
        <d v="2009-01-03T20:23:00Z"/>
        <d v="2009-01-03T19:43:00Z"/>
        <d v="2008-11-16T17:02:00Z"/>
        <d v="2008-10-16T19:41:00Z"/>
        <d v="2008-10-05T15:52:00Z"/>
        <d v="2008-09-11T00:20:00Z"/>
        <d v="2008-09-11T00:00:00Z"/>
        <d v="2008-09-08T18:52:00Z"/>
        <d v="2008-08-25T13:21:00Z"/>
        <d v="2008-07-23T15:26:00Z"/>
        <d v="2008-07-19T02:39:00Z"/>
        <d v="2008-06-27T11:40:00Z"/>
        <d v="2008-06-13T23:43:00Z"/>
        <d v="2008-05-12T06:28:00Z"/>
        <d v="2008-05-07T16:45:00Z"/>
        <d v="2008-04-09T12:46:00Z"/>
        <d v="2008-03-20T22:32:00Z"/>
        <d v="2008-03-03T14:11:00Z"/>
        <d v="2008-02-25T21:02:00Z"/>
        <d v="2008-02-25T18:06:00Z"/>
        <d v="2008-02-25T08:36:00Z"/>
        <d v="2008-02-24T14:46:00Z"/>
        <d v="2008-02-20T08:08:00Z"/>
        <d v="2008-02-14T12:08:00Z"/>
        <d v="2008-02-14T10:09:00Z"/>
        <d v="2008-02-12T12:50:00Z"/>
        <d v="2007-12-20T07:55:00Z"/>
        <d v="2007-12-16T08:09:00Z"/>
        <d v="2007-11-29T19:00:00Z"/>
        <d v="2007-11-27T11:49:00Z"/>
        <d v="2007-11-25T19:53:00Z"/>
        <d v="2007-11-25T16:02:00Z"/>
        <d v="2007-11-22T08:48:00Z"/>
        <d v="2007-11-16T03:13:00Z"/>
        <d v="2007-11-15T15:05:00Z"/>
        <d v="2007-11-14T15:40:00Z"/>
        <d v="2007-10-24T21:02:00Z"/>
        <d v="2007-10-15T12:29:00Z"/>
        <d v="2007-09-26T12:36:00Z"/>
        <d v="2007-09-20T08:31:00Z"/>
        <d v="2007-09-13T03:35:00Z"/>
        <d v="2007-09-13T02:30:00Z"/>
        <d v="2007-09-12T23:49:00Z"/>
        <d v="2007-09-12T11:10:00Z"/>
        <d v="2007-09-10T01:49:00Z"/>
        <d v="2007-09-02T01:05:00Z"/>
        <d v="2007-08-16T08:39:00Z"/>
        <d v="2007-08-15T23:40:00Z"/>
        <d v="2007-08-08T17:05:00Z"/>
        <d v="2007-08-01T17:08:00Z"/>
        <d v="2007-07-26T05:40:00Z"/>
        <d v="2007-07-16T14:17:00Z"/>
        <d v="2007-07-16T01:13:00Z"/>
        <d v="2007-06-13T19:29:00Z"/>
        <d v="2007-04-01T21:11:00Z"/>
        <d v="2007-04-01T20:47:00Z"/>
        <d v="2007-04-01T20:39:00Z"/>
        <d v="2007-03-25T00:41:00Z"/>
        <d v="2007-03-25T00:40:00Z"/>
        <d v="2007-02-20T08:04:00Z"/>
        <d v="2007-01-21T11:27:00Z"/>
        <d v="2007-01-13T04:23:00Z"/>
        <d v="2006-12-26T12:34:00Z"/>
        <d v="2006-12-26T12:26:00Z"/>
        <d v="2006-11-15T11:14:00Z"/>
        <d v="2006-11-07T17:38:00Z"/>
        <d v="2006-10-20T10:48:00Z"/>
        <d v="2006-10-17T01:25:00Z"/>
        <d v="2006-10-15T17:07:00Z"/>
        <d v="2006-09-28T06:22:00Z"/>
        <d v="2006-09-01T10:18:00Z"/>
        <d v="2006-08-24T21:50:00Z"/>
        <d v="2006-08-07T22:18:00Z"/>
        <d v="2006-07-17T08:19:00Z"/>
        <d v="2006-05-28T03:12:00Z"/>
        <d v="2006-05-22T11:12:00Z"/>
        <d v="2006-05-16T15:28:00Z"/>
        <d v="2006-05-03T15:26:00Z"/>
        <d v="2006-04-30T21:40:00Z"/>
        <d v="2006-04-30T19:17:00Z"/>
        <d v="2006-04-29T16:58:00Z"/>
        <d v="2006-04-20T23:25:00Z"/>
        <d v="2006-04-07T08:30:00Z"/>
        <d v="2006-03-14T06:57:00Z"/>
        <d v="2006-02-22T22:19:00Z"/>
        <d v="2006-01-08T11:34:00Z"/>
        <d v="2006-01-04T08:32:00Z"/>
        <d v="2005-12-12T21:47:00Z"/>
        <d v="2005-12-05T12:19:00Z"/>
        <d v="2005-12-02T13:13:00Z"/>
        <d v="2005-11-19T14:10:00Z"/>
        <d v="2005-11-17T19:26:00Z"/>
        <d v="2005-10-08T03:50:00Z"/>
        <d v="2005-09-29T15:50:00Z"/>
        <d v="2005-09-26T01:55:00Z"/>
        <d v="2005-09-09T07:26:00Z"/>
        <d v="2005-08-16T02:46:00Z"/>
        <d v="2005-07-24T15:42:00Z"/>
        <d v="2005-07-05T01:52:00Z"/>
        <d v="2005-07-02T02:16:00Z"/>
        <d v="2005-06-15T02:50:00Z"/>
        <d v="2005-06-13T22:44:00Z"/>
        <d v="2005-05-19T01:54:00Z"/>
        <d v="2005-05-14T05:05:00Z"/>
        <d v="2005-04-10T11:14:00Z"/>
        <d v="2005-04-10T10:29:00Z"/>
        <d v="2005-03-28T16:09:00Z"/>
        <d v="2005-03-20T01:53:00Z"/>
        <d v="2005-03-02T10:42:00Z"/>
        <d v="2005-02-26T12:56:00Z"/>
        <d v="2005-02-19T00:04:00Z"/>
        <d v="2005-02-15T14:42:00Z"/>
        <d v="2005-02-08T14:48:00Z"/>
        <d v="2005-02-05T12:23:00Z"/>
        <d v="2005-01-19T06:11:00Z"/>
        <d v="2004-12-26T09:20:00Z"/>
        <d v="2004-12-26T04:21:00Z"/>
        <d v="2004-12-26T00:58:00Z"/>
        <d v="2004-12-23T14:59:00Z"/>
        <d v="2004-12-14T23:20:00Z"/>
        <d v="2004-12-06T14:15:00Z"/>
        <d v="2004-11-28T18:32:00Z"/>
        <d v="2004-11-26T02:25:00Z"/>
        <d v="2004-11-22T20:26:00Z"/>
        <d v="2004-11-15T09:06:00Z"/>
        <d v="2004-11-11T21:26:00Z"/>
        <d v="2004-11-11T17:34:00Z"/>
        <d v="2004-11-02T10:02:00Z"/>
        <d v="2004-10-23T08:56:00Z"/>
        <d v="2004-10-15T04:08:00Z"/>
        <d v="2004-10-09T21:26:00Z"/>
        <d v="2004-10-08T14:36:00Z"/>
        <d v="2004-10-08T08:27:00Z"/>
        <d v="2004-09-06T23:29:00Z"/>
        <d v="2004-09-05T14:57:00Z"/>
        <d v="2004-09-05T10:07:00Z"/>
        <d v="2004-08-28T13:41:00Z"/>
        <d v="2004-07-28T03:56:00Z"/>
        <d v="2004-06-10T15:19:00Z"/>
        <d v="2004-05-03T04:36:00Z"/>
        <d v="2004-04-23T01:50:00Z"/>
        <d v="2004-04-09T15:23:00Z"/>
        <d v="2004-04-05T21:24:00Z"/>
        <d v="2004-02-08T08:58:00Z"/>
        <d v="2004-02-07T02:42:00Z"/>
        <d v="2004-02-05T21:05:00Z"/>
        <d v="2004-01-28T22:15:00Z"/>
        <d v="2003-12-27T16:00:00Z"/>
        <d v="2003-12-26T01:56:00Z"/>
        <d v="2003-12-25T07:11:00Z"/>
        <d v="2003-12-22T19:15:00Z"/>
        <d v="2003-12-10T04:38:00Z"/>
        <d v="2003-11-25T20:19:00Z"/>
        <d v="2003-11-18T17:14:00Z"/>
        <d v="2003-11-06T10:38:00Z"/>
        <d v="2003-10-31T01:06:00Z"/>
        <d v="2003-10-08T09:06:00Z"/>
        <d v="2003-10-01T01:03:00Z"/>
        <d v="2003-09-29T02:36:00Z"/>
        <d v="2003-09-27T11:33:00Z"/>
        <d v="2003-09-25T21:08:00Z"/>
        <d v="2003-09-25T19:50:00Z"/>
        <d v="2003-09-21T18:16:00Z"/>
        <d v="2003-08-21T12:12:00Z"/>
        <d v="2003-08-04T04:37:00Z"/>
        <d v="2003-07-15T18:46:00Z"/>
        <d v="2003-06-20T13:30:00Z"/>
        <d v="2003-06-16T22:08:00Z"/>
        <d v="2003-06-07T00:32:00Z"/>
        <d v="2003-05-26T19:23:00Z"/>
        <d v="2003-05-26T09:24:00Z"/>
        <d v="2003-05-21T18:44:00Z"/>
        <d v="2003-03-25T02:53:00Z"/>
        <d v="2003-03-11T07:27:00Z"/>
        <d v="2003-01-22T02:06:00Z"/>
        <d v="2003-01-21T02:46:00Z"/>
        <d v="2003-01-20T08:43:00Z"/>
        <d v="2003-01-10T13:11:00Z"/>
        <d v="2002-12-12T08:30:00Z"/>
        <d v="2002-11-03T22:12:00Z"/>
        <d v="2002-11-02T01:26:00Z"/>
        <d v="2002-10-23T11:27:00Z"/>
        <d v="2002-10-10T12:28:00Z"/>
        <d v="2002-10-10T10:50:00Z"/>
        <d v="2002-09-13T22:28:00Z"/>
        <d v="2002-09-08T18:44:00Z"/>
        <d v="2002-08-14T13:57:00Z"/>
        <d v="2002-07-31T00:16:00Z"/>
        <d v="2002-06-22T02:58:00Z"/>
        <d v="2002-06-18T13:56:00Z"/>
        <d v="2002-06-17T21:26:00Z"/>
        <d v="2002-04-26T16:06:00Z"/>
        <d v="2002-04-18T16:08:00Z"/>
        <d v="2002-04-18T05:02:00Z"/>
        <d v="2002-03-31T06:52:00Z"/>
        <d v="2002-03-28T04:56:00Z"/>
        <d v="2002-03-05T21:16:00Z"/>
        <d v="2002-03-03T12:08:00Z"/>
        <d v="2002-02-05T13:27:00Z"/>
        <d v="2002-02-03T07:11:00Z"/>
        <d v="2002-01-10T11:14:00Z"/>
        <d v="2002-01-03T10:17:00Z"/>
        <d v="2002-01-02T17:22:00Z"/>
        <d v="2001-12-23T22:52:00Z"/>
        <d v="2001-12-18T04:02:00Z"/>
        <d v="2001-12-02T13:01:00Z"/>
        <d v="2001-11-14T09:26:00Z"/>
        <d v="2001-10-31T09:10:00Z"/>
        <d v="2001-10-19T03:28:00Z"/>
        <d v="2001-10-12T15:02:00Z"/>
        <d v="2001-09-11T14:56:00Z"/>
        <d v="2001-07-28T07:32:00Z"/>
        <d v="2001-07-26T00:21:00Z"/>
        <d v="2001-07-07T09:38:00Z"/>
        <d v="2001-07-05T13:53:00Z"/>
        <d v="2001-06-26T04:18:00Z"/>
        <d v="2001-06-23T20:33:00Z"/>
        <d v="2001-04-19T21:43:00Z"/>
        <d v="2001-03-24T06:27:00Z"/>
        <d v="2001-03-19T05:52:00Z"/>
        <d v="2001-02-28T18:54:00Z"/>
        <d v="2001-02-24T07:23:00Z"/>
        <d v="2001-02-13T19:28:00Z"/>
        <d v="2001-02-13T14:22:00Z"/>
        <d v="2001-01-26T03:16:00Z"/>
        <d v="2001-01-16T13:25:00Z"/>
        <d v="2001-01-13T17:33:00Z"/>
        <d v="2001-01-10T16:02:00Z"/>
        <d v="2001-01-09T16:49:00Z"/>
        <d v="2001-01-01T08:54:00Z"/>
        <d v="2001-01-01T06:57:00Z"/>
        <d v="2000-12-06T22:57:00Z"/>
        <d v="2000-12-06T17:11:00Z"/>
        <d v="2000-11-25T18:10:00Z"/>
        <d v="2000-11-25T18:09:00Z"/>
        <d v="2000-11-18T06:54:00Z"/>
        <d v="2000-11-18T02:05:00Z"/>
        <d v="2000-11-17T21:01:00Z"/>
        <d v="2000-11-16T07:45:00Z"/>
        <d v="2000-11-16T07:42:00Z"/>
        <d v="2000-11-16T04:54:00Z"/>
        <d v="2000-11-08T06:59:00Z"/>
        <d v="2000-10-29T08:37:00Z"/>
        <d v="2000-10-25T09:32:00Z"/>
        <d v="2000-10-06T04:30:00Z"/>
        <d v="2000-10-04T16:58:00Z"/>
        <d v="2000-10-02T02:25:00Z"/>
        <d v="2000-08-28T15:05:00Z"/>
        <d v="2000-08-09T11:41:00Z"/>
        <d v="2000-08-04T21:13:00Z"/>
        <d v="2000-08-03T01:09:00Z"/>
        <d v="2000-07-30T12:25:00Z"/>
        <d v="2000-07-16T03:57:00Z"/>
        <d v="2000-07-11T01:32:00Z"/>
        <d v="2000-06-21T00:51:00Z"/>
        <d v="2000-06-18T14:44:00Z"/>
        <d v="2000-06-17T15:40:00Z"/>
        <d v="2000-06-07T23:45:00Z"/>
        <d v="2000-06-04T16:39:00Z"/>
        <d v="2000-06-04T16:28:00Z"/>
        <d v="2000-05-12T18:43:00Z"/>
        <d v="2000-05-04T04:21:00Z"/>
        <d v="2000-03-03T22:22:00Z"/>
        <d v="2000-02-06T11:33:00Z"/>
        <d v="2000-01-28T14:21:00Z"/>
        <d v="2000-01-08T16:47:00Z"/>
        <d v="1999-12-29T13:29:00Z"/>
        <d v="1999-12-21T14:14:00Z"/>
        <d v="1999-12-11T18:03:00Z"/>
        <d v="1999-12-06T23:12:00Z"/>
        <d v="1999-11-30T04:01:00Z"/>
        <d v="1999-11-26T13:21:00Z"/>
        <d v="1999-11-19T13:56:00Z"/>
        <d v="1999-11-17T03:27:00Z"/>
        <d v="1999-11-12T16:57:00Z"/>
        <d v="1999-11-08T16:45:00Z"/>
        <d v="1999-10-16T09:46:00Z"/>
        <d v="1999-09-30T16:31:00Z"/>
        <d v="1999-09-25T23:52:00Z"/>
        <d v="1999-09-20T17:47:00Z"/>
        <d v="1999-08-22T12:40:00Z"/>
        <d v="1999-08-20T10:02:00Z"/>
        <d v="1999-08-17T00:01:00Z"/>
        <d v="1999-07-11T14:14:00Z"/>
        <d v="1999-06-15T20:42:00Z"/>
        <d v="1999-05-17T10:07:00Z"/>
        <d v="1999-05-16T00:51:00Z"/>
        <d v="1999-05-10T20:33:00Z"/>
        <d v="1999-04-13T10:38:00Z"/>
        <d v="1999-04-05T11:08:00Z"/>
        <d v="1999-04-03T06:17:00Z"/>
        <d v="1999-03-28T19:05:00Z"/>
        <d v="1999-03-20T10:47:00Z"/>
        <d v="1999-03-08T12:25:00Z"/>
        <d v="1999-03-04T08:52:00Z"/>
        <d v="1999-03-04T05:38:00Z"/>
        <d v="1999-02-06T21:47:00Z"/>
        <d v="1999-01-28T08:10:00Z"/>
        <d v="1999-01-19T03:35:00Z"/>
        <d v="1998-12-27T00:38:00Z"/>
        <d v="1998-11-29T14:10:00Z"/>
        <d v="1998-11-09T05:38:00Z"/>
        <d v="1998-11-09T05:30:00Z"/>
        <d v="1998-09-28T13:34:00Z"/>
        <d v="1998-09-03T17:37:00Z"/>
        <d v="1998-09-02T08:37:00Z"/>
        <d v="1998-08-04T18:59:00Z"/>
        <d v="1998-07-29T18:00:00Z"/>
        <d v="1998-07-17T08:49:00Z"/>
        <d v="1998-07-16T11:56:00Z"/>
        <d v="1998-05-30T06:22:00Z"/>
        <d v="1998-05-22T04:48:00Z"/>
        <d v="1998-05-21T05:34:00Z"/>
        <d v="1998-05-13T23:02:00Z"/>
        <d v="1998-05-03T23:30:00Z"/>
        <d v="1998-04-03T22:01:00Z"/>
        <d v="1998-04-01T17:56:00Z"/>
        <d v="1998-03-14T19:40:00Z"/>
        <d v="1998-01-30T12:16:00Z"/>
        <d v="1998-01-12T16:36:00Z"/>
        <d v="1998-01-12T10:14:00Z"/>
        <d v="1998-01-10T08:20:00Z"/>
        <d v="1997-12-22T02:05:00Z"/>
        <d v="1997-12-05T11:26:00Z"/>
        <d v="1997-11-25T12:14:00Z"/>
        <d v="1997-11-18T13:07:00Z"/>
        <d v="1997-11-15T18:59:00Z"/>
        <d v="1997-11-09T22:56:00Z"/>
        <d v="1997-11-08T10:02:00Z"/>
        <d v="1997-10-28T06:15:00Z"/>
        <d v="1997-10-15T01:03:00Z"/>
        <d v="1997-10-14T09:53:00Z"/>
        <d v="1997-10-06T12:30:00Z"/>
        <d v="1997-09-02T12:13:00Z"/>
        <d v="1997-08-29T08:14:00Z"/>
        <d v="1997-07-19T14:22:00Z"/>
        <d v="1997-07-09T19:24:00Z"/>
        <d v="1997-07-06T09:54:00Z"/>
        <d v="1997-05-22T07:50:00Z"/>
        <d v="1997-05-21T14:10:00Z"/>
        <d v="1997-05-13T14:13:00Z"/>
        <d v="1997-05-10T07:57:00Z"/>
        <d v="1997-04-23T19:44:00Z"/>
        <d v="1997-04-22T09:31:00Z"/>
        <d v="1997-04-21T12:02:00Z"/>
        <d v="1997-04-05T12:23:00Z"/>
        <d v="1997-03-11T19:22:00Z"/>
        <d v="1997-02-27T21:08:00Z"/>
        <d v="1997-02-04T10:37:00Z"/>
        <d v="1997-01-11T20:28:00Z"/>
        <d v="1996-12-22T14:53:00Z"/>
        <d v="1996-12-02T22:17:00Z"/>
        <d v="1996-11-19T10:44:00Z"/>
        <d v="1996-11-12T16:59:00Z"/>
        <d v="1996-10-19T14:44:00Z"/>
        <d v="1996-10-18T10:50:00Z"/>
        <d v="1996-10-14T23:26:00Z"/>
        <d v="1996-10-09T13:10:00Z"/>
        <d v="1996-09-20T04:11:00Z"/>
        <d v="1996-09-20T04:10:00Z"/>
        <d v="1996-09-05T23:42:00Z"/>
        <d v="1996-08-02T12:55:00Z"/>
        <d v="1996-07-22T14:19:00Z"/>
        <d v="1996-07-16T10:07:00Z"/>
        <d v="1996-07-15T21:23:00Z"/>
        <d v="1996-06-17T11:22:00Z"/>
        <d v="1996-06-11T18:22:00Z"/>
        <d v="1996-06-10T15:24:00Z"/>
        <d v="1996-06-10T04:03:00Z"/>
        <d v="1996-06-10T01:04:00Z"/>
        <d v="1996-04-29T14:40:00Z"/>
        <d v="1996-04-19T00:19:00Z"/>
        <d v="1996-03-17T14:48:00Z"/>
        <d v="1996-03-03T16:37:00Z"/>
        <d v="1996-03-03T14:55:00Z"/>
        <d v="1996-02-25T03:08:00Z"/>
        <d v="1996-02-21T12:51:00Z"/>
        <d v="1996-02-17T20:18:00Z"/>
        <d v="1996-02-17T14:21:00Z"/>
        <d v="1996-02-17T05:59:00Z"/>
        <d v="1996-02-16T15:22:00Z"/>
        <d v="1996-02-07T21:36:00Z"/>
        <d v="1996-02-03T11:14:00Z"/>
        <d v="1996-01-01T09:57:00Z"/>
        <d v="1996-01-01T08:05:00Z"/>
        <d v="1995-12-25T04:43:00Z"/>
        <d v="1995-12-19T23:28:00Z"/>
        <d v="1995-12-03T18:01:00Z"/>
        <d v="1995-11-22T04:15:00Z"/>
        <d v="1995-11-01T00:35:00Z"/>
        <d v="1995-10-21T02:38:00Z"/>
        <d v="1995-10-19T02:41:00Z"/>
        <d v="1995-10-18T10:37:00Z"/>
        <d v="1995-10-09T15:35:00Z"/>
        <d v="1995-10-06T18:09:00Z"/>
        <d v="1995-10-03T12:44:00Z"/>
        <d v="1995-10-03T01:51:00Z"/>
        <d v="1995-09-23T22:31:00Z"/>
        <d v="1995-09-14T14:04:00Z"/>
        <d v="1995-08-28T10:46:00Z"/>
        <d v="1995-08-19T21:43:00Z"/>
        <d v="1995-08-16T23:10:00Z"/>
        <d v="1995-08-16T16:24:00Z"/>
        <d v="1995-08-16T10:27:00Z"/>
        <d v="1995-08-14T04:37:00Z"/>
        <d v="1995-07-30T05:11:00Z"/>
        <d v="1995-07-11T21:46:00Z"/>
        <d v="1995-06-29T12:24:00Z"/>
        <d v="1995-06-15T00:15:00Z"/>
        <d v="1995-05-27T13:03:00Z"/>
        <d v="1995-05-16T20:12:00Z"/>
        <d v="1995-05-14T11:33:00Z"/>
        <d v="1995-05-13T08:47:00Z"/>
        <d v="1995-05-05T03:53:00Z"/>
      </sharedItems>
    </cacheField>
    <cacheField name="converted_is_number" numFmtId="0">
      <sharedItems>
        <b v="1"/>
      </sharedItems>
    </cacheField>
    <cacheField name="raw_date_is_number" numFmtId="0">
      <sharedItems>
        <b v="0"/>
        <b v="1"/>
      </sharedItems>
    </cacheField>
    <cacheField name="title_pattern" numFmtId="0">
      <sharedItems>
        <s v="Distance/Location"/>
        <s v="Named Region"/>
      </sharedItems>
    </cacheField>
    <cacheField name="magType_normalized" numFmtId="0">
      <sharedItems>
        <s v="mww"/>
        <s v="mi"/>
        <s v="mwc"/>
        <s v="mwb"/>
        <s v="ml"/>
        <s v="mw"/>
        <s v="ms"/>
        <s v="mb"/>
        <s v="md"/>
      </sharedItems>
    </cacheField>
    <cacheField name="duplicate_count" numFmtId="0">
      <sharedItems containsSemiMixedTypes="0" containsString="0" containsNumber="1" containsInteger="1">
        <n v="1.0"/>
        <n v="2.0"/>
      </sharedItems>
    </cacheField>
    <cacheField name="duplicate_flag" numFmtId="0">
      <sharedItems>
        <s v="Unique"/>
        <s v="Duplicate"/>
      </sharedItems>
    </cacheField>
    <cacheField name="date_status" numFmtId="0">
      <sharedItems>
        <s v="Vali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1" sheet="Raw_Data"/>
  </cacheSource>
  <cacheFields>
    <cacheField name="title" numFmtId="0">
      <sharedItems>
        <s v="M 6.5 - 42 km W of Sola, Vanuatu"/>
        <s v="M 6.5 - 43 km S of Intipucá, El Salvador"/>
        <s v="M 6.6 - 25 km ESE of Loncopué, Argentina"/>
        <s v="M 7.2 - 98 km S of Sand Point, Alaska"/>
        <s v="M 7.3 - Alaska Peninsula"/>
        <s v="M 6.6 - 277 km NNE of Codrington, Antigua and Barbuda"/>
        <s v="M 6.9 - Tonga"/>
        <s v="M 7.2 - south of the Fiji Islands"/>
        <s v="M 6.6 - Panama-Colombia border region"/>
        <s v="M 7.1 - southeast of the Loyalty Islands"/>
        <s v="M 7.7 - southeast of the Loyalty Islands"/>
        <s v="M 7.6 - 95 km WNW of Hihifo, Tonga"/>
        <s v="M 6.6 - south of the Fiji Islands"/>
        <s v="M 7.1 - 170 km SSE of Teluk Dalam, Indonesia"/>
        <s v="M 7.1 - Kermadec Islands, New Zealand"/>
        <s v="M 6.7 - south of the Fiji Islands"/>
        <s v="M 7.0 - 96 km N of Tuban, Indonesia"/>
        <s v="M 6.5 - near the east coast of the Kamchatka Peninsula, Russia"/>
        <s v="M 7.0 - New Guinea, Papua New Guinea"/>
        <s v="M 6.5 - 84 km NNW of San Antonio de los Cobres, Argentina"/>
        <s v="M 6.5 - 40 km SSE of Jurm, Afghanistan"/>
        <s v="M 6.8 - near the coast of Ecuador"/>
        <s v="M 7.0 - Kermadec Islands region"/>
        <s v="M 6.9 - Kermadec Islands, New Zealand"/>
        <s v="M 6.5 - 86 km WSW of Port-Olry, Vanuatu"/>
        <s v="M 6.5 - 108 km NW of Kimbe, Papua New Guinea"/>
        <s v="M 6.8 - 67 km W of Murghob, Tajikistan"/>
        <s v="M 7.5 - 4 km SSE of Ekinözü, Turkey"/>
        <s v="M 6.7 - 18 km ESE of Nurdağı, Turkey"/>
        <s v="M 7.8 - Central Turkey"/>
        <s v="M 6.8 -"/>
        <s v="M 7.0 - 153 km NW of Tobelo, Indonesia"/>
        <s v="M 7.6 - Pulau Pulau Tanimbar, Indonesia"/>
        <s v="M 7.0 - Vanuatu"/>
        <s v="M 6.8 - 109 km NE of Hihifo, Tonga"/>
        <s v="M 7.0 - 18 km SW of Malango, Solomon Islands"/>
        <s v="M 6.9 - 204 km SW of Bengkulu, Indonesia"/>
        <s v="M 7.0 -"/>
        <s v="M 7.3 - 205 km ESE of Neiafu, Tonga"/>
        <s v="M 6.6 -"/>
        <s v="M 7.0 - south of the Fiji Islands"/>
        <s v="M 6.8 - south of the Fiji Islands"/>
        <s v="M 6.7 - 60 km SSW of Boca Chica, Panama"/>
        <s v="M 6.8 - 55 km SSW of Aguililla, Mexico"/>
        <s v="M 7.6 - 35 km SSW of Aguililla, Mexico"/>
        <s v="M 6.9 - 90 km E of Yujing, Taiwan"/>
        <s v="M 6.5 - 96 km SE of Lugu, Taiwan"/>
        <s v="M 7.0 - 209 km SSE of Isangel, Vanuatu"/>
        <s v="M 7.6 - 70 km E of Kainantu, Papua New Guinea"/>
        <s v="M 6.6 - 44 km SE of Kangding, China"/>
        <s v="M 6.6 - south of the Kermadec Islands"/>
        <s v="M 7.0 - 11 km NE of Bantay, Philippines"/>
        <s v="M 6.5 - 107 km SSW of Tarauacá, Brazil"/>
        <s v="M 7.2 - 10 km W of Azángaro, Peru"/>
        <s v="M 6.9 -"/>
        <s v="M 6.8 - 86 km NNW of San Antonio de los Cobres, Argentina"/>
        <s v="M 6.6 - 55 km WSW of Masachapa, Nicaragua"/>
        <s v="M 7.0 - southeast of the Loyalty Islands"/>
        <s v="M 6.9 - 284 km ESE of Tadine, New Caledonia"/>
        <s v="M 6.7 - 65 km S of Hualien City, Taiwan"/>
        <s v="M 7.3 - 57 km ENE of Namie, Japan"/>
        <s v="M 6.7 - 166 km W of Pariaman, Indonesia"/>
        <s v="M 6.6 - Kermadec Islands, New Zealand"/>
        <s v="M 6.5 - 49 km NW of Barranca, Peru"/>
        <s v="M 6.5 - Kermadec Islands region"/>
        <s v="M 6.6 - 80 km SW of Labuan, Indonesia"/>
        <s v="M 6.5 - 71 km SE of Nikolski, Alaska"/>
        <s v="M 6.6 - 53 km SE of Nikolski, Alaska"/>
        <s v="M 6.7 - 91 km SE of Nikolski, Alaska"/>
        <s v="M 6.8 - 100 km SE of Nikolski, Alaska"/>
        <s v="M 6.6 - 48 km WNW of Pólis, Cyprus"/>
        <s v="M 6.6 - northern Qinghai, China"/>
        <s v="M 7.3 - 125 km NNE of Lospalos, Timor Leste"/>
        <s v="M 7.3 - Flores Sea"/>
        <s v="M 7.5 - 43 km NNW of Barranca, Peru"/>
        <s v="M 6.6 - 177 km SE of Hirara, Japan"/>
        <s v="M 6.9 - 112 km E of Chignik, Alaska"/>
        <s v="M 6.9 - Vanuatu region"/>
        <s v="M 7.3 - Vanuatu region"/>
        <s v="M 6.5 - 80 km SW of Jiquilillo, Nicaragua"/>
        <s v="M 7.0 - Acapulco, Mexico"/>
        <s v="M 7.1 - South Sandwich Islands region"/>
        <s v="M 6.6 - South Sandwich Islands region"/>
        <s v="M 6.9 - 17 km N of Port-Olry, Vanuatu"/>
        <s v="M 6.9 - South Sandwich Islands region"/>
        <s v="M 7.2 - Nippes, Haiti"/>
        <s v="M 6.9 - 136 km SE of Perryville, Alaska"/>
        <s v="M 6.9 - 125 km SE of Perryville, Alaska"/>
        <s v="M 8.1 - South Sandwich Islands region"/>
        <s v="M 7.5 - South Sandwich Islands region"/>
        <s v="M 7.1 - 60 km ENE of Pondaguitan, Philippines"/>
        <s v="M 8.2 - 91 km ESE of Perryville, Alaska"/>
        <s v="M 8.2 - 99 km SE of Perryville, Alaska"/>
        <s v="M 6.7 - 15 km S of Hukay, Philippines"/>
        <s v="M 6.7 - 71 km S of Burica, Panama"/>
        <s v="M 6.5 - Kermadec Islands, New Zealand"/>
        <s v="M 6.5 - 265 km SSE of Alo, Wallis and Futuna"/>
        <s v="M 7.3 - Southern Qinghai, China"/>
        <s v="M 6.7 - 260 km S of Sinabang, Indonesia"/>
        <s v="M 6.7 - Mauritius - Reunion region"/>
        <s v="M 6.5 - 207 km WSW of Haveluloto, Tonga"/>
        <s v="M 6.5 - 225 km WNW of Pangai, Tonga"/>
        <s v="M 7.0 - 30 km E of Ishinomaki, Japan"/>
        <s v="M 6.6 - 171 km SSE of Ust’-Kamchatsk Staryy, Russia"/>
        <s v="M 8.1 - Kermadec Islands, New Zealand"/>
        <s v="M 7.4 - Kermadec Islands, New Zealand"/>
        <s v="M 7.3 - 182 km NE of Gisborne, New Zealand"/>
        <s v="M 7.1 - 73 km ENE of Namie, Japan"/>
        <s v="M 6.9 - South Shetland Islands"/>
        <s v="M 7.0 - 211 km SE of Pondaguitan, Philippines"/>
        <s v="M 6.7 - 29 km SSW of Turt, Mongolia"/>
        <s v="M 6.7 - 146 km WNW of Corral, Chile"/>
        <s v="M 7.0 - 13 km NNE of Néon Karlovásion, Greece"/>
        <s v="M 7.6 - 99 km SE of Sand Point, Alaska"/>
        <s v="M 6.9 - central Mid-Atlantic Ridge"/>
        <s v="M 6.5 - 94 km NW of Vallenar, Chile"/>
        <s v="M 6.8 - 86 km NW of Vallenar, Chile"/>
        <s v="M 6.5 - central Mid-Atlantic Ridge"/>
        <s v="M 6.9 - 222 km SSE of Katabu, Indonesia"/>
        <s v="M 6.9 - 122 km WSW of Bengkulu, Indonesia"/>
        <s v="M 6.8 - 138 km WSW of Bengkulu, Indonesia"/>
        <s v="M 6.6 - 13 km E of San Pedro, Philippines"/>
        <s v="M 7.8 - 99 km SSE of Perryville, Alaska"/>
        <s v="M 7.0 - 114 km NNW of Popondetta, Papua New Guinea"/>
        <s v="M 6.6 - 97 km N of Batang, Indonesia"/>
        <s v="M 7.4 - 9 km SE of Santa María Xadani, Mexico"/>
        <s v="M 7.4 - south of the Kermadec Islands"/>
        <s v="M 6.6 - 130 km WNW of Naze, Japan"/>
        <s v="M 6.8 - 48 km SW of San Pedro de Atacama, Chile"/>
        <s v="M 6.5 - Monte Cristo Range, NV Earthquake"/>
        <s v="M 6.6 - 175 km SSE of Lata, Solomon Islands"/>
        <s v="M 6.8 - Banda Sea"/>
        <s v="M 6.5 - 91 km S of Néa Anatolí, Greece"/>
        <s v="M 6.5 - Stanley, Idaho"/>
        <s v="M 7.5 - 221 km SSE of Severo-Kuril’sk, Russia"/>
        <s v="M 7.0 - 95 km ENE of Kuril’sk, Russia"/>
        <s v="M 7.7 - 123 km NNW of Lucea, Jamaica"/>
        <s v="M 6.7 - 13 km N of Do?anyol, Turkey"/>
        <s v="M 6.8 - 7 km S of Magsaysay, Philippines"/>
        <s v="M 7.1 - 138km E of Bitung, Indonesia"/>
        <s v="M 6.5 - 166km SSW of Ndoi Island, Fiji"/>
        <s v="M 6.6 - 136 km W of Neiafu, Tonga"/>
        <s v="M 6.5 - 2km ESE of Kisante, Philippines"/>
        <s v="M 6.6 - 10 km NE of Columbio, Philippines"/>
        <s v="M 6.7 - 70 km WSW of Constitución, Chile"/>
        <s v="M 6.5 - 11km S of Kairatu, Indonesia"/>
        <s v="M 6.6 - 34km NNE of Ndoi Island, Fiji"/>
        <s v="M 6.6 - 131km S of Bristol Island, South Sandwich Islands"/>
        <s v="M 6.9 - 152 km SW of Labuan, Indonesia"/>
        <s v="M 6.8 - 96 km SW of San Antonio, Chile"/>
        <s v="M 6.6 - 62km E of Lakatoro, Vanuatu"/>
        <s v="M 7.2 - 93km NNE of Laiwui, Indonesia"/>
        <s v="M 6.6 - 200km W of Broome, Australia"/>
        <s v="M 6.9 - 134km WSW of Kota Ternate, Indonesia"/>
        <s v="M 7.1 - 18km W of Searles Valley, CA"/>
        <s v="M 7.3 - 292km NW of Saumlaki, Indonesia"/>
        <s v="M 7.3 - 116km NE of L'Esperance Rock, New Zealand"/>
        <s v="M 6.6 - 32 km S of La Libertad, El Salvador"/>
        <s v="M 8.0 - 78 km NE of Navarro, Peru"/>
        <s v="M 7.6 - 46km SSE of Namatanai, Papua New Guinea"/>
        <s v="M 7.1 - 33km NW of Bulolo, Papua New Guinea"/>
        <s v="M 6.8 - 98km SSW of Luwuk, Indonesia"/>
        <s v="M 6.5 - 83km ENE of Bristol Island, South Sandwich Islands"/>
        <s v="M 7.0 - 22 km NNE of Azángaro, Peru"/>
        <s v="M 7.5 - 111km ESE of Palora, Ecuador"/>
        <s v="M 6.7 - 5 km SW of Puerto Madero, Mexico"/>
        <s v="M 6.7 - Prince Edward Islands region"/>
        <s v="M 6.7 - 10 km SSW of Coquimbo, Chile"/>
        <s v="M 6.6 - 94 km NW of Sola, Vanuatu"/>
        <s v="M 6.6 - Molucca Sea"/>
        <s v="M 6.8 - 90km W of Tarauaca, Brazil"/>
        <s v="M 7.0 - 96 km ESE of Pondaguitan, Philippines"/>
        <s v="M 7.3 - 187 km SE of Ust’-Kamchatsk Staryy, Russia"/>
        <s v="M 6.6 - 199 km ESE of Tadine, New Caledonia"/>
        <s v="M 7.5 - 166 km ESE of Tadine, New Caledonia"/>
        <s v="M 7.1 - 1 km SE of Point MacKenzie, Alaska"/>
        <s v="M 6.8 - 187 km E of Levuka, Fiji"/>
        <s v="M 6.7 - 120 km NW of Olonkinbyen, Svalbard and Jan Mayen"/>
        <s v="M 6.8 - 32 km SW of Lithakiá, Greece"/>
        <s v="M 6.5 - 237 km SW of Port McNeill, Canada"/>
        <s v="M 6.8 - 210 km SW of Port McNeill, Canada"/>
        <s v="M 6.5 - 223 km SW of Port McNeill, Canada"/>
        <s v="M 6.5 - 171 km E of Tadine, New Caledonia"/>
        <s v="M 6.7 - 269 km WNW of Ozernovskiy, Russia"/>
        <s v="M 6.5 - 154 km S of Severo-Kuril’sk, Russia"/>
        <s v="M 7.0 - 119 km E of Kimbe, Papua New Guinea"/>
        <s v="M 6.7 - 279 km E of Levuka, Fiji"/>
        <s v="M 7.5 - 72 km N of Palu, Indonesia"/>
        <s v="M 6.5 - south of the Fiji Islands"/>
        <s v="M 6.9 - Kermadec Islands region"/>
        <s v="M 6.5 - 66 km NW of Kirakira, Solomon Islands"/>
        <s v="M 7.9 - 45 km S of Levuka, Fiji"/>
        <s v="M 6.6 - 27 km ESE of Chitose, Japan"/>
        <s v="M 7.1 - 238 km ESE of Tadine, New Caledonia"/>
        <s v="M 7.1 - 136 km W of Iñapari, Peru"/>
        <s v="M 6.5 - 78 km E of Lakatoro, Vanuatu"/>
        <s v="M 7.3 - 40 km ENE of Carúpano, Venezuela"/>
        <s v="M 6.9 - 20 km NNW of Labuan Lombok, Indonesia"/>
        <s v="M 8.2 - 267 km E of Levuka, Fiji"/>
        <s v="M 6.5 - 124 km N of Labuan Bajo, Indonesia"/>
        <s v="M 6.5 - 108 km WSW of Adak, Alaska"/>
        <s v="M 6.9 - 36 km NW of Labuan Lombok, Indonesia"/>
        <s v="M 6.9 - 18 km SSW of Leilani Estates, Hawaii"/>
        <s v="M 6.8 - 38 km SE of Boyuibe, Bolivia"/>
        <s v="M 6.9 - 150 km E of Kimbe, Papua New Guinea"/>
        <s v="M 6.7 - 140 km E of Kimbe, Papua New Guinea"/>
        <s v="M 6.8 - 103 km E of Kokopo, Papua New Guinea"/>
        <s v="M 6.7 - 62 km SW of Tari, Papua New Guinea"/>
        <s v="M 7.5 - 32 km SW of Tari, Papua New Guinea"/>
        <s v="M 7.2 - 4 km S of Pinotepa de Don Luis, Mexico"/>
        <s v="M 7.9 - 261 km SE of Chiniak, Alaska"/>
        <s v="M 7.1 - 37 km W of Atiquipa, Peru"/>
        <s v="M 7.5 - 203 km NNE of Barra Patuca, Honduras"/>
        <s v="M 6.5 - 12 km SSW of Kawalu, Indonesia"/>
        <s v="M 6.5 - Bouvet Island region"/>
        <s v="M 7.0 - 85 km ENE of Tadine, New Caledonia"/>
        <s v="M 6.6 - 74 km E of Tadine, New Caledonia"/>
        <s v="M 6.5 - 18 km W of Parrita, Costa Rica"/>
        <s v="M 7.3 - 29 km S of ?alabja, Iraq"/>
        <s v="M 6.5 - 67 km WSW of Angoram, Papua New Guinea"/>
        <s v="M 6.8 - 97 km NE of Hihifo, Tonga"/>
        <s v="M 6.6 - 101 km E of Tadine, New Caledonia"/>
        <s v="M 6.7 - 132 km E of Tadine, New Caledonia"/>
        <s v="M 6.7 - 181 km NNE of Maumere, Indonesia"/>
        <s v="M 6.5 - 247 km ESE of Attu Station, Alaska"/>
        <s v="M 7.1 - 1 km S of Matzaco, Mexico"/>
        <s v="M 8.2 - near the coast of Chiapas, Mexico"/>
        <s v="M 6.5 - 168 km SW of Mawu, China"/>
        <s v="M 6.6 - 11 km ENE of Kos, Greece"/>
        <s v="M 7.7 - Komandorskiye Ostrova, Russia region"/>
        <s v="M 6.6 - Auckland Islands, New Zealand region"/>
        <s v="M 6.5 - 2 km S of Lim-oo, Philippines"/>
        <s v="M 6.8 - 28 km SW of Puerto San José, Guatemala"/>
        <s v="M 6.9 - 2 km SSW of San Pablo, Guatemala"/>
        <s v="M 6.8 - 200 km NW of Attu Station, Alaska"/>
        <s v="M 6.6 - 37 km WNW of Poso, Indonesia"/>
        <s v="M 6.5 - South Sandwich Islands region"/>
        <s v="M 6.8 - 59 km NNE of Port-Olry, Vanuatu"/>
        <s v="M 6.9 - 31 km SW of Burias, Philippines"/>
        <s v="M 6.9 - 40 km W of Valparaíso, Chile"/>
        <s v="M 6.5 - 132 km WSW of Moijabana, Botswana"/>
        <s v="M 6.6 - 81 km NNE of Ust’-Kamchatsk Staryy, Russia"/>
        <s v="M 6.9 - south of the Fiji Islands"/>
        <s v="M 6.5 - 41 km E of Padilla, Bolivia"/>
        <s v="M 6.5 - 11 km N of Mabua, Philippines"/>
        <s v="M 7.9 - 35 km WNW of Panguna, Papua New Guinea"/>
        <s v="M 6.5 - 65 km W of Kirakira, Solomon Islands"/>
        <s v="M 7.3 - 189 km SSE of Tabiauan, Philippines"/>
        <s v="M 6.9 - 225 km SW of Nadi, Fiji"/>
        <s v="M 7.6 - 41 km SW of Quellón, Chile"/>
        <s v="M 6.7 - 151 km NE of Lospalos, Timor Leste"/>
        <s v="M 7.9 - 140 km E of Kokopo, Papua New Guinea"/>
        <s v="M 6.9 - 92 km WSW of Kirakira, Solomon Islands"/>
        <s v="M 6.5 - 79 km WSW of Kirakira, Solomon Islands"/>
        <s v="M 7.8 - 69 km WSW of Kirakira, Solomon Islands"/>
        <s v="M 6.6 - 164 km W of Ferndale, California"/>
        <s v="M 6.5 - 14 km WNW of Reuleuet, Indonesia"/>
        <s v="M 6.6 - 122 km N of Murghob, Tajikistan"/>
        <s v="M 6.9 - 156 km SSW of Puerto El Triunfo, El Salvador"/>
        <s v="M 6.9 - 35 km ESE of Namie, Japan"/>
        <s v="M 6.5 - 74 km NE of Amberley, New Zealand"/>
        <s v="M 6.5 - 92 km SSW of Blenheim, New Zealand"/>
        <s v="M 7.8 - 53 km NNE of Amberley, New Zealand"/>
        <s v="M 6.6 - 5 km ESE of Preci, Italy"/>
        <s v="M 6.6 - 161 km NNE of Pamanukan, Indonesia"/>
        <s v="M 6.8 - 76 km WNW of Kandrian, Papua New Guinea"/>
        <s v="M 6.9 - Fiji region"/>
        <s v="M 7.0 - 175 km NE of Gisborne, New Zealand"/>
        <s v="M 6.8 - 90 km NE of Rabaul, Papua New Guinea"/>
        <s v="M 6.8 - 26 km W of Chauk, Myanmar"/>
        <s v="M 7.2 - southeast of the Loyalty Islands"/>
        <s v="M 7.7 - Pagan region, Northern Mariana Islands"/>
        <s v="M 6.6 - 80 km W of Sungai Penuh, Indonesia"/>
        <s v="M 7.2 - South Sandwich Islands region"/>
        <s v="M 6.9 - 24 km NW of Rosa Zarate, Ecuador"/>
        <s v="M 6.7 - 32 km SE of Muisne, Ecuador"/>
        <s v="M 7.0 - 3 km NW of Norsup, Vanuatu"/>
        <s v="M 7.8 - 27 km SSE of Muisne, Ecuador"/>
        <s v="M 7.0 - 6 km ESE of Kumamoto, Japan"/>
        <s v="M 6.9 - 76 km SE of Mawlaik, Myanmar"/>
        <s v="M 6.6 - 42 km WSW of Ashk?sham, Afghanistan"/>
        <s v="M 6.7 - 104 km W of Sola, Vanuatu"/>
        <s v="M 6.7 - 102 km WSW of Sola, Vanuatu"/>
        <s v="M 6.9 - 82 km NNW of Port-Olry, Vanuatu"/>
        <s v="M 7.8 - southwest of Sumatra, Indonesia"/>
        <s v="M 7.2 - 80 km S of Mil’kovo, Russia"/>
        <s v="M 7.1 - 47 km ESE of Pedro Bay, Alaska"/>
        <s v="M 6.6 - 203 km SW of La Cruz de Loreto, Mexico"/>
        <s v="M 6.7 - 52 km SE of Shizunai-furukawach?, Japan"/>
        <s v="M 6.5 - 227 km SE of Sarangani, Philippines"/>
        <s v="M 6.7 - 29 km W of Imph?l, India"/>
        <s v="M 6.6 - 4 km W of Manuel Ávila Camacho (Ponte Duro), Mexico"/>
        <s v="M 6.9 - 107 km SE of Amahai, Indonesia"/>
        <s v="M 7.2 - 104 km W of Murghob, Tajikistan"/>
        <s v="M 6.7 - 125 km SSW of Tarauacá, Brazil"/>
        <s v="M 7.6 - 185 km WNW of Iñapari, Peru"/>
        <s v="M 7.6 - 155 km WNW of Iñapari, Peru"/>
        <s v="M 6.8 - 153 km WSW of Buala, Solomon Islands"/>
        <s v="M 6.5 - 19 km SSW of Lefkáda, Greece"/>
        <s v="M 6.7 - 140 km WSW of Makurazaki, Japan"/>
        <s v="M 6.9 - 85 km NW of Coquimbo, Chile"/>
        <s v="M 6.9 - 81 km NW of Coquimbo, Chile"/>
        <s v="M 6.6 - Nicobar Islands, India region"/>
        <s v="M 6.8 - 39 km SW of Ovalle, Chile"/>
        <s v="M 6.5 - 47 km NW of Maubara, Timor Leste"/>
        <s v="M 7.5 - Hindu Kush region, Afghanistan"/>
        <s v="M 7.1 - 31 km NE of Port-Olry, Vanuatu"/>
        <s v="M 6.6 - 28 km N of Sorong, Indonesia"/>
        <s v="M 6.6 - 22 km WSW of Illapel, Chile"/>
        <s v="M 6.7 - 61 km WNW of Illapel, Chile"/>
        <s v="M 6.5 - 54 km WNW of Illapel, Chile"/>
        <s v="M 7.0 - 25 km WNW of Illapel, Chile"/>
        <s v="M 8.3 - 48 km W of Illapel, Chile"/>
        <s v="M 6.7 - 95 km SW of Topolobampo, Mexico"/>
        <s v="M 6.5 - 177 km SE of Gizo, Solomon Islands"/>
        <s v="M 6.6 - 186 km WNW of Malango, Solomon Islands"/>
        <s v="M 7.0 - 234 km W of Abepura, Indonesia"/>
        <s v="M 6.9 - Fox Islands, Aleutian Islands, Alaska"/>
        <s v="M 7.0 - 80 km WNW of Lata, Solomon Islands"/>
        <s v="M 6.5 - 128 km NE of Bathsheba, Barbados"/>
        <s v="M 6.7 - 150 km WNW of Malango, Solomon Islands"/>
        <s v="M 6.5 - Bonin Islands, Japan region"/>
        <s v="M 7.8 - Bonin Islands, Japan region"/>
        <s v="M 6.8 - 117 km SSE of Ugashik, Alaska"/>
        <s v="M 6.8 - 159 km ESE of Kirakira, Solomon Islands"/>
        <s v="M 6.9 - 205 km ESE of Kirakira, Solomon Islands"/>
        <s v="M 6.8 - 178 km W of Lata, Solomon Islands"/>
        <s v="M 6.8 - 32 km SE of ?funato, Japan"/>
        <s v="M 7.3 - Nepal"/>
        <s v="M 7.1 - 143 km SW of Panguna, Papua New Guinea"/>
        <s v="M 7.5 - 131 km SSW of Kokopo, Papua New Guinea"/>
        <s v="M 6.8 - 109 km SSW of Kokopo, Papua New Guinea"/>
        <s v="M 6.7 - 126 km SSW of Kokopo, Papua New Guinea"/>
        <s v="M 6.7 - 21 km SSE of Kod?ri??, Nepal"/>
        <s v="M 6.6 - 71 km NNE of Bharatpur, Nepal"/>
        <s v="M 7.8 - 67 km NNE of Bharatpur, Nepal"/>
        <s v="M 6.5 - 181 km SSW of Alo, Wallis and Futuna"/>
        <s v="M 6.5 - 96 km ENE of Hihifo, Tonga"/>
        <s v="M 7.5 - 53 km SE of Kokopo, Papua New Guinea"/>
        <s v="M 7.0 - 150 km NNE of Maumere, Indonesia"/>
        <s v="M 6.7 - 83 km ENE of Miyako, Japan"/>
        <s v="M 6.7 - 103 km W of El Aguilar, Argentina"/>
        <s v="M 6.8 - 81 km NNE of Port-Vila, Vanuatu"/>
        <s v="M 6.5 - 236 km S of Punta de Burica, Panama"/>
        <s v="M 6.6 - 22 km ESE of Punta de Burica, Panama"/>
        <s v="M 6.6 - 115 km W of Panguna, Papua New Guinea"/>
        <s v="M 6.6 - 106 km WSW of Sangay, Philippines"/>
        <s v="M 6.8 - 157 km NW of Ternate, Indonesia"/>
        <s v="M 6.5 - 123 km WNW of Tobelo, Indonesia"/>
        <s v="M 6.7 - 183 km NE of Gisborne, New Zealand"/>
        <s v="M 7.1 - 155 km NW of Ternate, Indonesia"/>
        <s v="M 6.6 - 76 km NE of Finschhafen, Papua New Guinea"/>
        <s v="M 7.1 - Fiji region"/>
        <s v="M 7.3 - 74 km S of Intipucá, El Salvador"/>
        <s v="M 6.7 - 43 km NW of Piti Village, Guam"/>
        <s v="M 6.8 - 38 km NW of Aniso, Peru"/>
        <s v="M 6.9 - Federated States of Micronesia region"/>
        <s v="M 6.5 - 139 km ESE of Namie, Japan"/>
        <s v="M 6.9 - 4 km W of Puerto Madero, Mexico"/>
        <s v="M 6.5 - 217 km SSE of Kokopo, Papua New Guinea"/>
        <s v="M 6.7 - 201 km SSE of Mata-Utu, Wallis and Futuna"/>
        <s v="M 7.9 - Rat Islands, Aleutian Islands, Alaska"/>
        <s v="M 6.7 - Kermadec Islands, New Zealand"/>
        <s v="M 6.9 - 21 km SSW of Kamariótissa, Greece"/>
        <s v="M 6.5 - 110 km SE of Punta de Burica, Panama"/>
        <s v="M 6.6 - 239 km SSE of Isangel, Vanuatu"/>
        <s v="M 6.5 - 107 km WSW of Vernon, Canada"/>
        <s v="M 7.5 - 70 km SW of Panguna, Papua New Guinea"/>
        <s v="M 6.6 - 57 km SW of Panguna, Papua New Guinea"/>
        <s v="M 7.2 - 9 km ENE of Coyuquilla Norte, Mexico"/>
        <s v="M 6.6 - 75 km S of Kirakira, Solomon Islands"/>
        <s v="M 7.4 - 112 km S of Kirakira, Solomon Islands"/>
        <s v="M 7.6 - 93 km SSE of Kirakira, Solomon Islands"/>
        <s v="M 6.6 - 15 km N of Belén, Nicaragua"/>
        <s v="M 6.5 - 78 km SW of Panguna, Papua New Guinea"/>
        <s v="M 7.1 - 56 km WSW of Panguna, Papua New Guinea"/>
        <s v="M 7.7 - 53 km SW of Iquique, Chile"/>
        <s v="M 6.5 - 45 km WSW of Iquique, Chile"/>
        <s v="M 6.9 - 90 km WNW of Iquique, Chile"/>
        <s v="M 8.2 - 93 km NW of Iquique, Chile"/>
        <s v="M 6.7 - 63 km WNW of Iquique, Chile"/>
        <s v="M 6.8 - 77 km WNW of Indianola, California"/>
        <s v="M 6.5 - 109 km NW of Nago, Japan"/>
        <s v="M 6.5 - 171 km NNE of Greenland, Barbados"/>
        <s v="M 6.9 - 272 km ESE of Hotan, China"/>
        <s v="M 6.5 - 32 km E of Port-Olry, Vanuatu"/>
        <s v="M 6.5 - south of the Kermadec Islands"/>
        <s v="M 6.5 - 32 km W of Sola, Vanuatu"/>
        <s v="M 6.5 - Fiji region"/>
        <s v="M 7.7 - Scotia Sea"/>
        <s v="M 6.9 - Scotia Sea"/>
        <s v="M 6.6 - 41 km SSW of Coquimbo, Chile"/>
        <s v="M 7.1 - off the east coast of Honshu, Japan"/>
        <s v="M 6.6 - 98 km SW of Etchoropo, Mexico"/>
        <s v="M 6.8 - 62 km WSW of Panguna, Papua New Guinea"/>
        <s v="M 7.1 - 4 km SE of Sagbayan, Philippines"/>
        <s v="M 6.6 - 36 km W of Kíssamos, Greece"/>
        <s v="M 6.7 - Sea of Okhotsk"/>
        <s v="M 6.8 - 129 km WSW of Khuzdar, Pakistan"/>
        <s v="M 7.1 - 16 km WSW of Atiquipa, Peru"/>
        <s v="M 7.7 - 113 km NW of Bela, Pakistan"/>
        <s v="M 6.5 - 81 km SSW of Atka, Alaska"/>
        <s v="M 6.5 - Izu Islands, Japan region"/>
        <s v="M 6.5 - 180 km NE of Lospalos, Timor Leste"/>
        <s v="M 7.0 - 101 km SW of Atka, Alaska"/>
        <s v="M 6.5 - 29 km SE of Blenheim, New Zealand"/>
        <s v="M 6.7 - 101 km WSW of Bahía Solano, Colombia"/>
        <s v="M 6.5 - 38 km ESE of Blenheim, New Zealand"/>
        <s v="M 7.3 - South Sandwich Islands region"/>
        <s v="M 6.6 - 26 km NE of Kandrian, Papua New Guinea"/>
        <s v="M 7.3 - 190 km ENE of Kokopo, Papua New Guinea"/>
        <s v="M 6.6 - northern Mid-Atlantic Ridge"/>
        <s v="M 6.5 - 44 km W of Masachapa, Nicaragua"/>
        <s v="M 6.7 - south of Java, Indonesia"/>
        <s v="M 8.3 - Sea of Okhotsk"/>
        <s v="M 7.4 - 292 km SW of Vaini, Tonga"/>
        <s v="M 6.8 - Pagan region, Northern Mariana Islands"/>
        <s v="M 6.5 - 33 km N of Rabaul, Papua New Guinea"/>
        <s v="M 6.6 - 56 km WSW of Linqiong, China"/>
        <s v="M 7.2 - 252 km ENE of Kuril’sk, Russia"/>
        <s v="M 6.6 - 23 km ESE of Aitape, Papua New Guinea"/>
        <s v="M 7.7 - 79 km ESE of Kh?sh, Iran"/>
        <s v="M 6.6 - 98 km W of Panguna, Papua New Guinea"/>
        <s v="M 7.0 - 260 km WSW of Abepura, Indonesia"/>
        <s v="M 6.5 - 36 km E of Finschhafen, Papua New Guinea"/>
        <s v="M 6.5 - 87 km SE of Ozernovskiy, Russia"/>
        <s v="M 6.9 - 81 km SE of Ozernovskiy, Russia"/>
        <s v="M 6.6 - 183 km SW of Belaya Gora, Russia"/>
        <s v="M 6.6 - 30 km SSW of Lata, Solomon Islands"/>
        <s v="M 6.9 - 2 km NNE of Yacuanquer, Colombia"/>
        <s v="M 7.1 - 32 km SE of Lata, Solomon Islands"/>
        <s v="M 6.8 - 22 km ESE of Lata, Solomon Islands"/>
        <s v="M 6.7 - 33 km SSW of Lata, Solomon Islands"/>
        <s v="M 7.0 - 33 km NW of Lata, Solomon Islands"/>
        <s v="M 7.1 - 112 km WSW of Lata, Solomon Islands"/>
        <s v="M 8.0 - 75 km W of Lata, Solomon Islands"/>
        <s v="M 6.9 - 18 km SSW of Obihiro, Japan"/>
        <s v="M 6.8 - 54 km N of Vallenar, Chile"/>
        <s v="M 7.5 - 110 km SW of Edna Bay, Alaska"/>
        <s v="M 6.7 - 59 km SSW of Sola, Vanuatu"/>
        <s v="M 7.1 - Banda Sea"/>
        <s v="M 7.3 - 234 km SE of ?funato, Japan"/>
        <s v="M 6.5 - 32 km SW of Champerico, Guatemala"/>
        <s v="M 6.8 - 51 km NNE of Shwebo, Myanmar"/>
        <s v="M 7.4 - 33 km S of Champerico, Guatemala"/>
        <s v="M 7.8 - 206 km SW of Prince Rupert, Canada"/>
        <s v="M 6.5 - Costa Rica"/>
        <s v="M 6.6 - 163 km ENE of Tual, Indonesia"/>
        <s v="M 7.3 - 11 km WNW of San Agustín, Colombia"/>
        <s v="M 7.6 - 11 km ENE of Hojancha, Costa Rica"/>
        <s v="M 7.6 - 89 km E of Sulangan, Philippines"/>
        <s v="M 7.3 - 126 km S of Puerto El Triunfo, El Salvador"/>
        <s v="M 6.6 - 140 km WNW of Tobelo, Indonesia"/>
        <s v="M 7.7 - 156 km ENE of Poronaysk, Russia"/>
        <s v="M 6.5 - 105 km ESE of Kokopo, Papua New Guinea"/>
        <s v="M 6.6 - 76 km W of Neiafu, Tonga"/>
        <s v="M 6.7 - 86 km SSE of Manokwari, Indonesia"/>
        <s v="M 6.8 - 140 km N of Lae, Papua New Guinea"/>
        <s v="M 6.7 - 22 km NW of Hacienda La Calera, Chile"/>
        <s v="M 7.0 - 69 km ENE of San Luis, Mexico"/>
        <s v="M 6.5 - 41 km NW of El Habillal, Mexico"/>
        <s v="M 8.2 - off the west coast of northern Sumatra"/>
        <s v="M 8.6 - off the west coast of northern Sumatra"/>
        <s v="M 7.1 - 23 km NE of Constitución, Chile"/>
        <s v="M 6.6 - 11 km ENE of Kainantu, Papua New Guinea"/>
        <s v="M 7.4 - 6 km E of Santiago Llano Grande, Mexico"/>
        <s v="M 6.7 - 38 km NE of Saryg-Sep, Russia"/>
        <s v="M 6.7 - 2 km NNE of Jimalalud, Philippines"/>
        <s v="M 7.1 - 125 km W of Port-Vila, Vanuatu"/>
        <s v="M 7.2 - off the west coast of northern Sumatra"/>
        <s v="M 6.6 - 45 km NNE of Saryg-Sep, Russia"/>
        <s v="M 7.1 - 25 km SSE of Wau, Papua New Guinea"/>
        <s v="M 6.5 - 6 km SSW of Nuevo Balsas, Mexico"/>
        <s v="M 6.9 - 39 km SW of Santiago, Peru"/>
        <s v="M 7.1 - 27 km NNE of Van, Turkey"/>
        <s v="M 6.5 - 4 km ESE of Finschhafen, Papua New Guinea"/>
        <s v="M 6.9 - 43 km NW of Mangan, India"/>
        <s v="M 6.7 - 99 km NE of Miyako, Japan"/>
        <s v="M 6.7 - 68 km WSW of Kabanjahe, Indonesia"/>
        <s v="M 7.0 - 133 km SSE of Isangel, Vanuatu"/>
        <s v="M 7.0 - 64 km ESE of Contamana, Peru"/>
        <s v="M 7.1 - 64 km S of Port-Vila, Vanuatu"/>
        <s v="M 6.5 - 65 km SSW of Port-Vila, Vanuatu"/>
        <s v="M 7.2 - 71 km SSW of Port-Vila, Vanuatu"/>
        <s v="M 6.6 - 103 km NE of Angoram, Papua New Guinea"/>
        <s v="M 7.6 - Kermadec Islands region"/>
        <s v="M 6.7 - 41 km NNE of Miyako, Japan"/>
        <s v="M 6.8 - 124 km NE of Wé, New Caledonia"/>
        <s v="M 6.8 - 79 km W of Kirakira, Solomon Islands"/>
        <s v="M 6.6 - 17 km SSW of Ishikawa, Japan"/>
        <s v="M 7.1 - 29 km ESE of Ishinomaki, Japan"/>
        <s v="M 6.6 - 7 km SW of Helio García Alfaro, Mexico"/>
        <s v="M 6.9 - 27 km NNW of Tachilek, Myanmar"/>
        <s v="M 6.6 - 50 km ESE of ?tsuchi, Japan"/>
        <s v="M 6.5 - 81 km NE of Hasaki, Japan"/>
        <s v="M 7.7 - 272 km ESE of Kamaishi, Japan"/>
        <s v="M 7.9 - 47 km E of ?arai, Japan"/>
        <s v="M 9.1 - 2011 Great Tohoku Earthquake, Japan"/>
        <s v="M 7.3 - 120 km SE of ?funato, Japan"/>
        <s v="M 6.7 - 38 km W of Constitución, Chile"/>
        <s v="M 6.9 - 21 km N of Tomé, Chile"/>
        <s v="M 7.2 - 46 km WSW of Dalbandin, Pakistan"/>
        <s v="M 7.0 - 118 km NNE of Tadine, New Caledonia"/>
        <s v="M 7.2 - 42 km NNW of Carahue, Chile"/>
        <s v="M 7.3 - 141 km W of Isangel, Vanuatu"/>
        <s v="M 6.7 - 111 km SE of Bam, Iran"/>
        <s v="M 6.6 - 52 km ENE of Kandrian, Papua New Guinea"/>
        <s v="M 7.8 - 215 km SW of Sungai Penuh, Indonesia"/>
        <s v="M 6.7 - 97 km SSW of El Huitusi, Mexico"/>
        <s v="M 7.0 - Near the south coast of Papua, Indonesia"/>
        <s v="M 7.0 - 19 km NE of Methven, New Zealand"/>
        <s v="M 7.1 - Ecuador"/>
        <s v="M 7.3 - 33 km NW of Port-Vila, Vanuatu"/>
        <s v="M 7.0 - 72 km ESE of Kimbe, Papua New Guinea"/>
        <s v="M 6.5 - 118 km ESE of Madang, Papua New Guinea"/>
        <s v="M 7.6 - 61 km W of Bantogon, Philippines"/>
        <s v="M 7.3 - New Britain region, Papua New Guinea"/>
        <s v="M 6.9 - 56 km SE of Kimbe, Papua New Guinea"/>
        <s v="M 6.6 - 30 km SSE of Cañete, Chile"/>
        <s v="M 6.7 - 55 km WSW of Kirakira, Solomon Islands"/>
        <s v="M 6.6 - 135 km SSE of Biak, Indonesia"/>
        <s v="M 7.0 - 121 km SSE of Biak, Indonesia"/>
        <s v="M 7.5 - Nicobar Islands, India region"/>
        <s v="M 7.2 - 100 km WNW of Sola, Vanuatu"/>
        <s v="M 7.2 - 45 km SSW of Meulaboh, Indonesia"/>
        <s v="M 6.9 - 233 km NNW of Qamdo, China"/>
        <s v="M 6.9 - 99 km WSW of Kirakira, Solomon Islands"/>
        <s v="M 7.8 - 75 km E of Sinabang, Indonesia"/>
        <s v="M 7.2 - 12km SW of Delta, B.C., MX"/>
        <s v="M 6.6 - 217 km N of Bamboo Flat, India"/>
        <s v="M 6.7 - 52 km NNW of Tomé, Chile"/>
        <s v="M 6.5 - 59 km ENE of Namie, Japan"/>
        <s v="M 7.0 - 52 km NW of Santa Cruz, Chile"/>
        <s v="M 6.9 - 61 km NW of Santa Cruz, Chile"/>
        <s v="M 6.8 - 141 km W of Bengkulu, Indonesia"/>
        <s v="M 6.6 - 23 km WNW of Talcahuano, Chile"/>
        <s v="M 6.5 - 48 km NW of Sola, Vanuatu"/>
        <s v="M 7.4 - 124 km W of Lebu, Chile"/>
        <s v="M 8.8 - 36 km WNW of Quirihue, Chile"/>
        <s v="M 7.0 - 70 km SE of Katsuren-haebaru, Japan"/>
        <s v="M 7.0 - 10 km SE of Léogâne, Haiti"/>
        <s v="M 6.5 - 37 km WNW of Ferndale, California"/>
        <s v="M 6.8 - 127 km SE of Gizo, Solomon Islands"/>
        <s v="M 7.1 - 94 km SE of Gizo, Solomon Islands"/>
        <s v="M 6.6 - 98 km SE of Gizo, Solomon Islands"/>
        <s v="M 6.5 - 92 km N of Iquique, Chile"/>
        <s v="M 7.3 - 77 km ENE of Ba, Fiji"/>
        <s v="M 6.6 - 29 km NNW of Bima, Indonesia"/>
        <s v="M 6.8 - 98 km NNE of Naze, Japan"/>
        <s v="M 6.9 - 268 km WSW of Tual, Indonesia"/>
        <s v="M 6.8 - 188 km WNW of Sola, Vanuatu"/>
        <s v="M 7.4 - 143 km NW of Sola, Vanuatu"/>
        <s v="M 7.8 - 196 km NW of Sola, Vanuatu"/>
        <s v="M 7.7 - 148 km NW of Sola, Vanuatu"/>
        <s v="M 6.6 - 49 km SSE of Sungai Penuh, Indonesia"/>
        <s v="M 7.6 - 30 km WSW of Pariaman, Indonesia"/>
        <s v="M 8.1 - 168 km SSW of Matavai, Samoa"/>
        <s v="M 7.0 - 66 km SSW of Banjar, Indonesia"/>
        <s v="M 6.7 - 112 km WSW of Padang, Indonesia"/>
        <s v="M 6.6 - 244 km SSE of Tateyama, Japan"/>
        <s v="M 7.5 - 266 km N of Bamboo Flat, India"/>
        <s v="M 7.1 - 161 km S of ?yama, Japan"/>
        <s v="M 6.9 - 96 km WNW of Bahía de Kino, Mexico"/>
        <s v="M 7.8 - 97 km WSW of Te Anau, New Zealand"/>
        <s v="M 6.7 - 190 km ESE of Kokopo, Papua New Guinea"/>
        <s v="M 7.3 - 46 km NW of Guanaja, Honduras"/>
        <s v="M 7.6 - 191 km S of ‘Ohonua, Tonga"/>
        <s v="M 7.2 - 196 km SSE of Sarangani, Philippines"/>
        <s v="M 7.4 - 86 km WNW of Manokwari, Indonesia"/>
        <s v="M 6.6 - 50 km S of Jurm, Afghanistan"/>
        <s v="M 7.7 - 140 km WNW of Manokwari, Indonesia"/>
        <s v="M 7.4 - 135 km NW of Gorontalo, Indonesia"/>
        <s v="M 6.7 - 19 km SW of Brisas Barra de Suchiate, Mexico"/>
        <s v="M 6.7 - 131 km SE of Nookat, Kyrgyzstan"/>
        <s v="M 6.8 - 122 km SSE of Obihiro, Japan"/>
        <s v="M 6.6 - 73 km WNW of Tobelo, Indonesia"/>
        <s v="M 6.9 - 75 km WNW of Sola, Vanuatu"/>
        <s v="M 6.7 - 221 km NE of Jumla, Nepal"/>
        <s v="M 6.8 - 29 km ENE of Morioka, Japan"/>
        <s v="M 7.0 - 107 km E of Namie, Japan"/>
        <s v="M 6.9 - 151 km E of Namie, Japan"/>
        <s v="M 6.6 - 124 km SW of Bamboo Flat, India"/>
        <s v="M 6.9 - 24 km WSW of Mizusawa, Japan"/>
        <s v="M 7.9 - 58 km W of Tianpeng, China"/>
        <s v="M 6.9 - 78 km NE of Hasaki, Japan"/>
        <s v="M 7.3 - 71 km SW of Isangel, Vanuatu"/>
        <s v="M 7.2 - 226 km SE of Hotan, China"/>
        <s v="M 6.9 - Philippine Islands region"/>
        <s v="M 6.7 - 155 km SSW of Padang, Indonesia"/>
        <s v="M 6.6 - 161 km SSW of Padang, Indonesia"/>
        <s v="M 7.2 - 164 km WSW of Sungai Penuh, Indonesia"/>
        <s v="M 6.5 - 166 km WSW of Sungai Penuh, Indonesia"/>
        <s v="M 7.4 - 56 km NW of Sinabang, Indonesia"/>
        <s v="M 6.5 - 50 km S of Koróni, Greece"/>
        <s v="M 6.9 - 35 km S of Methóni, Greece"/>
        <s v="M 6.5 - 9 km SSW of General Pascual Fentes, Mexico"/>
        <s v="M 6.6 - 46 km SSE of Gisborne, New Zealand"/>
        <s v="M 6.7 - 80 km NNE of Antofagasta, Chile"/>
        <s v="M 7.4 - 18 km WNW of Basse-Pointe, Martinique"/>
        <s v="M 6.6 - 60 km SSE of Kirakira, Solomon Islands"/>
        <s v="M 6.5 - 34 km N of Dompu, Indonesia"/>
        <s v="M 6.5 - 28 km NNW of Dompu, Indonesia"/>
        <s v="M 6.8 - 107 km N of Lae, Papua New Guinea"/>
        <s v="M 6.8 - 30 km E of Macas, Ecuador"/>
        <s v="M 6.8 - 82 km NNE of Antofagasta, Chile"/>
        <s v="M 7.7 - 36 km ESE of Tocopilla, Chile"/>
        <s v="M 6.8 - 138 km W of Bengkulu, Indonesia"/>
        <s v="M 6.8 - 70 km N of Te Anau, New Zealand"/>
        <s v="M 6.8 - 154 km ESE of Kokopo, Papua New Guinea"/>
        <s v="M 6.7 - 118 km SSW of Padang, Indonesia"/>
        <s v="M 7.0 - 153 km SSW of Padang, Indonesia"/>
        <s v="M 6.5 - Kepulauan Mentawai region, Indonesia"/>
        <s v="M 7.9 - 87 km SW of Sungai Penuh, Indonesia"/>
        <s v="M 7.8 - 148 km WSW of Sungai Penuh, Indonesia"/>
        <s v="M 8.4 - 122 km SW of Bengkulu, Indonesia"/>
        <s v="M 6.8 - 39 km WNW of Timbiquí, Colombia"/>
        <s v="M 7.2 - 97 km S of Lata, Solomon Islands"/>
        <s v="M 6.5 - 31 km WSW of Malango, Solomon Islands"/>
        <s v="M 8.0 - 41 km SW of San Vicente de Cañete, Peru"/>
        <s v="M 7.5 - 35 km NNE of Rengasdengklok, Indonesia"/>
        <s v="M 7.2 - 56 km E of Luganville, Vanuatu"/>
        <s v="M 6.9 - 140 km NNW of Tobelo, Indonesia"/>
        <s v="M 6.8 - 133 km WNW of Mikuni, Japan"/>
        <s v="M 6.6 - 20 km NNW of Kashiwazaki, Japan"/>
        <s v="M 6.7 - 43 km SSE of Iztapa, Guatemala"/>
        <s v="M 6.9 - 113 km SSE of Panguna, Papua New Guinea"/>
        <s v="M 6.6 - 99 km SSE of Panguna, Papua New Guinea"/>
        <s v="M 8.1 - 45 km SSE of Gizo, Solomon Islands"/>
        <s v="M 6.7 - 46 km NW of Nanao, Japan"/>
        <s v="M 7.1 - 119 km S of Isangel, Vanuatu"/>
        <s v="M 6.7 - 206 km SSW of Sofifi, Indonesia"/>
        <s v="M 7.5 - 126 km WNW of Ternate, Indonesia"/>
        <s v="M 8.1 - east of the Kuril Islands"/>
        <s v="M 6.9 - 26 km W of Hengchun, Taiwan"/>
        <s v="M 7.1 - 30 km SW of Hengchun, Taiwan"/>
        <s v="M 8.3 - Kuril Islands"/>
        <s v="M 6.6 - 155 km SE of Kimbe, Papua New Guinea"/>
        <s v="M 6.7 - 52 km SW of San Vicente de Cañete, Peru"/>
        <s v="M 6.7 - 100 km ESE of Kimbe, Papua New Guinea"/>
        <s v="M 6.7 - 14 km SW of Puako, Hawaii"/>
        <s v="M 6.9 - 201 km ESE of Hihifo, Tonga"/>
        <s v="M 6.8 - 49 km S of Panguna, Papua New Guinea"/>
        <s v="M 6.5 - 81 km ESE of Ozernovskiy, Russia"/>
        <s v="M 6.8 - 51 km NE of Norsup, Vanuatu"/>
        <s v="M 7.7 - 226 km SSW of Singaparna, Indonesia"/>
        <s v="M 6.5 - 111 km E of Kimbe, Papua New Guinea"/>
        <s v="M 6.6 - 42 km NNW of Tilichiki, Russia"/>
        <s v="M 6.8 - 256 km SSW of Singkil, Indonesia"/>
        <s v="M 8.0 - 47 km SSE of Pangai, Tonga"/>
        <s v="M 8.0 - 50 km ESE of Pangai, Tonga"/>
        <s v="M 6.5 - 73 km WNW of Copiapó, Chile"/>
        <s v="M 6.7 - 78 km WNW of Copiapó, Chile"/>
        <s v="M 6.6 - 80 km E of Tilichiki, Russia"/>
        <s v="M 7.6 - 80 km NE of Tilichiki, Russia"/>
        <s v="M 6.5 - 130 km NNW of Lautoka, Fiji"/>
        <s v="M 6.7 - 108 km W of Ambon, Indonesia"/>
        <s v="M 7.0 - 160 km SE of Chipinge, Zimbabwe"/>
        <s v="M 6.7 - 26 km NE of Kýthira, Greece"/>
        <s v="M 6.6 - 75 km SSW of Bahía de Kino, Mexico"/>
        <s v="M 6.5 - 53 km SW of Ashk?sham, Afghanistan"/>
        <s v="M 6.8 - 76 km ESE of Kalemie, Democratic Republic of the Congo"/>
        <s v="M 6.5 - 80 km ESE of Ishinomaki, Japan"/>
        <s v="M 6.5 - 57 km SE of Sinabang, Indonesia"/>
        <s v="M 6.8 - 68 km NNE of San Pedro de Atacama, Chile"/>
        <s v="M 7.6 - 21 km NNE of Muzaffar?b?d, Pakistan"/>
        <s v="M 6.6 - 129 km SSW of Kokopo, Papua New Guinea"/>
        <s v="M 7.5 - 39 km NW of Yurimaguas, Peru"/>
        <s v="M 7.6 - 135 km E of Kokopo, Papua New Guinea"/>
        <s v="M 7.2 - 66 km ESE of Ishinomaki, Japan"/>
        <s v="M 7.2 - Nicobar Islands, India region"/>
        <s v="M 6.7 - 94 km WSW of Singkil, Indonesia"/>
        <s v="M 6.6 - 32 km W of San Juan del Sur, Nicaragua"/>
        <s v="M 7.2 - 153 km W of Big Lagoon, California"/>
        <s v="M 7.8 - 102 km ENE of Iquique, Chile"/>
        <s v="M 6.9 - 89 km WSW of Singkil, Indonesia"/>
        <s v="M 6.7 - 125 km SW of Padangsidempuan, Indonesia"/>
        <s v="M 6.5 - 106 km SW of Padang, Indonesia"/>
        <s v="M 6.7 - 113 km SW of Padang, Indonesia"/>
        <s v="M 8.6 - 78 km WSW of Singkil, Indonesia"/>
        <s v="M 6.6 - 28 km NNW of Maebaru-ch??, Japan"/>
        <s v="M 6.8 - 99 km WNW of Sinabang, Indonesia"/>
        <s v="M 6.5 - 81 km SSW of Katabu, Indonesia"/>
        <s v="M 6.5 - Pulau-Pulau Talaud, Indonesia"/>
        <s v="M 6.7 - 52 km SW of Sola, Vanuatu"/>
        <s v="M 7.1 - 138 km SW of Palimbang, Philippines"/>
        <s v="M 6.6 - 161 km SE of Katsuura, Japan"/>
        <s v="M 7.2 - 284 km WNW of Sabang, Indonesia"/>
        <s v="M 9.1 - 2004 Sumatra - Andaman Islands Earthquake"/>
        <s v="M 8.1 - north of Macquarie Island"/>
        <s v="M 6.8 - 36 km S of George Town, Cayman Islands"/>
        <s v="M 6.8 - 54 km SSW of Nemuro, Japan"/>
        <s v="M 7.0 - 51 km SW of Nemuro, Japan"/>
        <s v="M 7.1 - 29 km SSW of Nabire, Indonesia"/>
        <s v="M 7.1 - 255 km W of Riverton, New Zealand"/>
        <s v="M 7.2 - 32 km SSW of Pizarro, Colombia"/>
        <s v="M 7.5 - 63 km NW of Maubara, Timor Leste"/>
        <s v="M 6.7 - 80 km SSE of Kirakira, Solomon Islands"/>
        <s v="M 6.7 - 189 km SW of Port McNeill, Canada"/>
        <s v="M 6.6 - 8 km SSW of Ojiya, Japan"/>
        <s v="M 6.7 - 31 km WNW of Yonakuni, Japan"/>
        <s v="M 7.0 - 43 km SSW of Masachapa, Nicaragua"/>
        <s v="M 6.5 - 9 km W of Talisay, Philippines"/>
        <s v="M 6.8 - 60 km SSE of Kirakira, Solomon Islands"/>
        <s v="M 6.6 - 129 km ESE of Shing?, Japan"/>
        <s v="M 7.4 - 118 km ESE of Shing?, Japan"/>
        <s v="M 7.2 - 94 km SE of Shing?, Japan"/>
        <s v="M 6.5 - 67 km ESE of Teno, Chile"/>
        <s v="M 6.5 - 117 km WNW of Manokwari, Indonesia"/>
        <s v="M 6.9 - 24 km ENE of Atlasovo, Russia"/>
        <s v="M 6.6 - 11 km N of Cañete, Chile"/>
        <s v="M 6.7 - 105 km WNW of Naisano Dua, Indonesia"/>
        <s v="M 6.5 - 86 km NNW of Sola, Vanuatu"/>
        <s v="M 6.6 - Afghanistan-Tajikistan-Pakistan region"/>
        <s v="M 6.7 - 38 km SSW of Nabire, Indonesia"/>
        <s v="M 7.3 - Near the south coast of Papua, Indonesia"/>
        <s v="M 7.0 - 28 km S of Nabire, Indonesia"/>
        <s v="M 6.7 - 107 km NW of Ambon, Indonesia"/>
        <s v="M 7.3 - 201 km ESE of Tadine, New Caledonia"/>
        <s v="M 6.6 - 13 km SSW of Bam, Iran"/>
        <s v="M 6.5 - 3 km SSE of Progreso, Panama"/>
        <s v="M 6.5 - 10 km NE of San Simeon, California"/>
        <s v="M 6.8 - 92 km E of Yujing, Taiwan"/>
        <s v="M 6.6 - 82 km E of Kimbe, Papua New Guinea"/>
        <s v="M 6.5 - 4 km NW of Can-Avid, Philippines"/>
        <s v="M 6.6 - 51 km NW of Isangel, Vanuatu"/>
        <s v="M 7.0 - 133 km ESE of Ishinomaki, Japan"/>
        <s v="M 6.7 - 39 km SSE of Kushiro, Japan"/>
        <s v="M 6.7 - 9 km S of Aktash, Russia"/>
        <s v="M 6.5 - 58 km S of Kushiro, Japan"/>
        <s v="M 7.3 - 29 km S of Aktash, Russia"/>
        <s v="M 7.4 - 119 km ESE of Shizunai-furukawach?, Japan"/>
        <s v="M 8.2 - 134 km SSW of Kushiro, Japan"/>
        <s v="M 6.6 - 16 km SE of Taungdwingyi, Myanmar"/>
        <s v="M 7.2 - 56 km NW of Te Anau, New Zealand"/>
        <s v="M 7.6 - Scotia Sea"/>
        <s v="M 6.5 - 41 km N of Rabaul, Papua New Guinea"/>
        <s v="M 6.8 - 42 km W of Ovalle, Chile"/>
        <s v="M 6.9 - 25 km ESE of Atlasovo, Russia"/>
        <s v="M 6.6 - 87 km SSE of Kokopo, Papua New Guinea"/>
        <s v="M 7.0 - 116 km NE of Tobelo, Indonesia"/>
        <s v="M 7.0 - 27 km SSW of ?funato, Japan"/>
        <s v="M 6.8 - 25 km WNW of Dellys, Algeria"/>
        <s v="M 6.5 - 46 km NE of Ruteng, Indonesia"/>
        <s v="M 6.8 - 114 km ESE of Kokopo, Papua New Guinea"/>
        <s v="M 7.6 - 16 km SSW of Cuyutlán, Mexico"/>
        <s v="M 6.5 - 33 km S of Puerto San José, Guatemala"/>
        <s v="M 7.3 - 126 km W of Kirakira, Solomon Islands"/>
        <s v="M 6.7 - 191 km SE of Kokopo, Papua New Guinea"/>
        <s v="M 6.7 - New Ireland region, Papua New Guinea"/>
        <s v="M 7.9 - 75 km E of Cantwell, Alaska"/>
        <s v="M 7.4 - 50 km NW of Sinabang, Indonesia"/>
        <s v="M 6.6 - 53 km ENE of Cantwell, Alaska"/>
        <s v="M 6.7 - 72 km S of Manokwari, Indonesia"/>
        <s v="M 7.6 - 102 km SSE of Manokwari, Indonesia"/>
        <s v="M 6.5 - 152 km NNE of Bamboo Flat, India"/>
        <s v="M 7.6 - 68 km ESE of Aitape, Papua New Guinea"/>
        <s v="M 6.5 - 114 km SSE of San Jose Village, Northern Mariana Islands"/>
        <s v="M 6.5 - 14 km SE of Punta de Burica, Panama"/>
        <s v="M 6.5 - 59 km SSW of Abhar, Iran"/>
        <s v="M 6.6 - 20 km SW of Monte Patria, Chile"/>
        <s v="M 6.7 - 190 km NW of Sola, Vanuatu"/>
        <s v="M 7.1 - 20 km SSW of Merizo Village, Guam"/>
        <s v="M 6.7 - 31 km SW of Copiapó, Chile"/>
        <s v="M 6.8 - 27 km SSW of Nuxco, Mexico"/>
        <s v="M 7.1 - 67 km ENE of Hualien City, Taiwan"/>
        <s v="M 6.5 - 107 km NE of Calama, Chile"/>
        <s v="M 7.5 - Mindanao, Philippines"/>
        <s v="M 7.4 - 51 km SW of Jurm, Afghanistan"/>
        <s v="M 6.6 - 125 km E of Kimbe, Papua New Guinea"/>
        <s v="M 6.5 - 5 km NE of Sultanda??, Turkey"/>
        <s v="M 6.7 - 11 km SE of Aitape, Papua New Guinea"/>
        <s v="M 6.6 - 33 km WNW of Port-Vila, Vanuatu"/>
        <s v="M 7.2 - 50 km WNW of Port-Vila, Vanuatu"/>
        <s v="M 6.8 - 22 km WNW of Malango, Solomon Islands"/>
        <s v="M 6.8 - 62 km SSW of Yonakuni, Japan"/>
        <s v="M 6.5 - 3 km NW of Hanamaki, Japan"/>
        <s v="M 7.8 - Southern Qinghai, China"/>
        <s v="M 7.0 - 40 km S of Kimbe, Papua New Guinea"/>
        <s v="M 7.5 - 155 km E of Kendari, Indonesia"/>
        <s v="M 7.0 - 69 km SSE of Inarajan Village, Guam"/>
        <s v="M 6.5 - 108 km WNW of Manokwari, Indonesia"/>
        <s v="M 6.6 - 74 km S of Kokhanok, Alaska"/>
        <s v="M 6.5 - 32 km WNW of Skýros, Greece"/>
        <s v="M 7.6 - 51 km SW of Punta de Bombón, Peru"/>
        <s v="M 6.6 - 31 km S of Achanizo, Peru"/>
        <s v="M 6.7 - 34 km WSW of Pacocha, Peru"/>
        <s v="M 8.4 - 6 km SSW of Atico, Peru"/>
        <s v="M 6.7 - 128 km SSE of Panguna, Papua New Guinea"/>
        <s v="M 6.8 - 16 km SSW of Kure, Japan"/>
        <s v="M 6.5 - 41 km SSW of Ambon, Indonesia"/>
        <s v="M 6.8 - 7 km SSE of Longbranch, Washington"/>
        <s v="M 7.1 - 137 km WNW of Ternate, Indonesia"/>
        <s v="M 7.4 - 102 km SSE of Bengkulu, Indonesia"/>
        <s v="M 6.6 - 5 km S of Cojutepeque, El Salvador"/>
        <s v="M 7.7 - 17 km NW of Bhach?u, India"/>
        <s v="M 6.9 - 59 km WSW of Bengkulu, Indonesia"/>
        <s v="M 7.7 - 28 km SSW of Puerto El Triunfo, El Salvador"/>
        <s v="M 6.9 - 47 km S of Old Harbor, Alaska"/>
        <s v="M 7.1 - 16 km NE of Port-Olry, Vanuatu"/>
        <s v="M 6.8 - Mindanao, Philippines"/>
        <s v="M 7.5 - 21 km SE of Lukatan, Philippines"/>
        <s v="M 6.5 - 52 km ENE of Kokopo, Papua New Guinea"/>
        <s v="M 7.0 - 37 km E of Balkanabat, Turkmenistan"/>
        <s v="M 6.5 - 23 km SSE of Badamdar, Azerbaijan"/>
        <s v="M 6.8 - 15 km SSE of Baku, Azerbaijan"/>
        <s v="M 6.8 - 112 km SSW of Kokopo, Papua New Guinea"/>
        <s v="M 6.6 - 131 km SE of Kokopo, Papua New Guinea"/>
        <s v="M 7.8 - 138 km SSW of Kokopo, Papua New Guinea"/>
        <s v="M 6.5 - 118 km ESE of Kokopo, Papua New Guinea"/>
        <s v="M 7.8 - 135 km SE of Kokopo, Papua New Guinea"/>
        <s v="M 8.0 - 24 km N of Rabaul, Papua New Guinea"/>
        <s v="M 6.5 - 10 km SW of Juradó, Colombia"/>
        <s v="M 7.0 - 191 km ESE of Kokopo, Papua New Guinea"/>
        <s v="M 6.8 - 29 km SW of Labuan, Indonesia"/>
        <s v="M 6.7 - 8 km ESE of Matsue, Japan"/>
        <s v="M 7.0 - 29 km WNW of Luganville, Vanuatu"/>
        <s v="M 6.5 - 15 km W of Nkove, Tanzania"/>
        <s v="M 6.8 - 98 km WSW of Ambon, Indonesia"/>
        <s v="M 6.5 - 24 km NNW of El Habillal, Mexico"/>
        <s v="M 6.8 - 35 km SSE of Uglegorsk, Russia"/>
        <s v="M 6.6 - 161 km SSE of Lata, Solomon Islands"/>
        <s v="M 6.5 - 94 km SSE of Shimoda, Japan"/>
        <s v="M 6.6 - 227 km SE of Kandrian, Papua New Guinea"/>
        <s v="M 6.5 - 24 km SSW of Larsen Bay, Alaska"/>
        <s v="M 6.5 - 12 km ENE of Selfoss, Iceland"/>
        <s v="M 7.9 - South Indian Ocean"/>
        <s v="M 6.5 - 25 km E of Selfoss, Iceland"/>
        <s v="M 6.7 - 98 km SSW of Bengkulu, Indonesia"/>
        <s v="M 6.7 - 95 km S of Bengkulu, Indonesia"/>
        <s v="M 7.9 - 103 km S of Bengkulu, Indonesia"/>
        <s v="M 7.2 - 75 km N of San Antonio de los Cobres, Argentina"/>
        <s v="M 7.6 - 89 km E of Luwuk, Indonesia"/>
        <s v="M 6.6 - 62 km SSW of Ialibu, Papua New Guinea"/>
        <s v="M 6.6 - 87 km ESE of Kimbe, Papua New Guinea"/>
        <s v="M 6.8 - 84 km S of Shikotan, Russia"/>
        <s v="M 7.2 - 117 km SSW of Hihifo, Tonga"/>
        <s v="M 6.9 - 50 km WSW of Lata, Solomon Islands"/>
        <s v="M 6.5 - 59 km SSW of Labuan, Indonesia"/>
        <s v="M 7.3 - 14 km WNW of Bolitoc, Philippines"/>
        <s v="M 7.0 - 26 km SSE of Karluk, Alaska"/>
        <s v="M 6.6 - 127 km ESE of Arica, Chile"/>
        <s v="M 7.5 - 92 km ESE of Lakatoro, Vanuatu"/>
        <s v="M 7.0 - 88 km W of Kandrian, Papua New Guinea"/>
        <s v="M 6.9 - 84 km WNW of Kandrian, Papua New Guinea"/>
        <s v="M 7.2 - 8 km S of Düzce, Turkey"/>
        <s v="M 6.5 - 31 km SW of Ashk?sham, Afghanistan"/>
        <s v="M 7.1 - Hector Mine, CA Earthquake"/>
        <s v="M 7.5 - 15 km W of San Baltazar Loxicha, Mexico"/>
        <s v="M 6.5 - 31 km SE of Puli, Taiwan"/>
        <s v="M 7.7 - 21 km S of Puli, Taiwan"/>
        <s v="M 6.6 - 66 km E of Lakatoro, Vanuatu"/>
        <s v="M 6.9 - 42 km S of Quepos, Costa Rica"/>
        <s v="M 7.6 - 4 km ESE of Derince, Turkey"/>
        <s v="M 6.7 - 16 km N of Potrerillos, Honduras"/>
        <s v="M 7.0 - 1 km SE of Texcala, Mexico"/>
        <s v="M 6.6 - 113 km SE of Kokopo, Papua New Guinea"/>
        <s v="M 7.1 - 51 km SSE of Kokopo, Papua New Guinea"/>
        <s v="M 7.1 - 92 km ENE of Kimbe, Papua New Guinea"/>
        <s v="M 6.8 - 132 km WSW of Haveluloto, Tonga"/>
        <s v="M 7.4 - 63 km W of Kimbe, Papua New Guinea"/>
        <s v="M 6.8 - 6 km SE of Camaná, Peru"/>
        <s v="M 6.6 - 9 km NNW of P?palkoti, India"/>
        <s v="M 6.9 - 78 km WSW of Adak, Alaska"/>
        <s v="M 6.9 - 123 km SE of Vilyuchinsk, Russia"/>
        <s v="M 7.1 - 69 km S of Tabiauan, Philippines"/>
        <s v="M 6.6 - 110 km SSE of K?h Sef?d, Iran"/>
        <s v="M 7.3 - 146 km NW of Sola, Vanuatu"/>
        <s v="M 6.6 - 18 km WSW of Nikolski, Alaska"/>
        <s v="M 7.0 - 110 km ESE of Kokopo, Papua New Guinea"/>
        <s v="M 6.8 - 131 km WSW of Haveluloto, Tonga"/>
        <s v="M 7.7 - 264 km ESE of Luwuk, Indonesia"/>
        <s v="M 7.0 - 278 km NE of Lospalos, Timor Leste"/>
        <s v="M 6.7 - 282 km NE of Lospalos, Timor Leste"/>
        <s v="M 6.6 - 8 km WSW of Sumberpucung, Indonesia"/>
        <s v="M 6.6 - 66 km NNW of Coquimbo, Chile"/>
        <s v="M 6.8 - 123 km SSE of Pondaguitan, Philippines"/>
        <s v="M 7.2 - 3 km E of Bahía de Caráquez, Ecuador"/>
        <s v="M 6.7 - 192 km W of Abepura, Indonesia"/>
        <s v="M 7.0 - 50 km WNW of Aitape, Papua New Guinea"/>
        <s v="M 7.0 - 52 km SE of Lata, Solomon Islands"/>
        <s v="M 6.6 - 24 km E of Rust?q, Afghanistan"/>
        <s v="M 6.6 - 25 km NNW of Mizque, Bolivia"/>
        <s v="M 6.7 - 127 km NNW of Palu, Indonesia"/>
        <s v="M 6.6 - 108 km SW of Kokopo, Papua New Guinea"/>
        <s v="M 7.5 - 254 km SSE of Ishigaki, Japan"/>
        <s v="M 6.6 - 43 km NE of San Fernando, Peru"/>
        <s v="M 7.0 - 95 km W of Pariaman, Indonesia"/>
        <s v="M 6.6 - 52 km ESE of Kerman, Iran"/>
        <s v="M 7.1 - 34 km SSE of Antofagasta, Chile"/>
        <s v="M 6.7 - 149 km ENE of Labasa, Fiji"/>
        <s v="M 6.6 - 47 km SSW of Ovalle, Chile"/>
        <s v="M 6.6 - 10 km SSW of San José El Ídolo, Guatemala"/>
        <s v="M 7.2 - 117 km N of Finschhafen, Papua New Guinea"/>
        <s v="M 7.8 - 156 km S of Ust’-Kamchatsk Staryy, Russia"/>
        <s v="M 7.0 - 97 km NW of Gorontalo, Indonesia"/>
        <s v="M 6.6 - 22 km SW of Lithakiá, Greece"/>
        <s v="M 7.0 - 34 km ESE of Port-Olry, Vanuatu"/>
        <s v="M 6.5 - 13 km NNE of San Sebastián, El Salvador"/>
        <s v="M 7.5 - western Xizang"/>
        <s v="M 7.2 - 51 km N of Barranca, Peru"/>
        <s v="M 7.1 - 36 km SW of Monte Patria, Chile"/>
        <s v="M 7.8 - 192 km WSW of Haveluloto, Tonga"/>
        <s v="M 6.5 - 18 km E of Talisay, Philippines"/>
        <s v="M 6.8 - 24 km SW of Roncesvalles, Colombia"/>
        <s v="M 6.6 - 64 km NNE of Angoram, Papua New Guinea"/>
        <s v="M 6.9 - 4 km ENE of El Ciruelo, Mexico"/>
        <s v="M 7.0 - 26 km WSW of Carúpano, Venezuela"/>
        <s v="M 6.8 - 52 km WSW of Coquimbo, Chile"/>
        <s v="M 6.5 - 5 km ENE of Churumuco de Morelos, Mexico"/>
        <s v="M 6.8 - 99 km S of Isangel, Vanuatu"/>
        <s v="M 6.5 - 51 km S of Jurm, Afghanistan"/>
        <s v="M 7.3 - 58 km E of Q?’en, Iran"/>
        <s v="M 6.5 - 49 km N of Yigo Village, Guam"/>
        <s v="M 6.7 - 18 km WSW of Scarborough, Trinidad and Tobago"/>
        <s v="M 7.7 - 171 km NNW of Sola, Vanuatu"/>
        <s v="M 6.5 - 49 km W of Finschhafen, Papua New Guinea"/>
        <s v="M 6.9 - 121 km E of Kinablangan, Philippines"/>
        <s v="M 7.1 - 29 km ESE of Harnai, Pakistan"/>
        <s v="M 6.5 - Turkmenistan-Iran border region"/>
        <s v="M 7.2 - 46 km WNW of El Habillal, Mexico"/>
        <s v="M 6.5 - 131 km W of Iwanai, Japan"/>
        <s v="M 6.7 - 17 km SW of Miyazaki, Japan"/>
        <s v="M 6.9 - 130 km ENE of Thang, India"/>
        <s v="M 7.7 - 60 km SW of Changuillo, Peru"/>
        <s v="M 6.7 - 5 km SE of Miyazaki, Japan"/>
        <s v="M 6.6 - 20 km SSE of Nishinoomote, Japan"/>
        <s v="M 6.8 - 90 km S of Panguna, Papua New Guinea"/>
        <s v="M 6.8 - 36 km SW of Paphos, Cyprus"/>
        <s v="M 6.6 - 24 km NE of Cortes, Philippines"/>
        <s v="M 6.6 - 22 km NNE of Cortes, Philippines"/>
        <s v="M 6.8 - 78 km E of Hengchun, Taiwan"/>
        <s v="M 6.9 - 62 km WSW of Kirakira, Solomon Islands"/>
        <s v="M 7.0 - 220 km NNE of Palu, Indonesia"/>
        <s v="M 6.6 - 217 km NNE of Palu, Indonesia"/>
        <s v="M 6.8 - 26 km NNE of Coyuquilla Norte, Mexico"/>
        <s v="M 7.9 - 169 km NNE of Maumere, Indonesia"/>
        <s v="M 7.1 - 8 km NNE of Palapag, Philippines"/>
        <s v="M 7.3 - 46 km SSW of Adak, Alaska"/>
        <s v="M 7.9 - 77 km WSW of Adak, Alaska"/>
        <s v="M 6.7 - 63 km NW of Sola, Vanuatu"/>
        <s v="M 7.2 - 58 km WSW of Panguna, Papua New Guinea"/>
        <s v="M 6.6 - 44 km SE of Antofagasta, Chile"/>
        <s v="M 6.7 - 44 km NNE of Port-Olry, Vanuatu"/>
        <s v="M 6.7 - 30 km WSW of Villa El Carmen, Nicaragua"/>
        <s v="M 6.6 - 39 km WSW of Masachapa, Nicaragua"/>
        <s v="M 7.1 - 24 km SSW of Santa María Chico Ometepec, Mexico"/>
        <s v="M 7.5 - 123 km WSW of Puerto Santa, Peru"/>
        <s v="M 6.5 - 32 km NNE of Biak, Indonesia"/>
        <s v="M 6.5 - 67 km NNW of Insrom, Indonesia"/>
        <s v="M 8.1 - 101 km ENE of Biak, Indonesia"/>
        <s v="M 6.7 - 123 km E of Namie, Japan"/>
        <s v="M 7.2 - 158 km E of Kuril’sk, Russia"/>
        <s v="M 6.6 - 47 km N of Lijiang, China"/>
        <s v="M 6.6 - 106 km NE of Yelizovo, Russia"/>
        <s v="M 7.9 - 181 km N of Palu, Indonesia"/>
        <s v="M 7.1 - 297 km NE of Lospalos, Timor Leste"/>
        <s v="M 6.5 - 130 km SSW of Abepura, Indonesia"/>
        <s v="M 7.9 - 128 km ESE of Kuril’sk, Russia"/>
        <s v="M 7.2 - 27 km SSE of Nuwaybi‘a, Egypt"/>
        <s v="M 6.7 - 73 km WSW of Vallenar, Chile"/>
        <s v="M 7.2 - 13 km NW of Ocozocoautla de Espinosa, Mexico"/>
        <s v="M 6.8 - 71 km ESE of Naze, Japan"/>
        <s v="M 7.1 - 83 km SE of Naze, Japan"/>
        <s v="M 8.0 - 5 km E of El Colomo, Mexico"/>
        <s v="M 6.8 - 5 km ENE of Sungai Penuh, Indonesia"/>
        <s v="M 6.5 - 50 km SE of Sucúa, Ecuador"/>
        <s v="M 7.0 - 45 km SE of Sucúa, Ecuador"/>
        <s v="M 6.5 - 81 km W of Paramonga, Peru"/>
        <s v="M 7.4 - 5 km N of Azoyú, Mexico"/>
        <s v="M 6.6 - 95 km SW of Etchoropo, Mexico"/>
        <s v="M 6.6 - 7 km WSW of Neira, Colombia"/>
        <s v="M 7.2 - 139 km WNW of Panguna, Papua New Guinea"/>
        <s v="M 6.6 - 205 km SE of Kokopo, Papua New Guinea"/>
        <s v="M 7.7 - 155 km WNW of Panguna, Papua New Guinea"/>
        <s v="M 6.7 - 99 km WSW of Kokopo, Papua New Guinea"/>
        <s v="M 8.0 - 36 km NNE of Antofagasta, Chile"/>
        <s v="M 6.8 - 158 km W of Jinghong, China"/>
        <s v="M 6.6 - 0 km ESE of Isangel, Vanuatu"/>
        <s v="M 6.5 - 8 km WNW of Galaxídhion, Greece"/>
        <s v="M 7.1 - 85 km S of Tungor, Russia"/>
        <s v="M 7.7 - 249 km E of Vao, New Caledonia"/>
        <s v="M 6.9 - 27 km NNW of Maubara, Timor Leste"/>
        <s v="M 6.6 - 10 km W of Aianí, Greece"/>
        <s v="M 7.1 - 14 km NE of Cabatuan, Philippines"/>
      </sharedItems>
    </cacheField>
    <cacheField name="magnitude" numFmtId="0">
      <sharedItems containsSemiMixedTypes="0" containsString="0" containsNumber="1">
        <n v="6.5"/>
        <n v="6.6"/>
        <n v="7.2"/>
        <n v="7.3"/>
        <n v="6.9"/>
        <n v="7.1"/>
        <n v="7.7"/>
        <n v="7.6"/>
        <n v="6.7"/>
        <n v="7.0"/>
        <n v="6.8"/>
        <n v="7.5"/>
        <n v="7.8"/>
        <n v="8.1"/>
        <n v="8.2"/>
        <n v="7.4"/>
        <n v="8.0"/>
        <n v="7.9"/>
        <n v="8.3"/>
        <n v="8.6"/>
        <n v="9.1"/>
        <n v="8.8"/>
        <n v="8.4"/>
        <n v="8.16"/>
        <n v="8.09"/>
      </sharedItems>
    </cacheField>
    <cacheField name="date_time">
      <sharedItems containsDate="1" containsMixedTypes="1">
        <s v="16/08/2023 12:47"/>
        <s v="19/07/2023 00:22"/>
        <s v="17/07/2023 03:05"/>
        <s v="16/07/2023 06:48"/>
        <d v="2023-10-07T20:28:00Z"/>
        <d v="2023-02-07T10:27:00Z"/>
        <s v="15/06/2023 18:06"/>
        <s v="25/05/2023 03:05"/>
        <s v="20/05/2023 01:51"/>
        <s v="19/05/2023 02:57"/>
        <d v="2023-10-05T16:02:00Z"/>
        <s v="28/04/2023 03:13"/>
        <s v="24/04/2023 20:00"/>
        <s v="24/04/2023 00:41"/>
        <s v="18/04/2023 04:31"/>
        <s v="14/04/2023 09:55"/>
        <d v="2023-03-04T03:06:00Z"/>
        <d v="2023-02-04T18:04:00Z"/>
        <s v="22/03/2023 16:00"/>
        <s v="21/03/2023 16:47"/>
        <s v="18/03/2023 17:12"/>
        <s v="16/03/2023 00:56"/>
        <d v="2023-04-03T06:41:00Z"/>
        <d v="2023-02-03T18:04:00Z"/>
        <d v="2023-01-03T05:36:00Z"/>
        <s v="23/02/2023 00:37"/>
        <d v="2023-06-02T10:24:00Z"/>
        <d v="2023-06-02T01:28:00Z"/>
        <d v="2023-06-02T01:17:00Z"/>
        <s v="20/01/2023 22:09"/>
        <s v="18/01/2023 06:06"/>
        <d v="2023-09-01T17:47:00Z"/>
        <d v="2023-08-01T12:32:00Z"/>
        <d v="2022-04-12T19:24:00Z"/>
        <s v="22/11/2022 02:03"/>
        <s v="18/11/2022 13:37"/>
        <d v="2022-12-11T07:09:00Z"/>
        <d v="2022-11-11T10:48:00Z"/>
        <d v="2022-09-11T10:14:00Z"/>
        <d v="2022-09-11T09:51:00Z"/>
        <d v="2022-09-11T09:38:00Z"/>
        <s v="20/10/2022 11:57"/>
        <s v="22/09/2022 06:16"/>
        <s v="19/09/2022 18:05"/>
        <s v="18/09/2022 06:44"/>
        <s v="17/09/2022 13:41"/>
        <s v="14/09/2022 11:04"/>
        <d v="2022-10-09T23:47:00Z"/>
        <d v="2022-05-09T04:52:00Z"/>
        <s v="14/08/2022 13:44"/>
        <s v="27/07/2022 00:43"/>
        <d v="2022-08-06T00:55:00Z"/>
        <s v="26/05/2022 12:02"/>
        <s v="19/05/2022 10:13"/>
        <d v="2022-10-05T23:06:00Z"/>
        <s v="21/04/2022 07:42"/>
        <s v="31/03/2022 05:44"/>
        <s v="30/03/2022 20:56"/>
        <s v="22/03/2022 17:41"/>
        <s v="16/03/2022 14:36"/>
        <s v="13/03/2022 21:09"/>
        <d v="2022-02-03T12:52:00Z"/>
        <s v="16/02/2022 20:21"/>
        <d v="2022-03-02T15:58:00Z"/>
        <s v="29/01/2022 02:46"/>
        <s v="14/01/2022 09:05"/>
        <d v="2022-11-01T12:39:00Z"/>
        <d v="2022-11-01T11:35:00Z"/>
        <d v="2022-11-01T01:07:00Z"/>
        <d v="2022-07-01T17:45:00Z"/>
        <s v="29/12/2021 18:25"/>
        <s v="14/12/2021 03:20"/>
        <s v="28/11/2021 10:52"/>
        <d v="2021-10-11T15:45:00Z"/>
        <d v="2021-11-10T09:10:00Z"/>
        <d v="2021-09-10T10:58:00Z"/>
        <d v="2021-02-10T06:29:00Z"/>
        <s v="22/09/2021 09:57"/>
        <d v="2021-08-09T01:47:00Z"/>
        <s v="22/08/2021 21:33"/>
        <s v="22/08/2021 00:45"/>
        <s v="18/08/2021 10:10"/>
        <s v="16/08/2021 11:10"/>
        <s v="14/08/2021 12:29"/>
        <s v="14/08/2021 11:57"/>
        <d v="2021-12-08T18:35:00Z"/>
        <d v="2021-12-08T18:32:00Z"/>
        <d v="2021-11-08T17:46:00Z"/>
        <s v="29/07/2021 06:15"/>
        <s v="23/07/2021 20:48"/>
        <s v="21/07/2021 21:15"/>
        <s v="20/06/2021 17:05"/>
        <s v="21/05/2021 22:13"/>
        <s v="21/05/2021 18:04"/>
        <s v="14/05/2021 06:33"/>
        <d v="2021-12-05T14:05:00Z"/>
        <d v="2021-01-05T01:27:00Z"/>
        <s v="25/04/2021 22:28"/>
        <s v="24/04/2021 00:23"/>
        <s v="20/03/2021 09:09"/>
        <s v="16/03/2021 18:38"/>
        <d v="2021-04-03T23:12:00Z"/>
        <d v="2021-04-03T19:28:00Z"/>
        <d v="2021-04-03T17:41:00Z"/>
        <d v="2021-04-03T13:27:00Z"/>
        <s v="13/02/2021 14:07"/>
        <d v="2021-10-02T13:19:00Z"/>
        <s v="23/01/2021 23:36"/>
        <s v="21/01/2021 12:23"/>
        <d v="2021-11-01T21:32:00Z"/>
        <s v="27/12/2020 21:39"/>
        <s v="30/10/2020 11:51"/>
        <s v="19/10/2020 20:54"/>
        <s v="18/09/2020 21:43"/>
        <d v="2020-01-09T21:09:00Z"/>
        <d v="2020-01-09T04:09:00Z"/>
        <s v="30/08/2020 21:20"/>
        <s v="21/08/2020 04:09"/>
        <s v="18/08/2020 22:29"/>
        <s v="18/08/2020 22:23"/>
        <s v="18/08/2020 00:03"/>
        <s v="22/07/2020 06:12"/>
        <s v="17/07/2020 02:50"/>
        <d v="2020-06-07T22:54:00Z"/>
        <s v="23/06/2020 15:29"/>
        <s v="18/06/2020 12:49"/>
        <s v="13/06/2020 15:51"/>
        <d v="2020-03-06T07:35:00Z"/>
        <s v="15/05/2020 11:03"/>
        <d v="2020-12-05T22:41:00Z"/>
        <d v="2020-06-05T13:53:00Z"/>
        <d v="2020-02-05T12:51:00Z"/>
        <s v="31/03/2020 23:52"/>
        <s v="25/03/2020 02:49"/>
        <s v="13/02/2020 10:33"/>
        <s v="28/01/2020 19:10"/>
        <s v="24/01/2020 17:55"/>
        <s v="15/12/2019 06:11"/>
        <s v="14/11/2019 16:17"/>
        <d v="2019-08-11T10:44:00Z"/>
        <d v="2019-04-11T22:43:00Z"/>
        <s v="31/10/2019 01:11"/>
        <s v="29/10/2019 01:04"/>
        <s v="29/09/2019 15:57"/>
        <s v="25/09/2019 23:46"/>
        <d v="2019-01-09T15:54:00Z"/>
        <s v="27/08/2019 23:55"/>
        <d v="2019-02-08T12:03:00Z"/>
        <d v="2019-01-08T18:28:00Z"/>
        <s v="31/07/2019 15:02"/>
        <s v="14/07/2019 09:10"/>
        <s v="14/07/2019 05:39"/>
        <d v="2019-07-07T15:08:00Z"/>
        <d v="2019-06-07T03:19:00Z"/>
        <s v="24/06/2019 02:53"/>
        <s v="15/06/2019 22:55"/>
        <s v="30/05/2019 09:03"/>
        <s v="26/05/2019 07:41"/>
        <s v="14/05/2019 12:58"/>
        <d v="2019-06-05T21:19:00Z"/>
        <d v="2019-12-04T11:40:00Z"/>
        <d v="2019-09-04T17:53:00Z"/>
        <d v="2019-01-03T08:50:00Z"/>
        <s v="22/02/2019 10:17"/>
        <d v="2019-01-02T16:14:00Z"/>
        <s v="22/01/2019 19:01"/>
        <s v="20/01/2019 01:32"/>
        <s v="15/01/2019 18:06"/>
        <d v="2019-06-01T17:27:00Z"/>
        <d v="2019-05-01T19:25:00Z"/>
        <s v="29/12/2018 03:39"/>
        <s v="20/12/2018 17:01"/>
        <d v="2018-11-12T02:26:00Z"/>
        <d v="2018-05-12T06:43:00Z"/>
        <d v="2018-05-12T04:18:00Z"/>
        <s v="30/11/2018 17:29"/>
        <s v="18/11/2018 20:25"/>
        <d v="2018-09-11T01:49:00Z"/>
        <s v="25/10/2018 22:54"/>
        <s v="22/10/2018 06:22"/>
        <s v="22/10/2018 06:16"/>
        <s v="22/10/2018 05:39"/>
        <s v="16/10/2018 01:03"/>
        <s v="13/10/2018 11:10"/>
        <d v="2018-10-10T23:16:00Z"/>
        <d v="2018-10-10T20:48:00Z"/>
        <s v="30/09/2018 10:52"/>
        <s v="28/09/2018 10:02"/>
        <s v="16/09/2018 21:11"/>
        <d v="2018-10-09T04:19:00Z"/>
        <d v="2018-09-09T19:31:00Z"/>
        <d v="2018-06-09T15:49:00Z"/>
        <d v="2018-05-09T18:07:00Z"/>
        <s v="29/08/2018 03:51"/>
        <s v="24/08/2018 09:04"/>
        <s v="21/08/2018 22:32"/>
        <s v="21/08/2018 21:31"/>
        <s v="19/08/2018 14:56"/>
        <s v="19/08/2018 00:19"/>
        <s v="17/08/2018 15:35"/>
        <s v="15/08/2018 21:56"/>
        <d v="2018-05-08T11:46:00Z"/>
        <d v="2018-04-05T22:32:00Z"/>
        <d v="2018-02-04T13:40:00Z"/>
        <s v="29/03/2018 21:25"/>
        <s v="26/03/2018 09:51"/>
        <d v="2018-08-03T17:39:00Z"/>
        <d v="2018-06-03T14:13:00Z"/>
        <s v="25/02/2018 17:44"/>
        <s v="16/02/2018 23:39"/>
        <s v="23/01/2018 09:31"/>
        <s v="14/01/2018 09:18"/>
        <d v="2018-10-01T02:51:00Z"/>
        <s v="15/12/2017 16:47"/>
        <s v="13/12/2017 18:03"/>
        <s v="19/11/2017 22:43"/>
        <s v="19/11/2017 15:09"/>
        <s v="13/11/2017 02:28"/>
        <d v="2017-12-11T18:18:00Z"/>
        <d v="2017-07-11T21:26:00Z"/>
        <d v="2017-04-11T09:00:00Z"/>
        <d v="2017-01-11T02:23:00Z"/>
        <s v="31/10/2017 00:42"/>
        <s v="24/10/2017 10:47"/>
        <d v="2017-08-10T22:34:00Z"/>
        <s v="19/09/2017 18:14"/>
        <d v="2017-08-09T04:49:00Z"/>
        <d v="2017-08-08T13:19:00Z"/>
        <s v="20/07/2017 22:31"/>
        <s v="17/07/2017 23:34"/>
        <d v="2017-11-07T07:00:00Z"/>
        <d v="2017-06-07T08:03:00Z"/>
        <s v="22/06/2017 12:31"/>
        <s v="14/06/2017 07:29"/>
        <d v="2017-02-06T22:24:00Z"/>
        <s v="29/05/2017 14:35"/>
        <d v="2017-10-05T23:23:00Z"/>
        <d v="2017-09-05T13:52:00Z"/>
        <s v="28/04/2017 20:23"/>
        <s v="24/04/2017 21:38"/>
        <d v="2017-03-04T17:40:00Z"/>
        <s v="29/03/2017 04:09"/>
        <s v="24/02/2017 17:28"/>
        <s v="21/02/2017 14:09"/>
        <d v="2017-10-02T14:03:00Z"/>
        <s v="22/01/2017 04:30"/>
        <s v="19/01/2017 23:04"/>
        <d v="2017-10-01T06:13:00Z"/>
        <d v="2017-03-01T21:52:00Z"/>
        <s v="25/12/2016 14:22"/>
        <s v="21/12/2016 00:17"/>
        <s v="17/12/2016 10:51"/>
        <d v="2016-09-12T19:10:00Z"/>
        <d v="2016-08-12T21:56:00Z"/>
        <d v="2016-08-12T17:38:00Z"/>
        <d v="2016-08-12T14:49:00Z"/>
        <d v="2016-06-12T22:03:00Z"/>
        <s v="25/11/2016 14:24"/>
        <s v="24/11/2016 18:43"/>
        <s v="21/11/2016 20:59"/>
        <s v="14/11/2016 00:34"/>
        <s v="13/11/2016 11:32"/>
        <s v="13/11/2016 11:02"/>
        <s v="30/10/2016 06:40"/>
        <s v="19/10/2016 00:26"/>
        <s v="17/10/2016 06:14"/>
        <s v="24/09/2016 21:28"/>
        <d v="2016-01-09T16:37:00Z"/>
        <s v="31/08/2016 03:11"/>
        <s v="24/08/2016 10:34"/>
        <d v="2016-12-08T01:26:00Z"/>
        <s v="29/07/2016 21:18"/>
        <d v="2016-01-06T22:56:00Z"/>
        <s v="28/05/2016 09:46"/>
        <s v="28/05/2016 05:38"/>
        <s v="18/05/2016 16:46"/>
        <s v="18/05/2016 07:57"/>
        <s v="28/04/2016 19:33"/>
        <s v="16/04/2016 23:58"/>
        <s v="15/04/2016 16:25"/>
        <s v="13/04/2016 13:55"/>
        <d v="2016-10-04T10:28:00Z"/>
        <d v="2016-07-04T03:32:00Z"/>
        <d v="2016-06-04T06:58:00Z"/>
        <d v="2016-03-04T08:23:00Z"/>
        <d v="2016-02-03T12:49:00Z"/>
        <s v="30/01/2016 03:25"/>
        <s v="24/01/2016 10:30"/>
        <s v="21/01/2016 18:06"/>
        <s v="14/01/2016 03:25"/>
        <d v="2016-11-01T16:38:00Z"/>
        <d v="2016-03-01T23:05:00Z"/>
        <s v="17/12/2015 19:49"/>
        <d v="2015-09-12T10:21:00Z"/>
        <d v="2015-07-12T07:50:00Z"/>
        <s v="26/11/2015 05:45"/>
        <s v="24/11/2015 22:50"/>
        <s v="24/11/2015 22:45"/>
        <s v="18/11/2015 18:31"/>
        <s v="17/11/2015 07:10"/>
        <s v="13/11/2015 20:51"/>
        <d v="2015-11-11T02:46:00Z"/>
        <d v="2015-11-11T01:54:00Z"/>
        <d v="2015-08-11T16:47:00Z"/>
        <d v="2015-07-11T07:31:00Z"/>
        <d v="2015-04-11T03:44:00Z"/>
        <s v="26/10/2015 09:09"/>
        <s v="20/10/2015 21:52"/>
        <s v="24/09/2015 15:53"/>
        <s v="21/09/2015 17:40"/>
        <s v="17/09/2015 04:10"/>
        <s v="17/09/2015 03:55"/>
        <s v="16/09/2015 23:18"/>
        <s v="16/09/2015 22:54"/>
        <s v="13/09/2015 08:14"/>
        <d v="2015-12-08T18:49:00Z"/>
        <d v="2015-10-08T04:12:00Z"/>
        <s v="27/07/2015 21:41"/>
        <s v="27/07/2015 04:49"/>
        <s v="18/07/2015 02:27"/>
        <s v="16/07/2015 15:16"/>
        <d v="2015-10-07T04:12:00Z"/>
        <s v="23/06/2015 12:18"/>
        <s v="30/05/2015 11:23"/>
        <s v="29/05/2015 07:00"/>
        <s v="22/05/2015 23:59"/>
        <s v="22/05/2015 21:45"/>
        <s v="20/05/2015 22:48"/>
        <d v="2015-12-05T21:12:00Z"/>
        <d v="2015-12-05T07:05:00Z"/>
        <d v="2015-07-05T07:10:00Z"/>
        <d v="2015-05-05T01:44:00Z"/>
        <d v="2015-01-05T08:06:00Z"/>
        <s v="30/04/2015 10:45"/>
        <s v="26/04/2015 07:09"/>
        <s v="25/04/2015 06:45"/>
        <s v="25/04/2015 06:11"/>
        <s v="17/04/2015 15:52"/>
        <s v="30/03/2015 08:48"/>
        <s v="29/03/2015 23:48"/>
        <s v="27/02/2015 13:45"/>
        <s v="16/02/2015 23:06"/>
        <d v="2015-11-02T18:57:00Z"/>
        <s v="23/01/2015 03:47"/>
        <d v="2015-07-01T05:07:00Z"/>
        <d v="2014-08-12T08:54:00Z"/>
        <d v="2014-07-12T01:22:00Z"/>
        <d v="2014-02-12T05:11:00Z"/>
        <s v="26/11/2014 14:33"/>
        <s v="21/11/2014 10:10"/>
        <s v="16/11/2014 22:33"/>
        <s v="15/11/2014 02:31"/>
        <d v="2014-07-11T03:33:00Z"/>
        <d v="2014-01-11T18:57:00Z"/>
        <s v="14/10/2014 03:51"/>
        <s v="17/09/2014 06:14"/>
        <s v="24/08/2014 23:21"/>
        <d v="2014-03-08T00:22:00Z"/>
        <s v="21/07/2014 14:54"/>
        <d v="2014-11-07T19:22:00Z"/>
        <d v="2014-07-07T11:23:00Z"/>
        <d v="2014-04-07T15:00:00Z"/>
        <s v="29/06/2014 17:15"/>
        <s v="29/06/2014 07:52"/>
        <s v="23/06/2014 20:53"/>
        <s v="23/06/2014 20:06"/>
        <s v="23/06/2014 19:21"/>
        <s v="23/06/2014 19:19"/>
        <s v="24/05/2014 09:25"/>
        <s v="13/05/2014 06:35"/>
        <d v="2014-01-05T06:36:00Z"/>
        <s v="24/04/2014 03:10"/>
        <s v="19/04/2014 13:28"/>
        <s v="19/04/2014 01:04"/>
        <s v="18/04/2014 14:27"/>
        <s v="13/04/2014 13:24"/>
        <s v="13/04/2014 12:36"/>
        <d v="2014-12-04T20:14:00Z"/>
        <d v="2014-11-04T20:29:00Z"/>
        <d v="2014-11-04T08:16:00Z"/>
        <d v="2014-11-04T07:07:00Z"/>
        <d v="2014-03-04T02:43:00Z"/>
        <d v="2014-03-04T01:58:00Z"/>
        <d v="2014-01-04T23:57:00Z"/>
        <d v="2014-01-04T23:46:00Z"/>
        <s v="16/03/2014 21:16"/>
        <d v="2014-10-03T05:18:00Z"/>
        <d v="2014-02-03T20:11:00Z"/>
        <s v="18/02/2014 09:27"/>
        <d v="2014-12-02T09:19:00Z"/>
        <d v="2014-07-02T08:40:00Z"/>
        <d v="2014-02-02T09:26:00Z"/>
        <d v="2014-01-01T16:03:00Z"/>
        <s v="23/11/2013 07:48"/>
        <s v="17/11/2013 09:04"/>
        <s v="16/11/2013 03:34"/>
        <s v="31/10/2013 23:03"/>
        <s v="25/10/2013 17:10"/>
        <s v="19/10/2013 17:54"/>
        <s v="16/10/2013 10:30"/>
        <s v="15/10/2013 00:12"/>
        <d v="2013-12-10T13:11:00Z"/>
        <d v="2013-01-10T03:38:00Z"/>
        <s v="30/09/2013 05:55"/>
        <s v="28/09/2013 07:34"/>
        <s v="25/09/2013 16:42"/>
        <s v="24/09/2013 11:29"/>
        <d v="2013-04-09T02:32:00Z"/>
        <d v="2013-04-09T00:18:00Z"/>
        <d v="2013-01-09T11:52:00Z"/>
        <s v="30/08/2013 16:25"/>
        <s v="16/08/2013 02:31"/>
        <s v="13/08/2013 15:43"/>
        <s v="21/07/2013 05:09"/>
        <s v="15/07/2013 14:03"/>
        <d v="2013-07-07T20:30:00Z"/>
        <d v="2013-07-07T18:35:00Z"/>
        <s v="24/06/2013 22:04"/>
        <s v="15/06/2013 17:34"/>
        <s v="13/06/2013 16:47"/>
        <s v="24/05/2013 14:56"/>
        <s v="24/05/2013 05:44"/>
        <s v="23/05/2013 17:19"/>
        <s v="14/05/2013 00:32"/>
        <s v="23/04/2013 23:14"/>
        <s v="20/04/2013 00:02"/>
        <s v="19/04/2013 03:05"/>
        <s v="16/04/2013 22:55"/>
        <s v="16/04/2013 10:44"/>
        <s v="14/04/2013 01:32"/>
        <d v="2013-06-04T04:42:00Z"/>
        <d v="2013-10-03T22:51:00Z"/>
        <d v="2013-01-03T13:20:00Z"/>
        <s v="28/02/2013 14:05"/>
        <s v="14/02/2013 13:13"/>
        <d v="2013-09-02T21:02:00Z"/>
        <d v="2013-09-02T14:16:00Z"/>
        <d v="2013-08-02T15:26:00Z"/>
        <d v="2013-08-02T11:12:00Z"/>
        <d v="2013-07-02T18:59:00Z"/>
        <d v="2013-06-02T01:54:00Z"/>
        <d v="2013-06-02T01:23:00Z"/>
        <d v="2013-06-02T01:12:00Z"/>
        <d v="2013-02-02T14:17:00Z"/>
        <s v="30/01/2013 20:15"/>
        <d v="2013-05-01T08:58:00Z"/>
        <s v="21/12/2012 22:28"/>
        <d v="2012-10-12T16:53:00Z"/>
        <d v="2012-07-12T08:18:00Z"/>
        <d v="2012-11-11T22:14:00Z"/>
        <d v="2012-11-11T01:12:00Z"/>
        <d v="2012-07-11T16:35:00Z"/>
        <s v="28/10/2012 03:04"/>
        <s v="24/10/2012 00:45"/>
        <d v="2012-12-10T00:31:00Z"/>
        <s v="30/09/2012 16:31"/>
        <d v="2012-05-09T14:42:00Z"/>
        <s v="31/08/2012 12:47"/>
        <s v="27/08/2012 04:37"/>
        <s v="26/08/2012 15:05"/>
        <s v="14/08/2012 02:59"/>
        <s v="28/07/2012 20:03"/>
        <s v="28/04/2012 10:08"/>
        <s v="21/04/2012 01:16"/>
        <s v="17/04/2012 07:13"/>
        <s v="17/04/2012 03:50"/>
        <d v="2012-12-04T07:15:00Z"/>
        <d v="2012-11-04T22:55:00Z"/>
        <d v="2012-11-04T10:43:00Z"/>
        <d v="2012-11-04T08:38:00Z"/>
        <s v="25/03/2012 22:37"/>
        <s v="21/03/2012 22:15"/>
        <s v="20/03/2012 18:02"/>
        <s v="26/02/2012 06:17"/>
        <d v="2012-06-02T03:49:00Z"/>
        <d v="2012-02-02T13:34:00Z"/>
        <d v="2012-10-01T18:36:00Z"/>
        <s v="27/12/2011 15:21"/>
        <s v="14/12/2011 05:04"/>
        <d v="2011-11-12T01:47:00Z"/>
        <s v="28/10/2011 18:54"/>
        <s v="23/10/2011 10:41"/>
        <s v="14/10/2011 03:35"/>
        <s v="18/09/2011 12:40"/>
        <s v="16/09/2011 19:26"/>
        <d v="2011-05-09T17:55:00Z"/>
        <d v="2011-03-09T22:55:00Z"/>
        <s v="24/08/2011 17:46"/>
        <s v="20/08/2011 18:19"/>
        <s v="20/08/2011 17:13"/>
        <s v="20/08/2011 16:55"/>
        <s v="31/07/2011 23:38"/>
        <d v="2011-06-07T19:03:00Z"/>
        <s v="22/06/2011 21:50"/>
        <d v="2011-10-05T08:55:00Z"/>
        <s v="23/04/2011 04:16"/>
        <d v="2011-11-04T08:16:00Z"/>
        <d v="2011-07-04T14:32:00Z"/>
        <d v="2011-07-04T13:11:00Z"/>
        <s v="24/03/2011 13:55"/>
        <d v="2011-11-03T11:36:00Z"/>
        <d v="2011-11-03T08:19:00Z"/>
        <d v="2011-11-03T06:25:00Z"/>
        <d v="2011-11-03T06:15:00Z"/>
        <d v="2011-11-03T05:46:00Z"/>
        <d v="2011-09-03T02:45:00Z"/>
        <s v="14/02/2011 03:40"/>
        <d v="2011-11-02T20:05:00Z"/>
        <s v="18/01/2011 20:23"/>
        <s v="13/01/2011 16:16"/>
        <d v="2011-02-01T20:20:00Z"/>
        <s v="25/12/2010 13:16"/>
        <s v="20/12/2010 18:41"/>
        <d v="2010-02-12T03:12:00Z"/>
        <s v="25/10/2010 14:42"/>
        <s v="21/10/2010 17:53"/>
        <s v="29/09/2010 17:11"/>
        <d v="2010-03-09T16:35:00Z"/>
        <d v="2010-12-08T11:54:00Z"/>
        <d v="2010-10-08T05:23:00Z"/>
        <d v="2010-04-08T22:01:00Z"/>
        <d v="2010-04-08T07:15:00Z"/>
        <s v="23/07/2010 22:51"/>
        <s v="18/07/2010 13:34"/>
        <s v="18/07/2010 13:04"/>
        <s v="14/07/2010 08:32"/>
        <s v="26/06/2010 05:30"/>
        <s v="16/06/2010 03:58"/>
        <s v="16/06/2010 03:16"/>
        <d v="2010-12-06T19:26:00Z"/>
        <s v="27/05/2010 17:14"/>
        <d v="2010-09-05T05:59:00Z"/>
        <s v="13/04/2010 23:49"/>
        <d v="2010-11-04T09:40:00Z"/>
        <d v="2010-06-04T22:15:00Z"/>
        <d v="2010-04-04T22:40:00Z"/>
        <s v="30/03/2010 16:54"/>
        <s v="16/03/2010 02:21"/>
        <s v="14/03/2010 08:08"/>
        <d v="2010-11-03T14:55:00Z"/>
        <d v="2010-11-03T14:39:00Z"/>
        <d v="2010-05-03T16:07:00Z"/>
        <d v="2010-05-03T11:47:00Z"/>
        <d v="2010-04-03T14:02:00Z"/>
        <s v="27/02/2010 08:01"/>
        <s v="27/02/2010 06:34"/>
        <s v="26/02/2010 20:31"/>
        <d v="2010-12-01T21:53:00Z"/>
        <d v="2010-10-01T00:27:00Z"/>
        <d v="2010-05-01T12:15:00Z"/>
        <d v="2010-03-01T22:36:00Z"/>
        <d v="2010-03-01T21:48:00Z"/>
        <s v="13/11/2009 03:05"/>
        <d v="2009-09-11T10:44:00Z"/>
        <d v="2009-08-11T19:41:00Z"/>
        <s v="30/10/2009 07:03"/>
        <s v="24/10/2009 14:40"/>
        <d v="2009-08-10T08:28:00Z"/>
        <d v="2009-07-10T23:13:00Z"/>
        <d v="2009-07-10T22:18:00Z"/>
        <d v="2009-07-10T22:03:00Z"/>
        <d v="2009-01-10T01:52:00Z"/>
        <s v="30/09/2009 10:16"/>
        <s v="29/09/2009 17:48"/>
        <d v="2009-02-09T07:55:00Z"/>
        <s v="16/08/2009 07:38"/>
        <d v="2009-12-08T22:48:00Z"/>
        <d v="2009-10-08T19:55:00Z"/>
        <d v="2009-09-08T10:55:00Z"/>
        <d v="2009-03-08T17:59:00Z"/>
        <s v="15/07/2009 09:22"/>
        <s v="23/06/2009 14:19"/>
        <s v="28/05/2009 08:24"/>
        <s v="19/03/2009 18:17"/>
        <d v="2009-11-02T17:34:00Z"/>
        <d v="2009-03-01T22:33:00Z"/>
        <d v="2009-03-01T20:23:00Z"/>
        <d v="2009-03-01T19:43:00Z"/>
        <s v="16/11/2008 17:02"/>
        <s v="16/10/2008 19:41"/>
        <d v="2008-05-10T15:52:00Z"/>
        <d v="2008-11-09T00:20:00Z"/>
        <d v="2008-11-09T00:00:00Z"/>
        <d v="2008-08-09T18:52:00Z"/>
        <s v="25/08/2008 13:21"/>
        <s v="23/07/2008 15:26"/>
        <s v="19/07/2008 02:39"/>
        <s v="27/06/2008 11:40"/>
        <s v="13/06/2008 23:43"/>
        <d v="2008-12-05T06:28:00Z"/>
        <d v="2008-07-05T16:45:00Z"/>
        <d v="2008-09-04T12:46:00Z"/>
        <s v="20/03/2008 22:32"/>
        <d v="2008-03-03T14:11:00Z"/>
        <s v="25/02/2008 21:02"/>
        <s v="25/02/2008 18:06"/>
        <s v="25/02/2008 08:36"/>
        <s v="24/02/2008 14:46"/>
        <s v="20/02/2008 08:08"/>
        <s v="14/02/2008 12:08"/>
        <s v="14/02/2008 10:09"/>
        <d v="2008-12-02T12:50:00Z"/>
        <s v="20/12/2007 07:55"/>
        <s v="16/12/2007 08:09"/>
        <s v="29/11/2007 19:00"/>
        <s v="27/11/2007 11:49"/>
        <s v="25/11/2007 19:53"/>
        <s v="25/11/2007 16:02"/>
        <s v="22/11/2007 08:48"/>
        <s v="16/11/2007 03:13"/>
        <s v="15/11/2007 15:05"/>
        <s v="14/11/2007 15:40"/>
        <s v="24/10/2007 21:02"/>
        <s v="15/10/2007 12:29"/>
        <s v="26/09/2007 12:36"/>
        <s v="20/09/2007 08:31"/>
        <s v="13/09/2007 03:35"/>
        <s v="13/09/2007 02:30"/>
        <d v="2007-12-09T23:49:00Z"/>
        <d v="2007-12-09T11:10:00Z"/>
        <d v="2007-10-09T01:49:00Z"/>
        <d v="2007-02-09T01:05:00Z"/>
        <s v="16/08/2007 08:39"/>
        <s v="15/08/2007 23:40"/>
        <d v="2007-08-08T17:05:00Z"/>
        <d v="2007-01-08T17:08:00Z"/>
        <s v="26/07/2007 05:40"/>
        <s v="16/07/2007 14:17"/>
        <s v="16/07/2007 01:13"/>
        <s v="13/06/2007 19:29"/>
        <d v="2007-01-04T21:11:00Z"/>
        <d v="2007-01-04T20:47:00Z"/>
        <d v="2007-01-04T20:39:00Z"/>
        <s v="25/03/2007 00:41"/>
        <s v="25/03/2007 00:40"/>
        <s v="20/02/2007 08:04"/>
        <s v="21/01/2007 11:27"/>
        <s v="13/01/2007 04:23"/>
        <s v="26/12/2006 12:34"/>
        <s v="26/12/2006 12:26"/>
        <s v="15/11/2006 11:14"/>
        <d v="2006-07-11T17:38:00Z"/>
        <s v="20/10/2006 10:48"/>
        <s v="17/10/2006 01:25"/>
        <s v="15/10/2006 17:07"/>
        <s v="28/09/2006 06:22"/>
        <d v="2006-01-09T10:18:00Z"/>
        <s v="24/08/2006 21:50"/>
        <d v="2006-07-08T22:18:00Z"/>
        <s v="17/07/2006 08:19"/>
        <s v="28/05/2006 03:12"/>
        <s v="22/05/2006 11:12"/>
        <s v="16/05/2006 15:28"/>
        <d v="2006-03-05T15:26:00Z"/>
        <s v="30/04/2006 21:40"/>
        <s v="30/04/2006 19:17"/>
        <s v="29/04/2006 16:58"/>
        <s v="20/04/2006 23:25"/>
        <d v="2006-07-04T08:30:00Z"/>
        <s v="14/03/2006 06:57"/>
        <s v="22/02/2006 22:19"/>
        <d v="2006-08-01T11:34:00Z"/>
        <d v="2006-04-01T08:32:00Z"/>
        <d v="2005-12-12T21:47:00Z"/>
        <d v="2005-05-12T12:19:00Z"/>
        <d v="2005-02-12T13:13:00Z"/>
        <s v="19/11/2005 14:10"/>
        <s v="17/11/2005 19:26"/>
        <d v="2005-08-10T03:50:00Z"/>
        <s v="29/09/2005 15:50"/>
        <s v="26/09/2005 01:55"/>
        <d v="2005-09-09T07:26:00Z"/>
        <s v="16/08/2005 02:46"/>
        <s v="24/07/2005 15:42"/>
        <d v="2005-05-07T01:52:00Z"/>
        <d v="2005-02-07T02:16:00Z"/>
        <s v="15/06/2005 02:50"/>
        <s v="13/06/2005 22:44"/>
        <s v="19/05/2005 01:54"/>
        <s v="14/05/2005 05:05"/>
        <d v="2005-10-04T11:14:00Z"/>
        <d v="2005-10-04T10:29:00Z"/>
        <s v="28/03/2005 16:09"/>
        <s v="20/03/2005 01:53"/>
        <d v="2005-02-03T10:42:00Z"/>
        <s v="26/02/2005 12:56"/>
        <s v="19/02/2005 00:04"/>
        <s v="15/02/2005 14:42"/>
        <d v="2005-08-02T14:48:00Z"/>
        <d v="2005-05-02T12:23:00Z"/>
        <s v="19/01/2005 06:11"/>
        <s v="26/12/2004 09:20"/>
        <s v="26/12/2004 04:21"/>
        <s v="26/12/2004 00:58"/>
        <s v="23/12/2004 14:59"/>
        <s v="14/12/2004 23:20"/>
        <d v="2004-06-12T14:15:00Z"/>
        <s v="28/11/2004 18:32"/>
        <s v="26/11/2004 02:25"/>
        <s v="22/11/2004 20:26"/>
        <s v="15/11/2004 09:06"/>
        <d v="2004-11-11T21:26:00Z"/>
        <d v="2004-11-11T17:34:00Z"/>
        <d v="2004-02-11T10:02:00Z"/>
        <s v="23/10/2004 08:56"/>
        <s v="15/10/2004 04:08"/>
        <d v="2004-09-10T21:26:00Z"/>
        <d v="2004-08-10T14:36:00Z"/>
        <d v="2004-08-10T08:27:00Z"/>
        <d v="2004-06-09T23:29:00Z"/>
        <d v="2004-05-09T14:57:00Z"/>
        <d v="2004-05-09T10:07:00Z"/>
        <s v="28/08/2004 13:41"/>
        <s v="28/07/2004 03:56"/>
        <d v="2004-10-06T15:19:00Z"/>
        <d v="2004-03-05T04:36:00Z"/>
        <s v="23/04/2004 01:50"/>
        <d v="2004-09-04T15:23:00Z"/>
        <d v="2004-05-04T21:24:00Z"/>
        <d v="2004-08-02T08:58:00Z"/>
        <d v="2004-07-02T02:42:00Z"/>
        <d v="2004-05-02T21:05:00Z"/>
        <s v="28/01/2004 22:15"/>
        <s v="27/12/2003 16:00"/>
        <s v="26/12/2003 01:56"/>
        <s v="25/12/2003 07:11"/>
        <s v="22/12/2003 19:15"/>
        <d v="2003-10-12T04:38:00Z"/>
        <s v="25/11/2003 20:19"/>
        <s v="18/11/2003 17:14"/>
        <d v="2003-06-11T10:38:00Z"/>
        <s v="31/10/2003 01:06"/>
        <d v="2003-08-10T09:06:00Z"/>
        <d v="2003-01-10T01:03:00Z"/>
        <s v="29/09/2003 02:36"/>
        <s v="27/09/2003 11:33"/>
        <s v="25/09/2003 21:08"/>
        <s v="25/09/2003 19:50"/>
        <s v="21/09/2003 18:16"/>
        <s v="21/08/2003 12:12"/>
        <d v="2003-04-08T04:37:00Z"/>
        <s v="15/07/2003 18:46"/>
        <s v="20/06/2003 13:30"/>
        <s v="16/06/2003 22:08"/>
        <d v="2003-07-06T00:32:00Z"/>
        <s v="26/05/2003 19:23"/>
        <s v="26/05/2003 09:24"/>
        <s v="21/05/2003 18:44"/>
        <s v="25/03/2003 02:53"/>
        <d v="2003-11-03T07:27:00Z"/>
        <s v="22/01/2003 02:06"/>
        <s v="21/01/2003 02:46"/>
        <s v="20/01/2003 08:43"/>
        <d v="2003-10-01T13:11:00Z"/>
        <d v="2002-12-12T08:30:00Z"/>
        <d v="2002-03-11T22:12:00Z"/>
        <d v="2002-02-11T01:26:00Z"/>
        <s v="23/10/2002 11:27"/>
        <d v="2002-10-10T12:28:00Z"/>
        <d v="2002-10-10T10:50:00Z"/>
        <s v="13/09/2002 22:28"/>
        <d v="2002-08-09T18:44:00Z"/>
        <s v="14/08/2002 13:57"/>
        <s v="31/07/2002 00:16"/>
        <s v="22/06/2002 02:58"/>
        <s v="18/06/2002 13:56"/>
        <s v="17/06/2002 21:26"/>
        <s v="26/04/2002 16:06"/>
        <s v="18/04/2002 16:08"/>
        <s v="18/04/2002 05:02"/>
        <s v="31/03/2002 06:52"/>
        <s v="28/03/2002 04:56"/>
        <d v="2002-05-03T21:16:00Z"/>
        <d v="2002-03-03T12:08:00Z"/>
        <d v="2002-05-02T13:27:00Z"/>
        <d v="2002-03-02T07:11:00Z"/>
        <d v="2002-10-01T11:14:00Z"/>
        <d v="2002-03-01T10:17:00Z"/>
        <d v="2002-02-01T17:22:00Z"/>
        <s v="23/12/2001 22:52"/>
        <s v="18/12/2001 04:02"/>
        <d v="2001-02-12T13:01:00Z"/>
        <s v="14/11/2001 09:26"/>
        <s v="31/10/2001 09:10"/>
        <s v="19/10/2001 03:28"/>
        <d v="2001-12-10T15:02:00Z"/>
        <d v="2001-11-09T14:56:00Z"/>
        <s v="28/07/2001 07:32"/>
        <s v="26/07/2001 00:21"/>
        <d v="2001-07-07T09:38:00Z"/>
        <d v="2001-05-07T13:53:00Z"/>
        <s v="26/06/2001 04:18"/>
        <s v="23/06/2001 20:33"/>
        <s v="19/04/2001 21:43"/>
        <s v="24/03/2001 06:27"/>
        <s v="19/03/2001 05:52"/>
        <s v="28/02/2001 18:54"/>
        <s v="24/02/2001 07:23"/>
        <s v="13/02/2001 19:28"/>
        <s v="13/02/2001 14:22"/>
        <s v="26/01/2001 03:16"/>
        <s v="16/01/2001 13:25"/>
        <s v="13/01/2001 17:33"/>
        <d v="2001-10-01T16:02:00Z"/>
        <d v="2001-09-01T16:49:00Z"/>
        <d v="2001-01-01T08:54:00Z"/>
        <d v="2001-01-01T06:57:00Z"/>
        <d v="2000-06-12T22:57:00Z"/>
        <d v="2000-06-12T17:11:00Z"/>
        <s v="25/11/2000 18:10"/>
        <s v="25/11/2000 18:09"/>
        <s v="18/11/2000 06:54"/>
        <s v="18/11/2000 02:05"/>
        <s v="17/11/2000 21:01"/>
        <s v="16/11/2000 07:45"/>
        <s v="16/11/2000 07:42"/>
        <s v="16/11/2000 04:54"/>
        <d v="2000-08-11T06:59:00Z"/>
        <s v="29/10/2000 08:37"/>
        <s v="25/10/2000 09:32"/>
        <d v="2000-06-10T04:30:00Z"/>
        <d v="2000-04-10T16:58:00Z"/>
        <d v="2000-02-10T02:25:00Z"/>
        <s v="28/08/2000 15:05"/>
        <d v="2000-09-08T11:41:00Z"/>
        <d v="2000-04-08T21:13:00Z"/>
        <d v="2000-03-08T01:09:00Z"/>
        <s v="30/07/2000 12:25"/>
        <s v="16/07/2000 03:57"/>
        <d v="2000-11-07T01:32:00Z"/>
        <s v="21/06/2000 00:51"/>
        <s v="18/06/2000 14:44"/>
        <s v="17/06/2000 15:40"/>
        <d v="2000-07-06T23:45:00Z"/>
        <d v="2000-04-06T16:39:00Z"/>
        <d v="2000-04-06T16:28:00Z"/>
        <d v="2000-12-05T18:43:00Z"/>
        <d v="2000-04-05T04:21:00Z"/>
        <d v="2000-03-03T22:22:00Z"/>
        <d v="2000-06-02T11:33:00Z"/>
        <s v="28/01/2000 14:21"/>
        <d v="2000-08-01T16:47:00Z"/>
        <s v="29/12/1999 13:29"/>
        <s v="21/12/1999 14:14"/>
        <d v="1999-11-12T18:03:00Z"/>
        <d v="1999-06-12T23:12:00Z"/>
        <s v="30/11/1999 04:01"/>
        <s v="26/11/1999 13:21"/>
        <s v="19/11/1999 13:56"/>
        <s v="17/11/1999 03:27"/>
        <d v="1999-12-11T16:57:00Z"/>
        <d v="1999-08-11T16:45:00Z"/>
        <s v="16/10/1999 09:46"/>
        <s v="30/09/1999 16:31"/>
        <s v="25/09/1999 23:52"/>
        <s v="20/09/1999 17:47"/>
        <s v="22/08/1999 12:40"/>
        <s v="20/08/1999 10:02"/>
        <s v="17/08/1999 00:01"/>
        <d v="1999-11-07T14:14:00Z"/>
        <s v="15/06/1999 20:42"/>
        <s v="17/05/1999 10:07"/>
        <s v="16/05/1999 00:51"/>
        <d v="1999-10-05T20:33:00Z"/>
        <s v="13/04/1999 10:38"/>
        <d v="1999-05-04T11:08:00Z"/>
        <d v="1999-03-04T06:17:00Z"/>
        <s v="28/03/1999 19:05"/>
        <s v="20/03/1999 10:47"/>
        <d v="1999-08-03T12:25:00Z"/>
        <d v="1999-04-03T08:52:00Z"/>
        <d v="1999-04-03T05:38:00Z"/>
        <d v="1999-06-02T21:47:00Z"/>
        <s v="28/01/1999 08:10"/>
        <s v="19/01/1999 03:35"/>
        <s v="27/12/1998 00:38"/>
        <s v="29/11/1998 14:10"/>
        <d v="1998-09-11T05:38:00Z"/>
        <d v="1998-09-11T05:30:00Z"/>
        <s v="28/09/1998 13:34"/>
        <d v="1998-03-09T17:37:00Z"/>
        <d v="1998-02-09T08:37:00Z"/>
        <d v="1998-04-08T18:59:00Z"/>
        <s v="29/07/1998 18:00"/>
        <s v="17/07/1998 08:49"/>
        <s v="16/07/1998 11:56"/>
        <s v="30/05/1998 06:22"/>
        <s v="22/05/1998 04:48"/>
        <s v="21/05/1998 05:34"/>
        <s v="13/05/1998 23:02"/>
        <d v="1998-03-05T23:30:00Z"/>
        <d v="1998-03-04T22:01:00Z"/>
        <d v="1998-01-04T17:56:00Z"/>
        <s v="14/03/1998 19:40"/>
        <s v="30/01/1998 12:16"/>
        <d v="1998-12-01T16:36:00Z"/>
        <d v="1998-12-01T10:14:00Z"/>
        <d v="1998-10-01T08:20:00Z"/>
        <s v="22/12/1997 02:05"/>
        <d v="1997-05-12T11:26:00Z"/>
        <s v="25/11/1997 12:14"/>
        <s v="18/11/1997 13:07"/>
        <s v="15/11/1997 18:59"/>
        <d v="1997-09-11T22:56:00Z"/>
        <d v="1997-08-11T10:02:00Z"/>
        <s v="28/10/1997 06:15"/>
        <s v="15/10/1997 01:03"/>
        <s v="14/10/1997 09:53"/>
        <d v="1997-06-10T12:30:00Z"/>
        <d v="1997-02-09T12:13:00Z"/>
        <s v="29/08/1997 08:14"/>
        <s v="19/07/1997 14:22"/>
        <d v="1997-09-07T19:24:00Z"/>
        <d v="1997-06-07T09:54:00Z"/>
        <s v="22/05/1997 07:50"/>
        <s v="21/05/1997 14:10"/>
        <s v="13/05/1997 14:13"/>
        <d v="1997-10-05T07:57:00Z"/>
        <s v="23/04/1997 19:44"/>
        <s v="22/04/1997 09:31"/>
        <s v="21/04/1997 12:02"/>
        <d v="1997-05-04T12:23:00Z"/>
        <d v="1997-11-03T19:22:00Z"/>
        <s v="27/02/1997 21:08"/>
        <d v="1997-04-02T10:37:00Z"/>
        <d v="1997-11-01T20:28:00Z"/>
        <s v="22/12/1996 14:53"/>
        <d v="1996-02-12T22:17:00Z"/>
        <s v="19/11/1996 10:44"/>
        <d v="1996-12-11T16:59:00Z"/>
        <s v="19/10/1996 14:44"/>
        <s v="18/10/1996 10:50"/>
        <s v="14/10/1996 23:26"/>
        <d v="1996-09-10T13:10:00Z"/>
        <s v="20/09/1996 04:11"/>
        <s v="20/09/1996 04:10"/>
        <d v="1996-05-09T23:42:00Z"/>
        <d v="1996-02-08T12:55:00Z"/>
        <s v="22/07/1996 14:19"/>
        <s v="16/07/1996 10:07"/>
        <s v="15/07/1996 21:23"/>
        <s v="17/06/1996 11:22"/>
        <d v="1996-11-06T18:22:00Z"/>
        <d v="1996-10-06T15:24:00Z"/>
        <d v="1996-10-06T04:03:00Z"/>
        <d v="1996-10-06T01:04:00Z"/>
        <s v="29/04/1996 14:40"/>
        <s v="19/04/1996 00:19"/>
        <s v="17/03/1996 14:48"/>
        <d v="1996-03-03T16:37:00Z"/>
        <d v="1996-03-03T14:55:00Z"/>
        <s v="25/02/1996 03:08"/>
        <s v="21/02/1996 12:51"/>
        <s v="17/02/1996 20:18"/>
        <s v="17/02/1996 14:21"/>
        <s v="17/02/1996 05:59"/>
        <s v="16/02/1996 15:22"/>
        <d v="1996-07-02T21:36:00Z"/>
        <d v="1996-03-02T11:14:00Z"/>
        <d v="1996-01-01T09:57:00Z"/>
        <d v="1996-01-01T08:05:00Z"/>
        <s v="25/12/1995 04:43"/>
        <s v="19/12/1995 23:28"/>
        <d v="1995-03-12T18:01:00Z"/>
        <s v="22/11/1995 04:15"/>
        <d v="1995-01-11T00:35:00Z"/>
        <s v="21/10/1995 02:38"/>
        <s v="19/10/1995 02:41"/>
        <s v="18/10/1995 10:37"/>
        <d v="1995-09-10T15:35:00Z"/>
        <d v="1995-06-10T18:09:00Z"/>
        <d v="1995-03-10T12:44:00Z"/>
        <d v="1995-03-10T01:51:00Z"/>
        <s v="23/09/1995 22:31"/>
        <s v="14/09/1995 14:04"/>
        <s v="28/08/1995 10:46"/>
        <s v="19/08/1995 21:43"/>
        <s v="16/08/1995 23:10"/>
        <s v="16/08/1995 16:24"/>
        <s v="16/08/1995 10:27"/>
        <s v="14/08/1995 04:37"/>
        <s v="30/07/1995 05:11"/>
        <d v="1995-11-07T21:46:00Z"/>
        <s v="29/06/1995 12:24"/>
        <s v="15/06/1995 00:15"/>
        <s v="27/05/1995 13:03"/>
        <s v="16/05/1995 20:12"/>
        <s v="14/05/1995 11:33"/>
        <s v="13/05/1995 08:47"/>
        <d v="1995-05-05T03:53:00Z"/>
      </sharedItems>
    </cacheField>
    <cacheField name="cdi" numFmtId="0">
      <sharedItems containsSemiMixedTypes="0" containsString="0" containsNumber="1" containsInteger="1">
        <n v="7.0"/>
        <n v="8.0"/>
        <n v="6.0"/>
        <n v="0.0"/>
        <n v="5.0"/>
        <n v="4.0"/>
        <n v="3.0"/>
        <n v="9.0"/>
        <n v="1.0"/>
        <n v="2.0"/>
      </sharedItems>
    </cacheField>
    <cacheField name="mmi" numFmtId="0">
      <sharedItems containsSemiMixedTypes="0" containsString="0" containsNumber="1" containsInteger="1">
        <n v="4.0"/>
        <n v="6.0"/>
        <n v="5.0"/>
        <n v="2.0"/>
        <n v="7.0"/>
        <n v="3.0"/>
        <n v="9.0"/>
        <n v="8.0"/>
        <n v="1.0"/>
        <n v="10.0"/>
      </sharedItems>
    </cacheField>
    <cacheField name="alert" numFmtId="0">
      <sharedItems containsBlank="1">
        <s v="green"/>
        <s v="yellow"/>
        <m/>
        <s v="orange"/>
        <s v="red"/>
      </sharedItems>
    </cacheField>
    <cacheField name="tsunami" numFmtId="0">
      <sharedItems containsSemiMixedTypes="0" containsString="0" containsNumber="1" containsInteger="1">
        <n v="0.0"/>
        <n v="1.0"/>
      </sharedItems>
    </cacheField>
    <cacheField name="sig" numFmtId="0">
      <sharedItems containsSemiMixedTypes="0" containsString="0" containsNumber="1" containsInteger="1">
        <n v="657.0"/>
        <n v="775.0"/>
        <n v="899.0"/>
        <n v="860.0"/>
        <n v="820.0"/>
        <n v="802.0"/>
        <n v="741.0"/>
        <n v="804.0"/>
        <n v="733.0"/>
        <n v="777.0"/>
        <n v="927.0"/>
        <n v="907.0"/>
        <n v="670.0"/>
        <n v="838.0"/>
        <n v="691.0"/>
        <n v="818.0"/>
        <n v="655.0"/>
        <n v="781.0"/>
        <n v="656.0"/>
        <n v="1350.0"/>
        <n v="1159.0"/>
        <n v="756.0"/>
        <n v="735.0"/>
        <n v="653.0"/>
        <n v="652.0"/>
        <n v="737.0"/>
        <n v="1411.0"/>
        <n v="800.0"/>
        <n v="2910.0"/>
        <n v="718.0"/>
        <n v="957.0"/>
        <n v="768.0"/>
        <n v="720.0"/>
        <n v="755.0"/>
        <n v="833.0"/>
        <n v="711.0"/>
        <n v="797.0"/>
        <n v="1179.0"/>
        <n v="1799.0"/>
        <n v="887.0"/>
        <n v="761.0"/>
        <n v="965.0"/>
        <n v="1043.0"/>
        <n v="672.0"/>
        <n v="1351.0"/>
        <n v="876.0"/>
        <n v="762.0"/>
        <n v="763.0"/>
        <n v="738.0"/>
        <n v="806.0"/>
        <n v="2397.0"/>
        <n v="708.0"/>
        <n v="712.0"/>
        <n v="690.0"/>
        <n v="651.0"/>
        <n v="785.0"/>
        <n v="650.0"/>
        <n v="674.0"/>
        <n v="730.0"/>
        <n v="976.0"/>
        <n v="1012.0"/>
        <n v="921.0"/>
        <n v="854.0"/>
        <n v="1094.0"/>
        <n v="688.0"/>
        <n v="995.0"/>
        <n v="740.0"/>
        <n v="826.0"/>
        <n v="684.0"/>
        <n v="2504.0"/>
        <n v="776.0"/>
        <n v="734.0"/>
        <n v="2331.0"/>
        <n v="1009.0"/>
        <n v="868.0"/>
        <n v="846.0"/>
        <n v="1237.0"/>
        <n v="1252.0"/>
        <n v="935.0"/>
        <n v="830.0"/>
        <n v="1025.0"/>
        <n v="698.0"/>
        <n v="694.0"/>
        <n v="919.0"/>
        <n v="1052.0"/>
        <n v="1021.0"/>
        <n v="843.0"/>
        <n v="932.0"/>
        <n v="1612.0"/>
        <n v="918.0"/>
        <n v="739.0"/>
        <n v="1527.0"/>
        <n v="1165.0"/>
        <n v="732.0"/>
        <n v="824.0"/>
        <n v="749.0"/>
        <n v="716.0"/>
        <n v="784.0"/>
        <n v="1111.0"/>
        <n v="1494.0"/>
        <n v="873.0"/>
        <n v="835.0"/>
        <n v="1320.0"/>
        <n v="671.0"/>
        <n v="678.0"/>
        <n v="1410.0"/>
        <n v="879.0"/>
        <n v="770.0"/>
        <n v="1812.0"/>
        <n v="1247.0"/>
        <n v="825.0"/>
        <n v="799.0"/>
        <n v="673.0"/>
        <n v="780.0"/>
        <n v="844.0"/>
        <n v="875.0"/>
        <n v="947.0"/>
        <n v="809.0"/>
        <n v="791.0"/>
        <n v="747.0"/>
        <n v="1646.0"/>
        <n v="952.0"/>
        <n v="886.0"/>
        <n v="1890.0"/>
        <n v="929.0"/>
        <n v="717.0"/>
        <n v="869.0"/>
        <n v="1145.0"/>
        <n v="909.0"/>
        <n v="1600.0"/>
        <n v="715.0"/>
        <n v="803.0"/>
        <n v="822.0"/>
        <n v="871.0"/>
        <n v="1790.0"/>
        <n v="693.0"/>
        <n v="954.0"/>
        <n v="669.0"/>
        <n v="758.0"/>
        <n v="2026.0"/>
        <n v="979.0"/>
        <n v="1075.0"/>
        <n v="1570.0"/>
        <n v="1206.0"/>
        <n v="1050.0"/>
        <n v="743.0"/>
        <n v="1704.0"/>
        <n v="1392.0"/>
        <n v="696.0"/>
        <n v="719.0"/>
        <n v="697.0"/>
        <n v="943.0"/>
        <n v="1384.0"/>
        <n v="1870.0"/>
        <n v="1623.0"/>
        <n v="998.0"/>
        <n v="771.0"/>
        <n v="676.0"/>
        <n v="1153.0"/>
        <n v="2790.0"/>
        <n v="661.0"/>
        <n v="727.0"/>
        <n v="1686.0"/>
        <n v="707.0"/>
        <n v="1064.0"/>
        <n v="704.0"/>
        <n v="1034.0"/>
        <n v="1188.0"/>
        <n v="713.0"/>
        <n v="814.0"/>
        <n v="1642.0"/>
        <n v="1297.0"/>
        <n v="987.0"/>
        <n v="654.0"/>
        <n v="849.0"/>
        <n v="742.0"/>
        <n v="1152.0"/>
        <n v="726.0"/>
        <n v="972.0"/>
        <n v="961.0"/>
        <n v="1120.0"/>
        <n v="731.0"/>
        <n v="855.0"/>
        <n v="1144.0"/>
        <n v="664.0"/>
        <n v="1545.0"/>
        <n v="2840.0"/>
        <n v="677.0"/>
        <n v="897.0"/>
        <n v="981.0"/>
        <n v="971.0"/>
        <n v="798.0"/>
        <n v="744.0"/>
        <n v="1163.0"/>
        <n v="2074.0"/>
        <n v="903.0"/>
        <n v="692.0"/>
        <n v="948.0"/>
        <n v="1496.0"/>
        <n v="1515.0"/>
        <n v="765.0"/>
        <n v="827.0"/>
        <n v="896.0"/>
        <n v="1018.0"/>
        <n v="702.0"/>
        <n v="675.0"/>
        <n v="841.0"/>
        <n v="1448.0"/>
        <n v="1960.0"/>
        <n v="759.0"/>
        <n v="686.0"/>
        <n v="1151.0"/>
        <n v="831.0"/>
        <n v="1563.0"/>
        <n v="714.0"/>
        <n v="1016.0"/>
        <n v="2820.0"/>
        <n v="872.0"/>
        <n v="760.0"/>
        <n v="700.0"/>
        <n v="709.0"/>
        <n v="779.0"/>
        <n v="982.0"/>
        <n v="724.0"/>
        <n v="706.0"/>
        <n v="1079.0"/>
        <n v="963.0"/>
        <n v="951.0"/>
        <n v="865.0"/>
        <n v="1017.0"/>
        <n v="842.0"/>
        <n v="889.0"/>
        <n v="1057.0"/>
        <n v="1332.0"/>
        <n v="1211.0"/>
        <n v="668.0"/>
        <n v="681.0"/>
        <n v="912.0"/>
        <n v="723.0"/>
        <n v="1092.0"/>
        <n v="1005.0"/>
        <n v="2015.0"/>
        <n v="679.0"/>
        <n v="710.0"/>
        <n v="1115.0"/>
        <n v="2083.0"/>
        <n v="1421.0"/>
        <n v="736.0"/>
        <n v="904.0"/>
        <n v="754.0"/>
        <n v="993.0"/>
        <n v="1425.0"/>
        <n v="1014.0"/>
        <n v="795.0"/>
        <n v="1455.0"/>
        <n v="1726.0"/>
        <n v="745.0"/>
        <n v="1221.0"/>
        <n v="1555.0"/>
        <n v="994.0"/>
        <n v="941.0"/>
        <n v="1000.0"/>
        <n v="1171.0"/>
        <n v="1213.0"/>
        <n v="2048.0"/>
        <n v="1752.0"/>
        <n v="1551.0"/>
        <n v="793.0"/>
        <n v="834.0"/>
        <n v="1400.0"/>
        <n v="847.0"/>
        <n v="1096.0"/>
        <n v="1562.0"/>
        <n v="915.0"/>
        <n v="913.0"/>
        <n v="787.0"/>
        <n v="813.0"/>
        <n v="893.0"/>
        <n v="1114.0"/>
        <n v="1154.0"/>
        <n v="931.0"/>
        <n v="1140.0"/>
        <n v="2184.0"/>
        <n v="988.0"/>
        <n v="1449.0"/>
        <n v="1054.0"/>
        <n v="946.0"/>
        <n v="772.0"/>
        <n v="1245.0"/>
        <n v="945.0"/>
        <n v="850.0"/>
        <n v="757.0"/>
        <n v="659.0"/>
        <n v="902.0"/>
        <n v="753.0"/>
        <n v="773.0"/>
        <n v="936.0"/>
        <n v="701.0"/>
        <n v="856.0"/>
        <n v="810.0"/>
        <n v="874.0"/>
        <n v="1280.0"/>
        <n v="1991.0"/>
        <n v="1180.0"/>
        <n v="1360.0"/>
        <n v="916.0"/>
        <n v="1639.0"/>
        <n v="1055.0"/>
        <n v="1175.0"/>
        <n v="703.0"/>
        <n v="1248.0"/>
        <n v="1202.0"/>
        <n v="1560.0"/>
        <n v="848.0"/>
        <n v="1046.0"/>
        <n v="840.0"/>
        <n v="680.0"/>
        <n v="888.0"/>
        <n v="910.0"/>
        <n v="832.0"/>
        <n v="914.0"/>
        <n v="808.0"/>
        <n v="1542.0"/>
        <n v="722.0"/>
        <n v="790.0"/>
        <n v="1133.0"/>
        <n v="1086.0"/>
        <n v="1385.0"/>
        <n v="782.0"/>
        <n v="1023.0"/>
        <n v="1481.0"/>
        <n v="1013.0"/>
        <n v="1026.0"/>
        <n v="891.0"/>
        <n v="934.0"/>
        <n v="721.0"/>
        <n v="683.0"/>
        <n v="1267.0"/>
        <n v="1104.0"/>
        <n v="1318.0"/>
        <n v="1020.0"/>
        <n v="1138.0"/>
        <n v="805.0"/>
        <n v="1274.0"/>
        <n v="858.0"/>
        <n v="870.0"/>
        <n v="705.0"/>
        <n v="665.0"/>
        <n v="1390.0"/>
        <n v="1024.0"/>
        <n v="1750.0"/>
        <n v="1441.0"/>
        <n v="985.0"/>
        <n v="960.0"/>
        <n v="1576.0"/>
        <n v="1007.0"/>
      </sharedItems>
    </cacheField>
    <cacheField name="net" numFmtId="0">
      <sharedItems>
        <s v="us"/>
        <s v="at"/>
        <s v="pt"/>
        <s v="ak"/>
        <s v="nn"/>
        <s v="ci"/>
        <s v="hv"/>
        <s v="nc"/>
        <s v="official"/>
        <s v="duputel"/>
        <s v="uw"/>
      </sharedItems>
    </cacheField>
    <cacheField name="nst" numFmtId="0">
      <sharedItems containsSemiMixedTypes="0" containsString="0" containsNumber="1" containsInteger="1">
        <n v="114.0"/>
        <n v="92.0"/>
        <n v="70.0"/>
        <n v="173.0"/>
        <n v="79.0"/>
        <n v="95.0"/>
        <n v="136.0"/>
        <n v="85.0"/>
        <n v="50.0"/>
        <n v="98.0"/>
        <n v="277.0"/>
        <n v="111.0"/>
        <n v="52.0"/>
        <n v="126.0"/>
        <n v="166.0"/>
        <n v="131.0"/>
        <n v="104.0"/>
        <n v="105.0"/>
        <n v="97.0"/>
        <n v="134.0"/>
        <n v="152.0"/>
        <n v="116.0"/>
        <n v="108.0"/>
        <n v="66.0"/>
        <n v="115.0"/>
        <n v="128.0"/>
        <n v="135.0"/>
        <n v="118.0"/>
        <n v="60.0"/>
        <n v="130.0"/>
        <n v="117.0"/>
        <n v="99.0"/>
        <n v="147.0"/>
        <n v="149.0"/>
        <n v="142.0"/>
        <n v="145.0"/>
        <n v="175.0"/>
        <n v="271.0"/>
        <n v="215.0"/>
        <n v="178.0"/>
        <n v="192.0"/>
        <n v="272.0"/>
        <n v="141.0"/>
        <n v="68.0"/>
        <n v="236.0"/>
        <n v="144.0"/>
        <n v="127.0"/>
        <n v="162.0"/>
        <n v="0.0"/>
        <n v="23.0"/>
        <n v="20.0"/>
        <n v="27.0"/>
        <n v="77.0"/>
        <n v="63.0"/>
        <n v="112.0"/>
        <n v="229.0"/>
        <n v="398.0"/>
        <n v="139.0"/>
        <n v="698.0"/>
        <n v="515.0"/>
        <n v="217.0"/>
        <n v="385.0"/>
        <n v="626.0"/>
        <n v="264.0"/>
        <n v="548.0"/>
        <n v="770.0"/>
        <n v="445.0"/>
        <n v="506.0"/>
        <n v="491.0"/>
        <n v="640.0"/>
        <n v="317.0"/>
        <n v="480.0"/>
        <n v="531.0"/>
        <n v="697.0"/>
        <n v="421.0"/>
        <n v="562.0"/>
        <n v="334.0"/>
        <n v="400.0"/>
        <n v="387.0"/>
        <n v="550.0"/>
        <n v="460.0"/>
        <n v="686.0"/>
        <n v="596.0"/>
        <n v="521.0"/>
        <n v="517.0"/>
        <n v="918.0"/>
        <n v="598.0"/>
        <n v="391.0"/>
        <n v="751.0"/>
        <n v="807.0"/>
        <n v="691.0"/>
        <n v="291.0"/>
        <n v="934.0"/>
        <n v="703.0"/>
        <n v="682.0"/>
        <n v="417.0"/>
        <n v="497.0"/>
        <n v="862.0"/>
        <n v="576.0"/>
        <n v="529.0"/>
        <n v="370.0"/>
        <n v="597.0"/>
        <n v="518.0"/>
        <n v="474.0"/>
        <n v="599.0"/>
        <n v="341.0"/>
        <n v="499.0"/>
        <n v="553.0"/>
        <n v="672.0"/>
        <n v="572.0"/>
        <n v="573.0"/>
        <n v="443.0"/>
        <n v="545.0"/>
        <n v="485.0"/>
        <n v="578.0"/>
        <n v="693.0"/>
        <n v="423.0"/>
        <n v="383.0"/>
        <n v="667.0"/>
        <n v="447.0"/>
        <n v="406.0"/>
        <n v="471.0"/>
        <n v="564.0"/>
        <n v="322.0"/>
        <n v="280.0"/>
        <n v="567.0"/>
        <n v="592.0"/>
        <n v="519.0"/>
        <n v="586.0"/>
        <n v="446.0"/>
        <n v="335.0"/>
        <n v="668.0"/>
        <n v="369.0"/>
        <n v="507.0"/>
        <n v="163.0"/>
        <n v="541.0"/>
        <n v="358.0"/>
        <n v="382.0"/>
        <n v="372.0"/>
        <n v="397.0"/>
        <n v="409.0"/>
        <n v="279.0"/>
        <n v="306.0"/>
        <n v="379.0"/>
        <n v="352.0"/>
        <n v="365.0"/>
        <n v="405.0"/>
        <n v="396.0"/>
        <n v="403.0"/>
        <n v="340.0"/>
        <n v="456.0"/>
        <n v="295.0"/>
        <n v="392.0"/>
        <n v="309.0"/>
        <n v="307.0"/>
        <n v="514.0"/>
        <n v="327.0"/>
        <n v="611.0"/>
        <n v="410.0"/>
        <n v="399.0"/>
        <n v="10.0"/>
        <n v="413.0"/>
        <n v="312.0"/>
        <n v="415.0"/>
        <n v="401.0"/>
        <n v="255.0"/>
        <n v="426.0"/>
        <n v="454.0"/>
        <n v="487.0"/>
        <n v="500.0"/>
        <n v="51.0"/>
        <n v="338.0"/>
        <n v="377.0"/>
        <n v="282.0"/>
        <n v="390.0"/>
        <n v="430.0"/>
        <n v="305.0"/>
        <n v="424.0"/>
        <n v="174.0"/>
        <n v="314.0"/>
        <n v="195.0"/>
        <n v="283.0"/>
        <n v="498.0"/>
        <n v="520.0"/>
        <n v="336.0"/>
        <n v="303.0"/>
        <n v="243.0"/>
        <n v="434.0"/>
        <n v="269.0"/>
        <n v="464.0"/>
        <n v="504.0"/>
        <n v="432.0"/>
        <n v="344.0"/>
        <n v="288.0"/>
        <n v="481.0"/>
        <n v="463.0"/>
        <n v="325.0"/>
        <n v="633.0"/>
        <n v="577.0"/>
        <n v="630.0"/>
        <n v="654.0"/>
        <n v="774.0"/>
        <n v="486.0"/>
        <n v="532.0"/>
        <n v="544.0"/>
        <n v="543.0"/>
        <n v="505.0"/>
        <n v="429.0"/>
        <n v="607.0"/>
        <n v="650.0"/>
        <n v="645.0"/>
        <n v="461.0"/>
        <n v="663.0"/>
        <n v="353.0"/>
        <n v="649.0"/>
        <n v="285.0"/>
        <n v="610.0"/>
        <n v="494.0"/>
        <n v="348.0"/>
        <n v="503.0"/>
        <n v="537.0"/>
        <n v="411.0"/>
        <n v="653.0"/>
        <n v="625.0"/>
        <n v="228.0"/>
        <n v="374.0"/>
        <n v="664.0"/>
        <n v="782.0"/>
        <n v="468.0"/>
        <n v="251.0"/>
        <n v="439.0"/>
        <n v="493.0"/>
        <n v="253.0"/>
        <n v="570.0"/>
        <n v="606.0"/>
        <n v="466.0"/>
        <n v="744.0"/>
        <n v="444.0"/>
        <n v="533.0"/>
        <n v="43.0"/>
        <n v="702.0"/>
        <n v="459.0"/>
        <n v="700.0"/>
        <n v="551.0"/>
        <n v="357.0"/>
        <n v="477.0"/>
        <n v="701.0"/>
        <n v="579.0"/>
        <n v="247.0"/>
        <n v="412.0"/>
        <n v="769.0"/>
        <n v="323.0"/>
        <n v="561.0"/>
        <n v="509.0"/>
        <n v="724.0"/>
        <n v="402.0"/>
        <n v="696.0"/>
        <n v="502.0"/>
        <n v="636.0"/>
        <n v="420.0"/>
        <n v="714.0"/>
        <n v="635.0"/>
        <n v="695.0"/>
        <n v="478.0"/>
        <n v="656.0"/>
        <n v="510.0"/>
        <n v="569.0"/>
        <n v="371.0"/>
        <n v="286.0"/>
        <n v="457.0"/>
        <n v="225.0"/>
        <n v="601.0"/>
        <n v="331.0"/>
        <n v="639.0"/>
        <n v="759.0"/>
        <n v="929.0"/>
        <n v="585.0"/>
        <n v="708.0"/>
        <n v="301.0"/>
        <n v="233.0"/>
        <n v="441.0"/>
        <n v="526.0"/>
        <n v="594.0"/>
        <n v="643.0"/>
        <n v="349.0"/>
        <n v="798.0"/>
        <n v="386.0"/>
        <n v="728.0"/>
        <n v="256.0"/>
        <n v="367.0"/>
        <n v="235.0"/>
        <n v="552.0"/>
        <n v="65.0"/>
        <n v="384.0"/>
        <n v="475.0"/>
        <n v="568.0"/>
        <n v="556.0"/>
        <n v="428.0"/>
        <n v="315.0"/>
        <n v="156.0"/>
        <n v="733.0"/>
        <n v="419.0"/>
        <n v="473.0"/>
        <n v="690.0"/>
        <n v="534.0"/>
        <n v="431.0"/>
        <n v="316.0"/>
        <n v="453.0"/>
        <n v="418.0"/>
        <n v="250.0"/>
        <n v="375.0"/>
        <n v="646.0"/>
        <n v="260.0"/>
        <n v="555.0"/>
        <n v="257.0"/>
        <n v="462.0"/>
        <n v="292.0"/>
        <n v="321.0"/>
        <n v="138.0"/>
        <n v="482.0"/>
        <n v="333.0"/>
        <n v="427.0"/>
        <n v="605.0"/>
        <n v="368.0"/>
        <n v="254.0"/>
        <n v="234.0"/>
        <n v="483.0"/>
        <n v="324.0"/>
        <n v="422.0"/>
        <n v="206.0"/>
        <n v="67.0"/>
        <n v="221.0"/>
        <n v="273.0"/>
        <n v="472.0"/>
        <n v="64.0"/>
        <n v="495.0"/>
        <n v="268.0"/>
        <n v="267.0"/>
        <n v="346.0"/>
        <n v="71.0"/>
        <n v="294.0"/>
        <n v="593.0"/>
        <n v="218.0"/>
        <n v="351.0"/>
        <n v="73.0"/>
      </sharedItems>
    </cacheField>
    <cacheField name="dmin" numFmtId="0">
      <sharedItems containsSemiMixedTypes="0" containsString="0" containsNumber="1">
        <n v="7.177"/>
        <n v="0.679"/>
        <n v="1.634"/>
        <n v="0.907"/>
        <n v="0.879451"/>
        <n v="2.454"/>
        <n v="1.179"/>
        <n v="2.59"/>
        <n v="2.163"/>
        <n v="2.812"/>
        <n v="3.111"/>
        <n v="3.631"/>
        <n v="5.123"/>
        <n v="2.282"/>
        <n v="0.708"/>
        <n v="4.719"/>
        <n v="1.881"/>
        <n v="0.266"/>
        <n v="6.45"/>
        <n v="1.622"/>
        <n v="2.53"/>
        <n v="0.709"/>
        <n v="1.789"/>
        <n v="0.784"/>
        <n v="5.483"/>
        <n v="2.739"/>
        <n v="1.783"/>
        <n v="0.85"/>
        <n v="0.218"/>
        <n v="1.919"/>
        <n v="5.129"/>
        <n v="1.974"/>
        <n v="1.575"/>
        <n v="6.096"/>
        <n v="2.587"/>
        <n v="0.509"/>
        <n v="2.229"/>
        <n v="3.125"/>
        <n v="1.865"/>
        <n v="4.998"/>
        <n v="4.578"/>
        <n v="4.678"/>
        <n v="1.151"/>
        <n v="2.137"/>
        <n v="1.153"/>
        <n v="0.401"/>
        <n v="0.43"/>
        <n v="2.977"/>
        <n v="3.158"/>
        <n v="8.454"/>
        <n v="5.293"/>
        <n v="5.276"/>
        <n v="1.999"/>
        <n v="2.494"/>
        <n v="0.371"/>
        <n v="1.505"/>
        <n v="0.914"/>
        <n v="2.705"/>
        <n v="2.697"/>
        <n v="0.289"/>
        <n v="2.936"/>
        <n v="2.188"/>
        <n v="0.827"/>
        <n v="5.78"/>
        <n v="3.026"/>
        <n v="1.088"/>
        <n v="2.418"/>
        <n v="1.61607"/>
        <n v="0.0"/>
        <n v="0.507"/>
        <n v="0.936943"/>
        <n v="0.92"/>
        <n v="1.168"/>
        <n v="2.685"/>
        <n v="3.713"/>
        <n v="1.025"/>
        <n v="4.951"/>
        <n v="3.259"/>
        <n v="4.778"/>
        <n v="4.493"/>
        <n v="0.993"/>
        <n v="0.07"/>
        <n v="9.799"/>
        <n v="8.865"/>
        <n v="0.579"/>
        <n v="8.363"/>
        <n v="1.178"/>
        <n v="1.173"/>
        <n v="7.463"/>
        <n v="7.227"/>
        <n v="1.273"/>
        <n v="0.875"/>
        <n v="8.139"/>
        <n v="1.395"/>
        <n v="7.994"/>
        <n v="4.518"/>
        <n v="4.655"/>
        <n v="1.487"/>
        <n v="10.669"/>
        <n v="2.619"/>
        <n v="5.931"/>
        <n v="10.405"/>
        <n v="2.378"/>
        <n v="3.183"/>
        <n v="11.764"/>
        <n v="0.739"/>
        <n v="0.437"/>
        <n v="0.918"/>
        <n v="3.085"/>
        <n v="7.989"/>
        <n v="1.55"/>
        <n v="2.821"/>
        <n v="2.043"/>
        <n v="1.319"/>
        <n v="1.518"/>
        <n v="0.23"/>
        <n v="11.255"/>
        <n v="0.388"/>
        <n v="0.312"/>
        <n v="15.394"/>
        <n v="2.267"/>
        <n v="1.716"/>
        <n v="1.816"/>
        <n v="5.128"/>
        <n v="0.621"/>
        <n v="1.671"/>
        <n v="1.458"/>
        <n v="0.151"/>
        <n v="4.035"/>
        <n v="2.015"/>
        <n v="1.164"/>
        <n v="0.357"/>
        <n v="3.403"/>
        <n v="1.921"/>
        <n v="1.293"/>
        <n v="0.885"/>
        <n v="4.109"/>
        <n v="4.501"/>
        <n v="1.657"/>
        <n v="0.87"/>
        <n v="0.546"/>
        <n v="1.271"/>
        <n v="4.765"/>
        <n v="5.086"/>
        <n v="0.428"/>
        <n v="0.646"/>
        <n v="1.269"/>
        <n v="3.909"/>
        <n v="4.121"/>
        <n v="12.896"/>
        <n v="2.839"/>
        <n v="0.817"/>
        <n v="6.024"/>
        <n v="1.504"/>
        <n v="2.978"/>
        <n v="1.205"/>
        <n v="0.04616"/>
        <n v="2.629"/>
        <n v="1.402"/>
        <n v="1.193"/>
        <n v="3.18"/>
        <n v="0.453"/>
        <n v="2.514"/>
        <n v="0.791"/>
        <n v="7.568"/>
        <n v="2.501"/>
        <n v="2.045"/>
        <n v="7.527"/>
        <n v="0.173"/>
        <n v="7.818"/>
        <n v="1.596"/>
        <n v="1.181"/>
        <n v="1.769"/>
        <n v="4.126"/>
        <n v="7.043"/>
        <n v="2.679"/>
        <n v="2.405"/>
        <n v="2.879"/>
        <n v="7.853"/>
        <n v="2.268"/>
        <n v="1.692"/>
        <n v="1.611"/>
        <n v="2.109"/>
        <n v="3.923"/>
        <n v="1.778"/>
        <n v="3.745"/>
        <n v="1.649"/>
        <n v="5.139"/>
        <n v="2.785"/>
        <n v="1.638"/>
        <n v="1.431"/>
        <n v="1.13"/>
        <n v="2.548"/>
        <n v="3.77"/>
        <n v="4.797"/>
        <n v="1.822"/>
        <n v="2.453"/>
        <n v="3.63"/>
        <n v="2.719"/>
        <n v="0.576"/>
        <n v="2.271"/>
        <n v="0.11"/>
        <n v="5.32"/>
        <n v="1.507"/>
        <n v="1.049"/>
        <n v="5.457"/>
        <n v="5.48"/>
        <n v="0.142"/>
        <n v="2.585"/>
        <n v="4.29"/>
        <n v="4.581"/>
        <n v="2.365"/>
        <n v="17.654"/>
        <n v="0.617"/>
        <n v="0.529"/>
        <n v="0.225"/>
        <n v="0.284"/>
        <n v="4.449"/>
        <n v="4.852"/>
        <n v="0.788"/>
        <n v="1.062"/>
        <n v="1.154"/>
        <n v="0.984"/>
        <n v="0.944"/>
        <n v="11.411"/>
        <n v="0.913"/>
        <n v="3.564"/>
        <n v="3.773"/>
        <n v="4.139"/>
        <n v="1.065"/>
        <n v="0.247"/>
        <n v="2.308"/>
        <n v="2.353"/>
        <n v="6.489"/>
        <n v="7.495"/>
        <n v="1.636"/>
        <n v="0.356"/>
        <n v="2.36"/>
        <n v="4.591"/>
        <n v="6.012"/>
        <n v="4.242"/>
        <n v="2.822"/>
        <n v="3.625"/>
        <n v="1.64"/>
        <n v="3.813"/>
        <n v="2.495"/>
        <n v="0.355"/>
        <n v="3.38"/>
        <n v="1.389"/>
        <n v="1.747"/>
        <n v="1.937"/>
        <n v="1.836"/>
        <n v="1.405"/>
        <n v="0.778"/>
        <n v="1.697"/>
        <n v="1.796"/>
        <n v="0.671"/>
        <n v="0.283"/>
        <n v="0.135"/>
        <n v="0.481"/>
        <n v="0.174"/>
        <n v="2.022"/>
        <n v="3.727"/>
        <n v="4.051"/>
        <n v="0.698"/>
        <n v="0.803"/>
        <n v="1.802"/>
        <n v="4.823"/>
        <n v="3.294"/>
        <n v="2.435"/>
        <n v="5.803"/>
        <n v="5.485"/>
        <n v="1.192"/>
        <n v="1.352"/>
        <n v="0.616"/>
        <n v="1.44"/>
        <n v="0.349"/>
        <n v="3.001"/>
        <n v="0.789"/>
        <n v="6.787"/>
        <n v="6.697"/>
        <n v="1.166"/>
        <n v="7.009"/>
        <n v="0.958"/>
        <n v="2.413"/>
        <n v="0.281"/>
        <n v="3.144"/>
        <n v="1.794"/>
        <n v="0.41"/>
        <n v="2.979"/>
        <n v="1.116"/>
        <n v="2.033"/>
        <n v="2.852"/>
        <n v="3.287"/>
        <n v="1.599"/>
        <n v="1.444"/>
        <n v="0.821"/>
        <n v="2.792"/>
        <n v="0.258"/>
        <n v="1.53"/>
        <n v="0.622"/>
        <n v="0.592"/>
        <n v="2.486"/>
        <n v="1.064"/>
        <n v="0.853"/>
        <n v="0.749"/>
        <n v="0.903"/>
        <n v="0.684"/>
        <n v="1.256"/>
        <n v="1.872"/>
        <n v="6.278"/>
        <n v="0.444"/>
        <n v="5.205"/>
        <n v="1.218"/>
        <n v="1.529"/>
        <n v="2.277"/>
        <n v="1.675"/>
        <n v="3.619"/>
        <n v="4.024"/>
        <n v="4.395"/>
        <n v="1.422"/>
        <n v="0.677"/>
        <n v="3.835"/>
        <n v="1.295"/>
        <n v="1.074"/>
        <n v="1.239"/>
        <n v="0.727"/>
        <n v="1.857"/>
        <n v="3.702"/>
        <n v="4.629"/>
        <n v="0.666"/>
        <n v="1.362"/>
        <n v="1.925"/>
        <n v="2.11"/>
        <n v="2.019"/>
        <n v="4.318"/>
        <n v="2.485"/>
        <n v="3.246"/>
        <n v="2.6"/>
        <n v="1.421"/>
        <n v="1.549"/>
        <n v="1.079"/>
        <n v="1.397"/>
        <n v="3.557"/>
        <n v="4.415"/>
        <n v="1.078"/>
        <n v="0.46"/>
        <n v="4.107"/>
        <n v="6.393"/>
        <n v="3.934"/>
        <n v="2.421"/>
        <n v="0.263"/>
        <n v="2.124"/>
        <n v="6.713"/>
        <n v="4.838"/>
        <n v="0.133"/>
        <n v="0.748"/>
        <n v="0.751"/>
        <n v="0.402"/>
        <n v="3.121"/>
        <n v="3.34"/>
        <n v="3.82"/>
        <n v="3.803"/>
        <n v="2.25"/>
        <n v="2.666"/>
        <n v="2.885"/>
        <n v="2.828"/>
        <n v="0.761"/>
        <n v="3.787"/>
        <n v="3.729"/>
        <n v="1.029"/>
        <n v="0.828"/>
        <n v="0.609"/>
        <n v="1.008"/>
        <n v="0.6568"/>
        <n v="1.001"/>
        <n v="1.635"/>
        <n v="7.496"/>
        <n v="0.409"/>
        <n v="3.651"/>
        <n v="3.997"/>
        <n v="5.194"/>
        <n v="8.05"/>
        <n v="8.284"/>
        <n v="0.636"/>
        <n v="3.968"/>
        <n v="1.98"/>
        <n v="5.79"/>
        <n v="1.984"/>
        <n v="2.958"/>
        <n v="1.709"/>
        <n v="7.359"/>
        <n v="4.446"/>
        <n v="7.241"/>
        <n v="0.735"/>
        <n v="3.276"/>
        <n v="3.097"/>
        <n v="0.624"/>
        <n v="3.741"/>
        <n v="0.5137"/>
        <n v="0.3225"/>
        <n v="0.04685"/>
      </sharedItems>
    </cacheField>
    <cacheField name="gap" numFmtId="0">
      <sharedItems containsSemiMixedTypes="0" containsString="0" containsNumber="1">
        <n v="25.0"/>
        <n v="40.0"/>
        <n v="28.0"/>
        <n v="36.0"/>
        <n v="172.8"/>
        <n v="37.0"/>
        <n v="23.0"/>
        <n v="24.0"/>
        <n v="129.0"/>
        <n v="56.0"/>
        <n v="15.0"/>
        <n v="17.0"/>
        <n v="50.0"/>
        <n v="58.0"/>
        <n v="10.0"/>
        <n v="31.0"/>
        <n v="30.0"/>
        <n v="33.0"/>
        <n v="13.0"/>
        <n v="22.0"/>
        <n v="18.0"/>
        <n v="45.0"/>
        <n v="20.0"/>
        <n v="44.0"/>
        <n v="32.0"/>
        <n v="61.0"/>
        <n v="21.0"/>
        <n v="26.0"/>
        <n v="34.0"/>
        <n v="27.0"/>
        <n v="92.0"/>
        <n v="69.0"/>
        <n v="54.0"/>
        <n v="12.0"/>
        <n v="94.0"/>
        <n v="42.0"/>
        <n v="29.0"/>
        <n v="43.0"/>
        <n v="46.0"/>
        <n v="57.0"/>
        <n v="108.0"/>
        <n v="208.8"/>
        <n v="49.0"/>
        <n v="126.0"/>
        <n v="205.2"/>
        <n v="19.0"/>
        <n v="0.0"/>
        <n v="114.0"/>
        <n v="48.0"/>
        <n v="78.0"/>
        <n v="38.0"/>
        <n v="66.0"/>
        <n v="9.0"/>
        <n v="35.0"/>
        <n v="11.0"/>
        <n v="16.0"/>
        <n v="14.0"/>
        <n v="60.0"/>
        <n v="55.79"/>
        <n v="39.0"/>
        <n v="98.0"/>
        <n v="68.0"/>
        <n v="63.0"/>
        <n v="210.0"/>
        <n v="82.0"/>
        <n v="55.0"/>
        <n v="74.0"/>
        <n v="41.0"/>
        <n v="62.0"/>
        <n v="123.0"/>
        <n v="8.0"/>
        <n v="51.0"/>
        <n v="119.0"/>
        <n v="229.0"/>
        <n v="53.0"/>
        <n v="25.2"/>
        <n v="16.6"/>
        <n v="12.6"/>
        <n v="10.1"/>
        <n v="26.6"/>
        <n v="11.5"/>
        <n v="11.4"/>
        <n v="14.2"/>
        <n v="20.7"/>
        <n v="15.3"/>
        <n v="23.7"/>
        <n v="16.5"/>
        <n v="17.5"/>
        <n v="26.5"/>
        <n v="18.4"/>
        <n v="20.9"/>
        <n v="19.3"/>
        <n v="13.7"/>
        <n v="8.7"/>
        <n v="14.8"/>
        <n v="57.3"/>
        <n v="25.5"/>
        <n v="42.7"/>
        <n v="34.4"/>
        <n v="17.7"/>
        <n v="15.5"/>
        <n v="34.3"/>
        <n v="10.2"/>
        <n v="14.6"/>
        <n v="13.8"/>
        <n v="11.7"/>
        <n v="15.7"/>
        <n v="15.4"/>
        <n v="26.9"/>
        <n v="95.9"/>
        <n v="54.1"/>
        <n v="14.9"/>
        <n v="15.2"/>
        <n v="37.9"/>
        <n v="13.4"/>
        <n v="11.1"/>
        <n v="17.6"/>
        <n v="10.6"/>
        <n v="38.6"/>
        <n v="46.5"/>
        <n v="19.7"/>
        <n v="10.9"/>
        <n v="12.3"/>
        <n v="33.5"/>
        <n v="24.9"/>
        <n v="12.5"/>
        <n v="37.2"/>
        <n v="18.2"/>
        <n v="9.5"/>
        <n v="18.7"/>
        <n v="10.8"/>
        <n v="48.4"/>
        <n v="17.4"/>
        <n v="33.9"/>
        <n v="34.7"/>
        <n v="25.3"/>
        <n v="13.3"/>
        <n v="30.1"/>
        <n v="24.3"/>
        <n v="18.5"/>
        <n v="50.3"/>
        <n v="15.1"/>
        <n v="15.8"/>
        <n v="12.4"/>
        <n v="20.2"/>
        <n v="12.7"/>
        <n v="52.8"/>
        <n v="18.1"/>
        <n v="18.6"/>
        <n v="20.6"/>
        <n v="12.1"/>
        <n v="19.2"/>
        <n v="239.0"/>
        <n v="16.7"/>
        <n v="17.1"/>
        <n v="23.2"/>
        <n v="27.8"/>
        <n v="17.8"/>
        <n v="22.7"/>
        <n v="220.0"/>
        <n v="20.4"/>
        <n v="21.4"/>
        <n v="30.2"/>
        <n v="20.3"/>
        <n v="20.8"/>
        <n v="16.3"/>
        <n v="14.1"/>
        <n v="16.8"/>
        <n v="27.2"/>
        <n v="21.1"/>
        <n v="22.6"/>
        <n v="29.8"/>
        <n v="33.7"/>
        <n v="28.6"/>
        <n v="22.3"/>
        <n v="22.2"/>
        <n v="11.3"/>
        <n v="25.9"/>
        <n v="28.3"/>
        <n v="16.4"/>
        <n v="30.7"/>
        <n v="30.6"/>
        <n v="27.6"/>
        <n v="18.8"/>
        <n v="30.3"/>
        <n v="27.5"/>
        <n v="15.9"/>
        <n v="40.1"/>
        <n v="22.4"/>
        <n v="23.9"/>
        <n v="23.1"/>
        <n v="26.2"/>
        <n v="29.1"/>
        <n v="32.3"/>
        <n v="21.3"/>
        <n v="12.8"/>
        <n v="25.7"/>
        <n v="24.1"/>
        <n v="37.7"/>
        <n v="14.7"/>
        <n v="40.3"/>
        <n v="21.6"/>
        <n v="31.6"/>
        <n v="53.4"/>
        <n v="15.6"/>
        <n v="124.0"/>
        <n v="28.4"/>
        <n v="47.4"/>
        <n v="36.8"/>
        <n v="46.3"/>
        <n v="25.6"/>
        <n v="48.2"/>
        <n v="20.5"/>
        <n v="48.8"/>
        <n v="19.6"/>
        <n v="26.4"/>
        <n v="31.4"/>
        <n v="16.1"/>
        <n v="21.2"/>
        <n v="22.1"/>
        <n v="22.9"/>
        <n v="33.8"/>
        <n v="31.8"/>
        <n v="47.3"/>
        <n v="78.5"/>
        <n v="31.9"/>
        <n v="27.9"/>
        <n v="59.3"/>
        <n v="21.8"/>
        <n v="23.6"/>
        <n v="28.8"/>
        <n v="50.2"/>
        <n v="21.5"/>
        <n v="37.3"/>
        <n v="24.7"/>
        <n v="32.2"/>
        <n v="18.3"/>
        <n v="31.2"/>
        <n v="46.9"/>
        <n v="29.9"/>
        <n v="33.3"/>
        <n v="42.5"/>
        <n v="46.6"/>
        <n v="44.8"/>
        <n v="71.0"/>
        <n v="27.7"/>
        <n v="25.1"/>
        <n v="45.9"/>
        <n v="61.2"/>
        <n v="55.4"/>
        <n v="24.5"/>
        <n v="71.3"/>
        <n v="78.8"/>
        <n v="39.1"/>
        <n v="26.7"/>
        <n v="19.1"/>
        <n v="19.4"/>
        <n v="28.7"/>
        <n v="38.4"/>
      </sharedItems>
    </cacheField>
    <cacheField name="magType" numFmtId="0">
      <sharedItems>
        <s v="mww"/>
        <s v="Mi"/>
        <s v="mwc"/>
        <s v="mwb"/>
        <s v="ml"/>
        <s v="mw"/>
        <s v="ms"/>
        <s v="mb"/>
        <s v="md"/>
      </sharedItems>
    </cacheField>
    <cacheField name="depth" numFmtId="0">
      <sharedItems containsSemiMixedTypes="0" containsString="0" containsNumber="1">
        <n v="192.955"/>
        <n v="69.727"/>
        <n v="171.371"/>
        <n v="32.571"/>
        <n v="21.0"/>
        <n v="10.0"/>
        <n v="229.0"/>
        <n v="167.404"/>
        <n v="35.981"/>
        <n v="18.027"/>
        <n v="210.097"/>
        <n v="598.467"/>
        <n v="15.462"/>
        <n v="43.063"/>
        <n v="595.854"/>
        <n v="594.028"/>
        <n v="105.631"/>
        <n v="62.603"/>
        <n v="209.976"/>
        <n v="187.589"/>
        <n v="65.842"/>
        <n v="22.065"/>
        <n v="205.681"/>
        <n v="598.925"/>
        <n v="20.522"/>
        <n v="14.497"/>
        <n v="17.925"/>
        <n v="610.671"/>
        <n v="28.566"/>
        <n v="105.249"/>
        <n v="29.0"/>
        <n v="38.0"/>
        <n v="14.0"/>
        <n v="25.0"/>
        <n v="579.0"/>
        <n v="37.0"/>
        <n v="624.464"/>
        <n v="660.0"/>
        <n v="630.379"/>
        <n v="20.0"/>
        <n v="26.943"/>
        <n v="137.0"/>
        <n v="116.0"/>
        <n v="12.0"/>
        <n v="30.0"/>
        <n v="33.729"/>
        <n v="622.73"/>
        <n v="236.0"/>
        <n v="220.0"/>
        <n v="27.0"/>
        <n v="24.0"/>
        <n v="41.0"/>
        <n v="28.0"/>
        <n v="535.0"/>
        <n v="110.0"/>
        <n v="8.0"/>
        <n v="33.0"/>
        <n v="19.0"/>
        <n v="13.0"/>
        <n v="165.49"/>
        <n v="14.27"/>
        <n v="126.0"/>
        <n v="51.6"/>
        <n v="527.0"/>
        <n v="6.0"/>
        <n v="7.0"/>
        <n v="93.0"/>
        <n v="16.7"/>
        <n v="33.3"/>
        <n v="20.74"/>
        <n v="22.79"/>
        <n v="47.23"/>
        <n v="55.14"/>
        <n v="46.66"/>
        <n v="35.0"/>
        <n v="11.0"/>
        <n v="43.0"/>
        <n v="246.0"/>
        <n v="301.0"/>
        <n v="13.23"/>
        <n v="28.93"/>
        <n v="43.98"/>
        <n v="15.0"/>
        <n v="80.0"/>
        <n v="28.37"/>
        <n v="16.0"/>
        <n v="624.0"/>
        <n v="26.0"/>
        <n v="22.0"/>
        <n v="73.0"/>
        <n v="533.76"/>
        <n v="165.0"/>
        <n v="112.0"/>
        <n v="2.7"/>
        <n v="107.0"/>
        <n v="96.0"/>
        <n v="12.06"/>
        <n v="57.8"/>
        <n v="143.0"/>
        <n v="14.86"/>
        <n v="18.0"/>
        <n v="577.0"/>
        <n v="12.26"/>
        <n v="591.0"/>
        <n v="49.0"/>
        <n v="181.0"/>
        <n v="18.98"/>
        <n v="212.0"/>
        <n v="46.0"/>
        <n v="57.92"/>
        <n v="122.57"/>
        <n v="146.0"/>
        <n v="15.46"/>
        <n v="267.0"/>
        <n v="145.0"/>
        <n v="66.0"/>
        <n v="63.0"/>
        <n v="43.21"/>
        <n v="570.41"/>
        <n v="60.21"/>
        <n v="16.56"/>
        <n v="133.0"/>
        <n v="46.7"/>
        <n v="540.0"/>
        <n v="17.0"/>
        <n v="461.0"/>
        <n v="39.0"/>
        <n v="550.0"/>
        <n v="576.0"/>
        <n v="115.0"/>
        <n v="68.0"/>
        <n v="670.81"/>
        <n v="21.43"/>
        <n v="630.0"/>
        <n v="9.0"/>
        <n v="146.82"/>
        <n v="600.0"/>
        <n v="529.0"/>
        <n v="33.93"/>
        <n v="34.0"/>
        <n v="5.81"/>
        <n v="559.0"/>
        <n v="40.0"/>
        <n v="22.86"/>
        <n v="20.49"/>
        <n v="25.21"/>
        <n v="14.06"/>
        <n v="90.0"/>
        <n v="19.36"/>
        <n v="110.57"/>
        <n v="553.81"/>
        <n v="119.0"/>
        <n v="48.0"/>
        <n v="47.39"/>
        <n v="38.12"/>
        <n v="5.0"/>
        <n v="169.0"/>
        <n v="414.5"/>
        <n v="595.98"/>
        <n v="135.0"/>
        <n v="36.0"/>
        <n v="627.17"/>
        <n v="152.0"/>
        <n v="94.54"/>
        <n v="19.73"/>
        <n v="8.45"/>
        <n v="15.11"/>
        <n v="614.0"/>
        <n v="42.0"/>
        <n v="596.4"/>
        <n v="476.0"/>
        <n v="82.0"/>
        <n v="16.37"/>
        <n v="196.0"/>
        <n v="50.0"/>
        <n v="78.0"/>
        <n v="405.69"/>
        <n v="29.95"/>
        <n v="20.59"/>
        <n v="136.0"/>
        <n v="27.59"/>
        <n v="177.0"/>
        <n v="125.6"/>
        <n v="55.0"/>
        <n v="85.0"/>
        <n v="602.75"/>
        <n v="620.56"/>
        <n v="606.21"/>
        <n v="12.59"/>
        <n v="231.0"/>
        <n v="23.0"/>
        <n v="28.41"/>
        <n v="22.44"/>
        <n v="6.43"/>
        <n v="460.0"/>
        <n v="664.0"/>
        <n v="72.6"/>
        <n v="11.19"/>
        <n v="44.0"/>
        <n v="31.0"/>
        <n v="22.91"/>
        <n v="8.22"/>
        <n v="552.06"/>
        <n v="223.0"/>
        <n v="219.96"/>
        <n v="45.0"/>
        <n v="53.19"/>
        <n v="434.0"/>
        <n v="130.0"/>
        <n v="101.0"/>
        <n v="615.42"/>
        <n v="53.0"/>
        <n v="109.0"/>
        <n v="26.59"/>
        <n v="106.0"/>
        <n v="43.37"/>
        <n v="22.56"/>
        <n v="60.53"/>
        <n v="22.4"/>
        <n v="24.07"/>
        <n v="28.42"/>
        <n v="16.441"/>
        <n v="14.83"/>
        <n v="122.0"/>
        <n v="44.26"/>
        <n v="187.0"/>
        <n v="371.0"/>
        <n v="9.97"/>
        <n v="9.45"/>
        <n v="19.04"/>
        <n v="573.0"/>
        <n v="41.54"/>
        <n v="402.0"/>
        <n v="8.2"/>
        <n v="56.0"/>
        <n v="385.5"/>
        <n v="598.1"/>
        <n v="173.7"/>
        <n v="602.2"/>
        <n v="8.8"/>
        <n v="8.7"/>
        <n v="200.7"/>
        <n v="155.0"/>
        <n v="13.7"/>
        <n v="170.0"/>
        <n v="91.1"/>
        <n v="583.2"/>
        <n v="134.7"/>
        <n v="198.0"/>
        <n v="25.1"/>
        <n v="40.7"/>
        <n v="118.0"/>
        <n v="59.0"/>
        <n v="91.0"/>
        <n v="185.1"/>
        <n v="147.0"/>
        <n v="32.0"/>
        <n v="79.0"/>
        <n v="166.2"/>
        <n v="25.7"/>
        <n v="6.8"/>
        <n v="18.6"/>
        <n v="42.6"/>
        <n v="20.1"/>
        <n v="206.7"/>
        <n v="578.0"/>
        <n v="10.5"/>
        <n v="9.987"/>
        <n v="176.0"/>
        <n v="22.9"/>
        <n v="28.737"/>
        <n v="15.4"/>
        <n v="595.0"/>
        <n v="31.1"/>
        <n v="81.0"/>
        <n v="292.0"/>
        <n v="64.0"/>
        <n v="204.8"/>
        <n v="27.4"/>
        <n v="108.0"/>
        <n v="25.5"/>
        <n v="7.8"/>
        <n v="83.0"/>
        <n v="156.0"/>
        <n v="122.9"/>
        <n v="28.9"/>
        <n v="40.5"/>
        <n v="280.0"/>
        <n v="120.0"/>
        <n v="350.4"/>
        <n v="38.182"/>
        <n v="150.0"/>
        <n v="60.5"/>
        <n v="30.1"/>
        <n v="224.6"/>
        <n v="115.6"/>
        <n v="201.7"/>
        <n v="39.7"/>
        <n v="206.3"/>
        <n v="525.0"/>
        <n v="27.8"/>
        <n v="16.1"/>
        <n v="39.2"/>
        <n v="94.0"/>
        <n v="105.0"/>
        <n v="13.4"/>
        <n v="188.6"/>
        <n v="65.8"/>
        <n v="228.4"/>
        <n v="187.1"/>
        <n v="16.6"/>
        <n v="17.4"/>
        <n v="8.382"/>
        <n v="113.7"/>
        <n v="174.8"/>
        <n v="40.2"/>
        <n v="71.9"/>
        <n v="4.2"/>
        <n v="54.0"/>
        <n v="85.7"/>
        <n v="62.0"/>
        <n v="24.9"/>
        <n v="32.8"/>
        <n v="125.1"/>
        <n v="225.6"/>
        <n v="123.8"/>
        <n v="131.8"/>
        <n v="51.798"/>
        <n v="60.0"/>
        <n v="36.4"/>
        <n v="103.0"/>
        <n v="50.4"/>
        <n v="45.8"/>
        <n v="42.9"/>
        <n v="225.0"/>
        <n v="61.1"/>
        <n v="183.4"/>
        <n v="43.6"/>
        <n v="128.1"/>
        <n v="47.5"/>
        <n v="13.73"/>
        <n v="60.6"/>
        <n v="70.0"/>
        <n v="73.7"/>
        <n v="138.0"/>
        <n v="164.2"/>
        <n v="87.2"/>
        <n v="56.6"/>
        <n v="90.1"/>
        <n v="67.2"/>
        <n v="114.1"/>
        <n v="144.3"/>
        <n v="151.6"/>
        <n v="110.2"/>
        <n v="61.4"/>
        <n v="164.6"/>
        <n v="55.7"/>
        <n v="23.4"/>
        <n v="34.8"/>
        <n v="179.3"/>
        <n v="123.1"/>
        <n v="176.4"/>
        <n v="58.0"/>
        <n v="167.3"/>
        <n v="105.6"/>
        <n v="198.7"/>
        <n v="22.8"/>
        <n v="19.9"/>
        <n v="57.0"/>
        <n v="100.8"/>
        <n v="69.1"/>
        <n v="226.5"/>
        <n v="49.2"/>
        <n v="18.3"/>
        <n v="587.3"/>
        <n v="26.3"/>
        <n v="200.1"/>
        <n v="49.5"/>
        <n v="164.4"/>
        <n v="21.1"/>
        <n v="31.9"/>
        <n v="19.2"/>
        <n v="40.8"/>
        <n v="11.1"/>
        <n v="141.9"/>
        <n v="63.4"/>
        <n v="159.3"/>
        <n v="19.7"/>
        <n v="28.4"/>
        <n v="24.4"/>
        <n v="59.9"/>
        <n v="12.2"/>
        <n v="119.6"/>
        <n v="18.7"/>
        <n v="127.9"/>
        <n v="45.6"/>
        <n v="12.5"/>
        <n v="139.4"/>
        <n v="14.2"/>
        <n v="20.2"/>
        <n v="11.2"/>
      </sharedItems>
    </cacheField>
    <cacheField name="latitude" numFmtId="0">
      <sharedItems containsSemiMixedTypes="0" containsString="0" containsNumber="1">
        <n v="-13.8814"/>
        <n v="12.814"/>
        <n v="-38.1911"/>
        <n v="54.3844"/>
        <n v="54.49"/>
        <n v="20.0196"/>
        <n v="-17.853"/>
        <n v="-22.9824"/>
        <n v="8.8894"/>
        <n v="-23.0622"/>
        <n v="-23.2286"/>
        <n v="-15.6002"/>
        <n v="-25.2657"/>
        <n v="-0.781"/>
        <n v="-30.0249"/>
        <n v="-22.2844"/>
        <n v="-6.0255"/>
        <n v="52.7772"/>
        <n v="-4.2924"/>
        <n v="-23.4797"/>
        <n v="36.5227"/>
        <n v="-2.851"/>
        <n v="-30.1147"/>
        <n v="-29.4748"/>
        <n v="-15.3597"/>
        <n v="-4.8138"/>
        <n v="38.0726"/>
        <n v="38.0235"/>
        <n v="37.4135"/>
        <n v="37.2012"/>
        <n v="-26.7209"/>
        <n v="2.7401"/>
        <n v="-7.0852"/>
        <n v="-14.9383"/>
        <n v="-15.3983"/>
        <n v="-9.7963"/>
        <n v="-4.9559"/>
        <n v="-20.0508"/>
        <n v="-19.2918"/>
        <n v="-25.5948"/>
        <n v="-26.0442"/>
        <n v="-25.9678"/>
        <n v="7.6712"/>
        <n v="18.33"/>
        <n v="18.3667"/>
        <n v="23.1444"/>
        <n v="23.029"/>
        <n v="-21.2077"/>
        <n v="-6.2237"/>
        <n v="29.7263"/>
        <n v="-32.6922"/>
        <n v="17.5978"/>
        <n v="-9.0618"/>
        <n v="-14.8628"/>
        <n v="-54.1325"/>
        <n v="-23.6141"/>
        <n v="11.5538"/>
        <n v="-22.5732"/>
        <n v="-22.72"/>
        <n v="23.3421"/>
        <n v="37.7015"/>
        <n v="-0.6831"/>
        <n v="-30.0528"/>
        <n v="-23.7852"/>
        <n v="-4.455"/>
        <n v="-29.535"/>
        <n v="-6.9291"/>
        <n v="52.502"/>
        <n v="52.6252"/>
        <n v="52.48"/>
        <n v="52.6563"/>
        <n v="35.1456"/>
        <n v="37.8167"/>
        <n v="-7.5924"/>
        <n v="-7.6033"/>
        <n v="-4.4898"/>
        <n v="23.5414"/>
        <n v="56.2581"/>
        <n v="-21.1704"/>
        <n v="-21.1036"/>
        <n v="12.1598"/>
        <n v="16.9502"/>
        <n v="-60.3026"/>
        <n v="-60.1023"/>
        <n v="-14.892"/>
        <n v="-58.3814"/>
        <n v="18.3521"/>
        <n v="55.2364"/>
        <n v="55.2657"/>
        <n v="-58.4157"/>
        <n v="-57.5959"/>
        <n v="6.4547"/>
        <n v="55.4742"/>
        <n v="55.3154"/>
        <n v="13.6989"/>
        <n v="7.5904"/>
        <n v="-30.2144"/>
        <n v="-16.4796"/>
        <n v="34.5861"/>
        <n v="0.1684"/>
        <n v="-17.2495"/>
        <n v="38.2296"/>
        <n v="-21.6857"/>
        <n v="-18.9204"/>
        <n v="38.4752"/>
        <n v="54.7018"/>
        <n v="-28.4792"/>
        <n v="-29.7466"/>
        <n v="-29.6131"/>
        <n v="-37.596"/>
        <n v="37.6856"/>
        <n v="-23.2787"/>
        <n v="-61.8484"/>
        <n v="5.0074"/>
        <n v="51.2407"/>
        <n v="-39.3264"/>
        <n v="37.8973"/>
        <n v="54.662"/>
        <n v="0.9604"/>
        <n v="-27.9285"/>
        <n v="-28.013"/>
        <n v="0.8696"/>
        <n v="-6.6704"/>
        <n v="-4.2791"/>
        <n v="-4.3724"/>
        <n v="12.0065"/>
        <n v="55.1079"/>
        <n v="-7.847"/>
        <n v="-5.6368"/>
        <n v="15.9163"/>
        <n v="-33.2938"/>
        <n v="28.9386"/>
        <n v="-23.2966"/>
        <n v="38.1689"/>
        <n v="-12.0662"/>
        <n v="-6.7762"/>
        <n v="34.1818"/>
        <n v="44.4646"/>
        <n v="48.9638"/>
        <n v="45.6161"/>
        <n v="19.4193"/>
        <n v="38.4312"/>
        <n v="6.6969"/>
        <n v="1.6213"/>
        <n v="-21.9449"/>
        <n v="-18.5747"/>
        <n v="6.9098"/>
        <n v="6.7567"/>
        <n v="-35.4758"/>
        <n v="-3.4528"/>
        <n v="-20.3641"/>
        <n v="-60.2152"/>
        <n v="-7.2822"/>
        <n v="-34.2364"/>
        <n v="-16.1985"/>
        <n v="-0.5858"/>
        <n v="-18.2242"/>
        <n v="0.5126"/>
        <n v="35.7695"/>
        <n v="-6.4078"/>
        <n v="-30.6441"/>
        <n v="13.1994"/>
        <n v="-5.8119"/>
        <n v="-4.051"/>
        <n v="-6.9746"/>
        <n v="-1.8146"/>
        <n v="-58.6262"/>
        <n v="-14.7131"/>
        <n v="-2.1862"/>
        <n v="14.6802"/>
        <n v="-43.1219"/>
        <n v="-30.0404"/>
        <n v="-13.336"/>
        <n v="2.258"/>
        <n v="-8.144"/>
        <n v="5.8983"/>
        <n v="55.0999"/>
        <n v="-58.5446"/>
        <n v="-22.0629"/>
        <n v="-21.9496"/>
        <n v="61.3464"/>
        <n v="-17.8735"/>
        <n v="71.6312"/>
        <n v="37.5203"/>
        <n v="49.297"/>
        <n v="49.3346"/>
        <n v="49.2586"/>
        <n v="-21.7427"/>
        <n v="52.8549"/>
        <n v="49.2902"/>
        <n v="-5.7012"/>
        <n v="-18.3604"/>
        <n v="-0.2559"/>
        <n v="-25.415"/>
        <n v="-31.7447"/>
        <n v="-10.0207"/>
        <n v="-18.4743"/>
        <n v="42.6861"/>
        <n v="-22.0295"/>
        <n v="-11.0355"/>
        <n v="-16.0315"/>
        <n v="10.7731"/>
        <n v="-8.319"/>
        <n v="-18.1125"/>
        <n v="-7.3718"/>
        <n v="51.4234"/>
        <n v="-8.2581"/>
        <n v="19.3182"/>
        <n v="-20.6588"/>
        <n v="-5.5321"/>
        <n v="-5.5024"/>
        <n v="-4.3762"/>
        <n v="-6.3043"/>
        <n v="-6.0699"/>
        <n v="16.3855"/>
        <n v="56.0039"/>
        <n v="-15.7675"/>
        <n v="17.4825"/>
        <n v="-7.4921"/>
        <n v="-54.2189"/>
        <n v="-21.3246"/>
        <n v="-21.5027"/>
        <n v="9.5147"/>
        <n v="34.9109"/>
        <n v="-4.2433"/>
        <n v="-15.3197"/>
        <n v="-21.6484"/>
        <n v="-21.6971"/>
        <n v="-7.2168"/>
        <n v="52.3909"/>
        <n v="18.5499"/>
        <n v="15.0222"/>
        <n v="33.1926"/>
        <n v="36.9293"/>
        <n v="54.4434"/>
        <n v="-49.4837"/>
        <n v="11.1269"/>
        <n v="13.7174"/>
        <n v="14.9091"/>
        <n v="54.0312"/>
        <n v="-1.2923"/>
        <n v="-56.414"/>
        <n v="-14.5884"/>
        <n v="5.5043"/>
        <n v="-33.0375"/>
        <n v="-22.6784"/>
        <n v="56.9401"/>
        <n v="-23.2593"/>
        <n v="-19.2814"/>
        <n v="9.9071"/>
        <n v="-6.2464"/>
        <n v="-10.3506"/>
        <n v="4.4782"/>
        <n v="-19.3733"/>
        <n v="-43.4064"/>
        <n v="-7.5082"/>
        <n v="-4.5049"/>
        <n v="-10.749"/>
        <n v="-10.8416"/>
        <n v="-10.6812"/>
        <n v="40.4535"/>
        <n v="5.2834"/>
        <n v="39.2732"/>
        <n v="11.9097"/>
        <n v="37.3931"/>
        <n v="-42.6058"/>
        <n v="-42.3205"/>
        <n v="-42.7373"/>
        <n v="42.8621"/>
        <n v="-4.8626"/>
        <n v="-6.0033"/>
        <n v="-19.7819"/>
        <n v="-37.3586"/>
        <n v="-3.6849"/>
        <n v="20.9228"/>
        <n v="-22.4765"/>
        <n v="18.5429"/>
        <n v="-2.0967"/>
        <n v="-56.2409"/>
        <n v="-21.9724"/>
        <n v="0.4947"/>
        <n v="0.4261"/>
        <n v="-16.0429"/>
        <n v="0.3819"/>
        <n v="32.7906"/>
        <n v="23.0944"/>
        <n v="36.4725"/>
        <n v="-13.9805"/>
        <n v="-14.0683"/>
        <n v="-14.3235"/>
        <n v="-4.9521"/>
        <n v="53.9776"/>
        <n v="59.6204"/>
        <n v="18.8239"/>
        <n v="41.9723"/>
        <n v="3.8965"/>
        <n v="24.8036"/>
        <n v="15.8015"/>
        <n v="-4.1064"/>
        <n v="38.2107"/>
        <n v="-9.1825"/>
        <n v="-10.0598"/>
        <n v="-10.5372"/>
        <n v="-8.8994"/>
        <n v="38.67"/>
        <n v="31.0009"/>
        <n v="-29.5097"/>
        <n v="-29.5067"/>
        <n v="6.8431"/>
        <n v="-30.8796"/>
        <n v="-8.3381"/>
        <n v="36.5244"/>
        <n v="-14.8595"/>
        <n v="-0.6212"/>
        <n v="-31.7275"/>
        <n v="-31.5173"/>
        <n v="-31.4244"/>
        <n v="-31.5622"/>
        <n v="-31.5729"/>
        <n v="24.913"/>
        <n v="-9.3293"/>
        <n v="-9.3438"/>
        <n v="-2.6286"/>
        <n v="52.376"/>
        <n v="-10.4012"/>
        <n v="13.8672"/>
        <n v="-9.307"/>
        <n v="27.7375"/>
        <n v="27.8386"/>
        <n v="56.594"/>
        <n v="-11.1093"/>
        <n v="-11.0559"/>
        <n v="-10.8759"/>
        <n v="38.9056"/>
        <n v="27.8087"/>
        <n v="-7.2175"/>
        <n v="-5.4624"/>
        <n v="-5.2005"/>
        <n v="-5.375"/>
        <n v="27.7711"/>
        <n v="28.2244"/>
        <n v="28.2305"/>
        <n v="-15.8815"/>
        <n v="-15.4994"/>
        <n v="-4.7294"/>
        <n v="-7.2968"/>
        <n v="39.8558"/>
        <n v="-23.1125"/>
        <n v="-17.0309"/>
        <n v="5.9045"/>
        <n v="7.9401"/>
        <n v="-6.5108"/>
        <n v="6.1572"/>
        <n v="1.9604"/>
        <n v="2.2999"/>
        <n v="-37.6478"/>
        <n v="1.8929"/>
        <n v="-5.9873"/>
        <n v="-19.6903"/>
        <n v="12.5262"/>
        <n v="13.7641"/>
        <n v="-14.598"/>
        <n v="0.8295"/>
        <n v="-19.8015"/>
        <n v="37.0052"/>
        <n v="14.724"/>
        <n v="-6.2304"/>
        <n v="-14.9831"/>
        <n v="-55.4703"/>
        <n v="51.8486"/>
        <n v="-29.9414"/>
        <n v="-29.9379"/>
        <n v="-29.9772"/>
        <n v="40.2893"/>
        <n v="7.2096"/>
        <n v="-21.4542"/>
        <n v="49.6388"/>
        <n v="-6.7547"/>
        <n v="-6.6558"/>
        <n v="17.397"/>
        <n v="-11.1284"/>
        <n v="-11.4633"/>
        <n v="-11.2701"/>
        <n v="11.642"/>
        <n v="-6.7878"/>
        <n v="-6.5858"/>
        <n v="-20.5709"/>
        <n v="-20.3113"/>
        <n v="-19.8927"/>
        <n v="-19.6097"/>
        <n v="-19.9807"/>
        <n v="40.8287"/>
        <n v="27.4312"/>
        <n v="14.6682"/>
        <n v="35.9053"/>
        <n v="-15.0691"/>
        <n v="-32.9076"/>
        <n v="-13.8633"/>
        <n v="-17.1171"/>
        <n v="-60.2738"/>
        <n v="-60.2627"/>
        <n v="-30.2921"/>
        <n v="37.1557"/>
        <n v="26.0913"/>
        <n v="-6.4456"/>
        <n v="9.8796"/>
        <n v="35.5142"/>
        <n v="53.1995"/>
        <n v="-30.9255"/>
        <n v="27.1825"/>
        <n v="-15.8385"/>
        <n v="26.951"/>
        <n v="51.5573"/>
        <n v="29.9377"/>
        <n v="-7.44"/>
        <n v="51.537"/>
        <n v="-41.734"/>
        <n v="5.7732"/>
        <n v="-41.704"/>
        <n v="-60.857"/>
        <n v="-6.029"/>
        <n v="-3.917"/>
        <n v="10.701"/>
        <n v="11.763"/>
        <n v="-10.004"/>
        <n v="52.235"/>
        <n v="54.892"/>
        <n v="-23.009"/>
        <n v="18.728"/>
        <n v="-3.898"/>
        <n v="30.308"/>
        <n v="46.221"/>
        <n v="-3.214"/>
        <n v="28.033"/>
        <n v="-6.475"/>
        <n v="-3.517"/>
        <n v="-6.598"/>
        <n v="50.958"/>
        <n v="50.954"/>
        <n v="67.631"/>
        <n v="-10.994"/>
        <n v="1.135"/>
        <n v="-10.928"/>
        <n v="-10.838"/>
        <n v="-10.997"/>
        <n v="-10.499"/>
        <n v="-11.183"/>
        <n v="-10.799"/>
        <n v="42.77"/>
        <n v="-28.094"/>
        <n v="55.228"/>
        <n v="-14.344"/>
        <n v="-6.533"/>
        <n v="37.89"/>
        <n v="14.129"/>
        <n v="23.005"/>
        <n v="13.988"/>
        <n v="52.788"/>
        <n v="10.086"/>
        <n v="-4.892"/>
        <n v="1.929"/>
        <n v="10.085"/>
        <n v="10.811"/>
        <n v="12.139"/>
        <n v="2.19"/>
        <n v="49.8"/>
        <n v="-4.651"/>
        <n v="-18.685"/>
        <n v="-1.617"/>
        <n v="-5.462"/>
        <n v="-32.625"/>
        <n v="28.696"/>
        <n v="18.229"/>
        <n v="0.802"/>
        <n v="2.327"/>
        <n v="-35.2"/>
        <n v="-6.242"/>
        <n v="16.493"/>
        <n v="51.708"/>
        <n v="9.999"/>
        <n v="-17.827"/>
        <n v="2.433"/>
        <n v="51.842"/>
        <n v="-7.551"/>
        <n v="17.986"/>
        <n v="-14.438"/>
        <n v="38.721"/>
        <n v="-6.57"/>
        <n v="27.73"/>
        <n v="40.273"/>
        <n v="2.965"/>
        <n v="-20.671"/>
        <n v="-7.641"/>
        <n v="-18.311"/>
        <n v="-18.308"/>
        <n v="-18.365"/>
        <n v="-3.518"/>
        <n v="-29.539"/>
        <n v="39.955"/>
        <n v="-20.244"/>
        <n v="-10.375"/>
        <n v="37.001"/>
        <n v="38.276"/>
        <n v="17.208"/>
        <n v="20.687"/>
        <n v="39.241"/>
        <n v="36.166"/>
        <n v="38.058"/>
        <n v="36.281"/>
        <n v="38.297"/>
        <n v="38.435"/>
        <n v="-35.38"/>
        <n v="-36.422"/>
        <n v="28.777"/>
        <n v="-20.628"/>
        <n v="-38.355"/>
        <n v="-19.702"/>
        <n v="28.412"/>
        <n v="-6.001"/>
        <n v="-3.487"/>
        <n v="24.696"/>
        <n v="-4.963"/>
        <n v="-43.522"/>
        <n v="-1.266"/>
        <n v="-17.541"/>
        <n v="-5.746"/>
        <n v="-5.486"/>
        <n v="6.497"/>
        <n v="-5.931"/>
        <n v="-5.966"/>
        <n v="-38.067"/>
        <n v="-10.627"/>
        <n v="-2.329"/>
        <n v="-2.174"/>
        <n v="7.881"/>
        <n v="-13.698"/>
        <n v="3.748"/>
        <n v="33.165"/>
        <n v="-10.878"/>
        <n v="2.383"/>
        <n v="32.2862"/>
        <n v="13.667"/>
        <n v="-36.217"/>
        <n v="37.745"/>
        <n v="-34.326"/>
        <n v="-34.29"/>
        <n v="-3.762"/>
        <n v="-36.665"/>
        <n v="-13.571"/>
        <n v="-37.773"/>
        <n v="-36.122"/>
        <n v="25.93"/>
        <n v="18.443"/>
        <n v="40.652"/>
        <n v="-9.019"/>
        <n v="-8.783"/>
        <n v="-8.726"/>
        <n v="-19.394"/>
        <n v="-17.239"/>
        <n v="-8.207"/>
        <n v="29.218"/>
        <n v="-6.133"/>
        <n v="-13.298"/>
        <n v="-13.093"/>
        <n v="-12.517"/>
        <n v="-13.006"/>
        <n v="-2.482"/>
        <n v="-0.72"/>
        <n v="-15.489"/>
        <n v="-7.782"/>
        <n v="-1.479"/>
        <n v="32.821"/>
        <n v="14.099"/>
        <n v="33.167"/>
        <n v="29.039"/>
        <n v="-45.762"/>
        <n v="-5.157"/>
        <n v="16.731"/>
        <n v="-23.043"/>
        <n v="3.886"/>
        <n v="-0.691"/>
        <n v="36.419"/>
        <n v="-0.414"/>
        <n v="1.271"/>
        <n v="14.423"/>
        <n v="39.533"/>
        <n v="41.892"/>
        <n v="1.885"/>
        <n v="-13.501"/>
        <n v="30.901"/>
        <n v="39.802"/>
        <n v="37.552"/>
        <n v="37.55"/>
        <n v="11.005"/>
        <n v="39.03"/>
        <n v="31.002"/>
        <n v="36.164"/>
        <n v="-20.071"/>
        <n v="35.49"/>
        <n v="13.351"/>
        <n v="-2.245"/>
        <n v="-2.332"/>
        <n v="-2.486"/>
        <n v="-2.405"/>
        <n v="2.768"/>
        <n v="36.345"/>
        <n v="36.501"/>
        <n v="16.357"/>
        <n v="-39.011"/>
        <n v="-22.954"/>
        <n v="14.944"/>
        <n v="-10.95"/>
        <n v="-8.224"/>
        <n v="-8.292"/>
        <n v="-5.757"/>
        <n v="-2.312"/>
        <n v="-22.925"/>
        <n v="-22.247"/>
        <n v="-3.899"/>
        <n v="-44.796"/>
        <n v="-4.99"/>
        <n v="-1.999"/>
        <n v="-2.13"/>
        <n v="-1.689"/>
        <n v="-2.625"/>
        <n v="-2.52"/>
        <n v="-4.438"/>
        <n v="2.966"/>
        <n v="-11.61"/>
        <n v="-9.834"/>
        <n v="-13.386"/>
        <n v="-5.859"/>
        <n v="-15.595"/>
        <n v="2.872"/>
        <n v="36.808"/>
        <n v="37.535"/>
        <n v="13.554"/>
        <n v="-7.306"/>
        <n v="-7.169"/>
        <n v="-8.466"/>
        <n v="37.336"/>
        <n v="-20.617"/>
        <n v="-1.034"/>
        <n v="1.065"/>
        <n v="46.243"/>
        <n v="21.974"/>
        <n v="21.799"/>
        <n v="46.592"/>
        <n v="-6.482"/>
        <n v="-13.457"/>
        <n v="-5.881"/>
        <n v="19.877"/>
        <n v="-16.592"/>
        <n v="-6.759"/>
        <n v="51.148"/>
        <n v="-15.798"/>
        <n v="-9.284"/>
        <n v="-5.724"/>
        <n v="60.772"/>
        <n v="0.093"/>
        <n v="-20.187"/>
        <n v="-19.99"/>
        <n v="-27.211"/>
        <n v="-27.017"/>
        <n v="60.491"/>
        <n v="60.949"/>
        <n v="-16.527"/>
        <n v="-3.595"/>
        <n v="-21.324"/>
        <n v="36.311"/>
        <n v="28.164"/>
        <n v="36.357"/>
        <n v="-6.224"/>
        <n v="38.089"/>
        <n v="2.164"/>
        <n v="-22.361"/>
        <n v="34.539"/>
        <n v="-5.437"/>
        <n v="-5.678"/>
        <n v="-4.539"/>
        <n v="7.92"/>
        <n v="1.819"/>
        <n v="11.245"/>
        <n v="41.292"/>
        <n v="-19.987"/>
        <n v="1.989"/>
        <n v="0.587"/>
        <n v="-1.714"/>
        <n v="-1.644"/>
        <n v="2.085"/>
        <n v="33.807"/>
        <n v="-6.527"/>
        <n v="2.908"/>
        <n v="-5.562"/>
        <n v="4.756"/>
        <n v="-14.252"/>
        <n v="5.293"/>
        <n v="34.064"/>
        <n v="8.879"/>
        <n v="6.91"/>
        <n v="3.295"/>
        <n v="-49.312"/>
        <n v="18.958"/>
        <n v="42.9"/>
        <n v="43.006"/>
        <n v="-3.609"/>
        <n v="-46.676"/>
        <n v="4.695"/>
        <n v="-8.152"/>
        <n v="-11.128"/>
        <n v="49.277"/>
        <n v="37.226"/>
        <n v="24.53"/>
        <n v="11.422"/>
        <n v="13.925"/>
        <n v="-10.951"/>
        <n v="33.205"/>
        <n v="33.184"/>
        <n v="33.07"/>
        <n v="-35.173"/>
        <n v="-0.443"/>
        <n v="55.682"/>
        <n v="-37.695"/>
        <n v="-9.362"/>
        <n v="-13.174"/>
        <n v="36.512"/>
        <n v="-3.665"/>
        <n v="-4.003"/>
        <n v="-3.615"/>
        <n v="-3.12"/>
        <n v="-22.015"/>
        <n v="28.995"/>
        <n v="8.416"/>
        <n v="35.7005"/>
        <n v="23.039"/>
        <n v="-5.581"/>
        <n v="12.025"/>
        <n v="-19.262"/>
        <n v="37.812"/>
        <n v="42.648"/>
        <n v="50.211"/>
        <n v="42.45"/>
        <n v="50.038"/>
        <n v="41.774"/>
        <n v="41.815"/>
        <n v="19.917"/>
        <n v="-45.104"/>
        <n v="-60.532"/>
        <n v="-3.828"/>
        <n v="-30.608"/>
        <n v="55.492"/>
        <n v="-5.095"/>
        <n v="2.354"/>
        <n v="38.849"/>
        <n v="36.964"/>
        <n v="-8.294"/>
        <n v="-4.694"/>
        <n v="18.77"/>
        <n v="13.626"/>
        <n v="-10.491"/>
        <n v="-5.311"/>
        <n v="-4.786"/>
        <n v="63.5141"/>
        <n v="2.824"/>
        <n v="63.5144"/>
        <n v="-1.511"/>
        <n v="-1.757"/>
        <n v="13.036"/>
        <n v="-3.302"/>
        <n v="14.101"/>
        <n v="7.929"/>
        <n v="35.626"/>
        <n v="-30.805"/>
        <n v="-12.592"/>
        <n v="13.088"/>
        <n v="-27.535"/>
        <n v="16.985"/>
        <n v="24.279"/>
        <n v="-21.663"/>
        <n v="6.033"/>
        <n v="36.502"/>
        <n v="-5.345"/>
        <n v="38.573"/>
        <n v="-3.212"/>
        <n v="-17.664"/>
        <n v="-17.6"/>
        <n v="-9.613"/>
        <n v="23.954"/>
        <n v="39.402"/>
        <n v="35.946"/>
        <n v="-5.912"/>
        <n v="-4.102"/>
        <n v="12.686"/>
        <n v="-0.578"/>
        <n v="58.775"/>
        <n v="39.059"/>
        <n v="-17.543"/>
        <n v="-16.086"/>
        <n v="-17.745"/>
        <n v="-16.265"/>
        <n v="-7.41"/>
        <n v="34.083"/>
        <n v="-4.029"/>
        <n v="47.149"/>
        <n v="-4.68"/>
        <n v="13.671"/>
        <n v="23.419"/>
        <n v="-4.022"/>
        <n v="13.049"/>
        <n v="56.7744"/>
        <n v="-14.928"/>
        <n v="6.631"/>
        <n v="6.898"/>
        <n v="-4.218"/>
        <n v="39.566"/>
        <n v="40.167"/>
        <n v="40.245"/>
        <n v="-5.228"/>
        <n v="-5.097"/>
        <n v="-5.496"/>
        <n v="-4.827"/>
        <n v="-5.233"/>
        <n v="-3.98"/>
        <n v="7.042"/>
        <n v="-4.766"/>
        <n v="-6.549"/>
        <n v="35.456"/>
        <n v="-15.421"/>
        <n v="-7.977"/>
        <n v="-4.11"/>
        <n v="18.198"/>
        <n v="48.786"/>
        <n v="-12.037"/>
        <n v="33.901"/>
        <n v="-7.747"/>
        <n v="57.3546"/>
        <n v="63.98"/>
        <n v="-13.802"/>
        <n v="63.966"/>
        <n v="-4.612"/>
        <n v="-4.646"/>
        <n v="-4.721"/>
        <n v="-23.548"/>
        <n v="-1.105"/>
        <n v="-6.817"/>
        <n v="-5.844"/>
        <n v="43.046"/>
        <n v="-16.925"/>
        <n v="-10.86"/>
        <n v="-6.845"/>
        <n v="15.766"/>
        <n v="57.3424"/>
        <n v="-18.901"/>
        <n v="-16.423"/>
        <n v="-6.351"/>
        <n v="-5.978"/>
        <n v="40.758"/>
        <n v="36.522"/>
        <n v="34.6033"/>
        <n v="16.059"/>
        <n v="23.738"/>
        <n v="23.772"/>
        <n v="-16.117"/>
        <n v="9.044"/>
        <n v="40.748"/>
        <n v="15.782"/>
        <n v="18.386"/>
        <n v="-5.165"/>
        <n v="-4.751"/>
        <n v="-5.159"/>
        <n v="-21.422"/>
        <n v="-5.591"/>
        <n v="-16.66"/>
        <n v="30.512"/>
        <n v="51.587"/>
        <n v="52.056"/>
        <n v="5.397"/>
        <n v="28.343"/>
        <n v="-12.853"/>
        <n v="52.886"/>
        <n v="-4.596"/>
        <n v="-21.632"/>
        <n v="-2.071"/>
        <n v="-6.92"/>
        <n v="-6.954"/>
        <n v="-8.194"/>
        <n v="-29.45"/>
        <n v="5.41"/>
        <n v="-0.593"/>
        <n v="-2.693"/>
        <n v="-2.961"/>
        <n v="-11.04"/>
        <n v="37.106"/>
        <n v="-17.731"/>
        <n v="0.207"/>
        <n v="-5.147"/>
        <n v="22.306"/>
        <n v="-8.148"/>
        <n v="-0.544"/>
        <n v="30.154"/>
        <n v="-23.913"/>
        <n v="-15.848"/>
        <n v="-30.985"/>
        <n v="14.374"/>
        <n v="-5.495"/>
        <n v="54.841"/>
        <n v="1.241"/>
        <n v="37.57"/>
        <n v="-15.145"/>
        <n v="13.849"/>
        <n v="35.069"/>
        <n v="-4.368"/>
        <n v="-30.933"/>
        <n v="-22.101"/>
        <n v="9.79"/>
        <n v="3.849"/>
        <n v="-3.562"/>
        <n v="16.333"/>
        <n v="10.598"/>
        <n v="-30.058"/>
        <n v="18.684"/>
        <n v="-20.438"/>
        <n v="36.411"/>
        <n v="33.825"/>
        <n v="13.986"/>
        <n v="11.112"/>
        <n v="-12.584"/>
        <n v="-6.485"/>
        <n v="7.742"/>
        <n v="29.976"/>
        <n v="37.661"/>
        <n v="18.219"/>
        <n v="43.207"/>
        <n v="31.789"/>
        <n v="35.345"/>
        <n v="-14.993"/>
        <n v="31.885"/>
        <n v="30.568"/>
        <n v="-7.133"/>
        <n v="34.556"/>
        <n v="9.454"/>
        <n v="9.463"/>
        <n v="21.898"/>
        <n v="-10.769"/>
        <n v="1.0"/>
        <n v="1.016"/>
        <n v="17.6"/>
        <n v="-7.137"/>
        <n v="12.614"/>
        <n v="51.478"/>
        <n v="51.564"/>
        <n v="-13.481"/>
        <n v="-6.518"/>
        <n v="-23.944"/>
        <n v="-14.705"/>
        <n v="11.905"/>
        <n v="11.657"/>
        <n v="15.978"/>
        <n v="-9.593"/>
        <n v="-0.917"/>
        <n v="-0.567"/>
        <n v="-0.891"/>
        <n v="37.353"/>
        <n v="45.324"/>
        <n v="27.291"/>
        <n v="53.826"/>
        <n v="0.729"/>
        <n v="-6.903"/>
        <n v="-3.703"/>
        <n v="44.663"/>
        <n v="28.826"/>
        <n v="-28.906"/>
        <n v="16.84"/>
        <n v="28.094"/>
        <n v="27.929"/>
        <n v="19.055"/>
        <n v="-2.045"/>
        <n v="-2.778"/>
        <n v="-2.75"/>
        <n v="-10.68"/>
        <n v="16.779"/>
        <n v="26.092"/>
        <n v="5.139"/>
        <n v="-5.771"/>
        <n v="-5.429"/>
        <n v="-5.799"/>
        <n v="-4.836"/>
        <n v="-23.34"/>
        <n v="21.966"/>
        <n v="-19.544"/>
        <n v="38.401"/>
        <n v="52.629"/>
        <n v="-23.008"/>
        <n v="-8.378"/>
        <n v="40.149"/>
        <n v="12.626"/>
      </sharedItems>
    </cacheField>
    <cacheField name="longitude" numFmtId="0">
      <sharedItems containsSemiMixedTypes="0" containsString="0" containsNumber="1">
        <n v="167.158"/>
        <n v="-88.1265"/>
        <n v="-70.3731"/>
        <n v="-160.699"/>
        <n v="-160.796"/>
        <n v="-61.0955"/>
        <n v="-174.937"/>
        <n v="-177.208"/>
        <n v="-77.1231"/>
        <n v="170.456"/>
        <n v="170.694"/>
        <n v="-174.608"/>
        <n v="178.424"/>
        <n v="98.5339"/>
        <n v="-177.897"/>
        <n v="179.391"/>
        <n v="112.033"/>
        <n v="158.484"/>
        <n v="143.155"/>
        <n v="-66.5108"/>
        <n v="70.9787"/>
        <n v="-79.8001"/>
        <n v="-176.112"/>
        <n v="-178.787"/>
        <n v="166.385"/>
        <n v="149.487"/>
        <n v="73.2077"/>
        <n v="37.203"/>
        <n v="36.8306"/>
        <n v="36.9997"/>
        <n v="-63.0394"/>
        <n v="127.051"/>
        <n v="130.039"/>
        <n v="166.878"/>
        <n v="-172.968"/>
        <n v="159.596"/>
        <n v="100.738"/>
        <n v="-178.346"/>
        <n v="-172.129"/>
        <n v="178.278"/>
        <n v="178.381"/>
        <n v="178.363"/>
        <n v="-82.3396"/>
        <n v="-102.913"/>
        <n v="-103.252"/>
        <n v="121.307"/>
        <n v="121.348"/>
        <n v="170.239"/>
        <n v="146.471"/>
        <n v="102.279"/>
        <n v="-178.959"/>
        <n v="120.809"/>
        <n v="-71.1647"/>
        <n v="-70.3081"/>
        <n v="159.027"/>
        <n v="-66.7236"/>
        <n v="-86.9919"/>
        <n v="170.349"/>
        <n v="170.277"/>
        <n v="121.636"/>
        <n v="141.587"/>
        <n v="98.6034"/>
        <n v="-177.74"/>
        <n v="-179.968"/>
        <n v="-76.9395"/>
        <n v="-176.729"/>
        <n v="105.251"/>
        <n v="-168.08"/>
        <n v="-168.15"/>
        <n v="-167.736"/>
        <n v="-167.917"/>
        <n v="31.9095"/>
        <n v="101.299"/>
        <n v="127.581"/>
        <n v="122.2"/>
        <n v="-76.8461"/>
        <n v="126.48"/>
        <n v="-156.492"/>
        <n v="174.54"/>
        <n v="174.895"/>
        <n v="-87.8542"/>
        <n v="-99.7877"/>
        <n v="-24.9992"/>
        <n v="-24.4608"/>
        <n v="167.085"/>
        <n v="-23.3318"/>
        <n v="-73.4804"/>
        <n v="-157.707"/>
        <n v="-157.68"/>
        <n v="-25.3206"/>
        <n v="-25.1874"/>
        <n v="126.742"/>
        <n v="-157.917"/>
        <n v="-157.829"/>
        <n v="120.713"/>
        <n v="-82.8813"/>
        <n v="-177.773"/>
        <n v="-177.356"/>
        <n v="98.2551"/>
        <n v="96.6475"/>
        <n v="66.3745"/>
        <n v="141.665"/>
        <n v="-177.064"/>
        <n v="-176.235"/>
        <n v="141.607"/>
        <n v="163.208"/>
        <n v="-176.619"/>
        <n v="-177.224"/>
        <n v="-177.842"/>
        <n v="179.544"/>
        <n v="141.992"/>
        <n v="171.489"/>
        <n v="-55.559"/>
        <n v="127.517"/>
        <n v="100.443"/>
        <n v="-74.9067"/>
        <n v="26.7953"/>
        <n v="-159.675"/>
        <n v="-26.8332"/>
        <n v="-71.3937"/>
        <n v="-71.1958"/>
        <n v="-29.7046"/>
        <n v="123.493"/>
        <n v="101.215"/>
        <n v="101.095"/>
        <n v="124.13"/>
        <n v="-158.477"/>
        <n v="147.755"/>
        <n v="110.678"/>
        <n v="-95.9533"/>
        <n v="-177.838"/>
        <n v="128.262"/>
        <n v="-68.4204"/>
        <n v="-117.85"/>
        <n v="166.648"/>
        <n v="129.785"/>
        <n v="25.7101"/>
        <n v="-115.118"/>
        <n v="157.695"/>
        <n v="148.959"/>
        <n v="-78.756"/>
        <n v="39.0609"/>
        <n v="125.174"/>
        <n v="126.416"/>
        <n v="-179.511"/>
        <n v="-175.272"/>
        <n v="125.178"/>
        <n v="125.008"/>
        <n v="-73.163"/>
        <n v="128.37"/>
        <n v="-178.57"/>
        <n v="-26.5801"/>
        <n v="104.791"/>
        <n v="-72.3102"/>
        <n v="167.998"/>
        <n v="128.034"/>
        <n v="120.358"/>
        <n v="126.189"/>
        <n v="-117.599"/>
        <n v="129.169"/>
        <n v="-178.1"/>
        <n v="-89.3056"/>
        <n v="-75.2697"/>
        <n v="152.597"/>
        <n v="146.449"/>
        <n v="122.58"/>
        <n v="-25.304"/>
        <n v="-70.1546"/>
        <n v="-77.0505"/>
        <n v="-92.4527"/>
        <n v="42.3568"/>
        <n v="-71.3815"/>
        <n v="166.875"/>
        <n v="126.758"/>
        <n v="-71.587"/>
        <n v="126.921"/>
        <n v="164.699"/>
        <n v="-26.3856"/>
        <n v="169.733"/>
        <n v="169.427"/>
        <n v="-149.955"/>
        <n v="-178.927"/>
        <n v="-11.2431"/>
        <n v="20.5565"/>
        <n v="-129.724"/>
        <n v="-129.289"/>
        <n v="-129.412"/>
        <n v="169.522"/>
        <n v="153.243"/>
        <n v="156.297"/>
        <n v="151.205"/>
        <n v="-178.063"/>
        <n v="119.846"/>
        <n v="178.199"/>
        <n v="-179.373"/>
        <n v="161.503"/>
        <n v="179.35"/>
        <n v="141.929"/>
        <n v="170.126"/>
        <n v="-70.8284"/>
        <n v="168.143"/>
        <n v="-62.9019"/>
        <n v="116.627"/>
        <n v="-178.153"/>
        <n v="119.802"/>
        <n v="-178.026"/>
        <n v="116.438"/>
        <n v="-155.0"/>
        <n v="-63.0058"/>
        <n v="151.5"/>
        <n v="151.402"/>
        <n v="153.2"/>
        <n v="142.612"/>
        <n v="142.754"/>
        <n v="-97.9787"/>
        <n v="-149.166"/>
        <n v="-74.7092"/>
        <n v="-83.52"/>
        <n v="108.174"/>
        <n v="2.1628"/>
        <n v="168.671"/>
        <n v="168.598"/>
        <n v="-84.4865"/>
        <n v="45.9592"/>
        <n v="143.485"/>
        <n v="-173.168"/>
        <n v="168.859"/>
        <n v="169.148"/>
        <n v="123.074"/>
        <n v="176.769"/>
        <n v="-98.4887"/>
        <n v="-93.8993"/>
        <n v="103.855"/>
        <n v="27.4139"/>
        <n v="168.857"/>
        <n v="164.016"/>
        <n v="124.629"/>
        <n v="-90.9718"/>
        <n v="-92.0092"/>
        <n v="170.92"/>
        <n v="120.431"/>
        <n v="-25.7432"/>
        <n v="167.377"/>
        <n v="125.066"/>
        <n v="-72.0617"/>
        <n v="25.1558"/>
        <n v="162.786"/>
        <n v="-178.804"/>
        <n v="-63.9047"/>
        <n v="125.452"/>
        <n v="155.172"/>
        <n v="161.335"/>
        <n v="122.617"/>
        <n v="176.052"/>
        <n v="-73.9413"/>
        <n v="127.921"/>
        <n v="153.522"/>
        <n v="161.132"/>
        <n v="161.314"/>
        <n v="161.327"/>
        <n v="-126.194"/>
        <n v="96.1678"/>
        <n v="73.9776"/>
        <n v="-88.8968"/>
        <n v="141.387"/>
        <n v="173.254"/>
        <n v="173.669"/>
        <n v="173.054"/>
        <n v="13.0961"/>
        <n v="108.163"/>
        <n v="148.887"/>
        <n v="-178.244"/>
        <n v="179.146"/>
        <n v="152.792"/>
        <n v="94.569"/>
        <n v="173.117"/>
        <n v="145.507"/>
        <n v="100.665"/>
        <n v="-26.9353"/>
        <n v="-178.204"/>
        <n v="-79.616"/>
        <n v="-79.7899"/>
        <n v="167.379"/>
        <n v="-79.9218"/>
        <n v="130.754"/>
        <n v="94.8654"/>
        <n v="71.1311"/>
        <n v="166.594"/>
        <n v="166.624"/>
        <n v="166.855"/>
        <n v="94.3299"/>
        <n v="158.546"/>
        <n v="-153.339"/>
        <n v="-106.934"/>
        <n v="142.781"/>
        <n v="126.862"/>
        <n v="93.6505"/>
        <n v="-93.633"/>
        <n v="129.508"/>
        <n v="72.7797"/>
        <n v="-71.2574"/>
        <n v="-71.0184"/>
        <n v="-70.9437"/>
        <n v="158.422"/>
        <n v="20.6"/>
        <n v="128.873"/>
        <n v="-72.0585"/>
        <n v="-72.0068"/>
        <n v="94.648"/>
        <n v="-71.4519"/>
        <n v="124.875"/>
        <n v="70.3676"/>
        <n v="167.303"/>
        <n v="131.262"/>
        <n v="-71.3792"/>
        <n v="-71.804"/>
        <n v="-71.6876"/>
        <n v="-71.4262"/>
        <n v="-71.6744"/>
        <n v="-109.623"/>
        <n v="157.877"/>
        <n v="158.053"/>
        <n v="138.528"/>
        <n v="-169.446"/>
        <n v="165.141"/>
        <n v="-58.5479"/>
        <n v="158.403"/>
        <n v="139.725"/>
        <n v="140.493"/>
        <n v="-156.43"/>
        <n v="163.215"/>
        <n v="163.696"/>
        <n v="164.169"/>
        <n v="142.032"/>
        <n v="86.0655"/>
        <n v="154.557"/>
        <n v="151.875"/>
        <n v="151.777"/>
        <n v="151.771"/>
        <n v="86.0173"/>
        <n v="84.8216"/>
        <n v="84.7314"/>
        <n v="-178.6"/>
        <n v="-173.029"/>
        <n v="152.562"/>
        <n v="122.535"/>
        <n v="142.881"/>
        <n v="-66.688"/>
        <n v="168.52"/>
        <n v="-82.6576"/>
        <n v="-82.6865"/>
        <n v="154.46"/>
        <n v="123.126"/>
        <n v="126.575"/>
        <n v="127.056"/>
        <n v="179.662"/>
        <n v="126.522"/>
        <n v="148.232"/>
        <n v="-177.759"/>
        <n v="-88.1225"/>
        <n v="144.429"/>
        <n v="-73.5714"/>
        <n v="146.169"/>
        <n v="-178.4"/>
        <n v="142.452"/>
        <n v="-92.4614"/>
        <n v="152.807"/>
        <n v="-175.51"/>
        <n v="-28.3669"/>
        <n v="178.735"/>
        <n v="-177.607"/>
        <n v="-177.516"/>
        <n v="-177.725"/>
        <n v="25.3889"/>
        <n v="-82.3045"/>
        <n v="170.355"/>
        <n v="-127.732"/>
        <n v="155.024"/>
        <n v="155.087"/>
        <n v="-100.972"/>
        <n v="162.052"/>
        <n v="162.051"/>
        <n v="162.148"/>
        <n v="-85.8779"/>
        <n v="154.95"/>
        <n v="155.048"/>
        <n v="-70.4931"/>
        <n v="-70.5756"/>
        <n v="-70.9455"/>
        <n v="-70.7691"/>
        <n v="-70.7022"/>
        <n v="-125.134"/>
        <n v="127.367"/>
        <n v="-58.9272"/>
        <n v="82.5864"/>
        <n v="167.372"/>
        <n v="-177.881"/>
        <n v="167.249"/>
        <n v="-176.545"/>
        <n v="-46.4011"/>
        <n v="-47.0621"/>
        <n v="-71.5215"/>
        <n v="144.661"/>
        <n v="-110.321"/>
        <n v="154.931"/>
        <n v="124.117"/>
        <n v="23.2523"/>
        <n v="152.786"/>
        <n v="-178.323"/>
        <n v="65.5052"/>
        <n v="-74.5112"/>
        <n v="65.5009"/>
        <n v="-174.767"/>
        <n v="138.833"/>
        <n v="128.221"/>
        <n v="-175.23"/>
        <n v="174.152"/>
        <n v="-78.1999"/>
        <n v="174.337"/>
        <n v="-25.07"/>
        <n v="149.706"/>
        <n v="153.927"/>
        <n v="-42.594"/>
        <n v="-86.926"/>
        <n v="107.236"/>
        <n v="151.444"/>
        <n v="153.221"/>
        <n v="-177.232"/>
        <n v="145.288"/>
        <n v="152.127"/>
        <n v="102.888"/>
        <n v="150.788"/>
        <n v="142.542"/>
        <n v="61.996"/>
        <n v="154.607"/>
        <n v="138.476"/>
        <n v="148.174"/>
        <n v="157.408"/>
        <n v="157.283"/>
        <n v="142.508"/>
        <n v="165.741"/>
        <n v="-77.393"/>
        <n v="166.018"/>
        <n v="165.969"/>
        <n v="165.655"/>
        <n v="165.588"/>
        <n v="164.882"/>
        <n v="165.114"/>
        <n v="143.092"/>
        <n v="-70.653"/>
        <n v="-134.859"/>
        <n v="167.286"/>
        <n v="129.825"/>
        <n v="143.949"/>
        <n v="-92.164"/>
        <n v="95.885"/>
        <n v="-91.895"/>
        <n v="-132.101"/>
        <n v="-85.298"/>
        <n v="134.03"/>
        <n v="-76.362"/>
        <n v="-85.315"/>
        <n v="126.638"/>
        <n v="-88.59"/>
        <n v="126.837"/>
        <n v="145.064"/>
        <n v="153.173"/>
        <n v="-174.705"/>
        <n v="134.276"/>
        <n v="147.117"/>
        <n v="-71.365"/>
        <n v="-113.104"/>
        <n v="-102.689"/>
        <n v="92.463"/>
        <n v="93.063"/>
        <n v="-72.217"/>
        <n v="145.955"/>
        <n v="-98.231"/>
        <n v="95.991"/>
        <n v="123.206"/>
        <n v="167.133"/>
        <n v="93.21"/>
        <n v="95.911"/>
        <n v="146.809"/>
        <n v="-99.789"/>
        <n v="-75.966"/>
        <n v="43.508"/>
        <n v="147.881"/>
        <n v="88.155"/>
        <n v="142.779"/>
        <n v="97.893"/>
        <n v="169.716"/>
        <n v="-74.525"/>
        <n v="168.218"/>
        <n v="168.156"/>
        <n v="144.828"/>
        <n v="-176.34"/>
        <n v="142.205"/>
        <n v="168.226"/>
        <n v="161.2"/>
        <n v="140.401"/>
        <n v="141.588"/>
        <n v="-94.338"/>
        <n v="99.822"/>
        <n v="142.463"/>
        <n v="141.562"/>
        <n v="144.59"/>
        <n v="141.111"/>
        <n v="142.373"/>
        <n v="142.842"/>
        <n v="-72.834"/>
        <n v="-72.96"/>
        <n v="63.951"/>
        <n v="168.471"/>
        <n v="-73.326"/>
        <n v="167.947"/>
        <n v="59.18"/>
        <n v="149.977"/>
        <n v="100.082"/>
        <n v="-109.156"/>
        <n v="133.76"/>
        <n v="171.83"/>
        <n v="-77.306"/>
        <n v="168.069"/>
        <n v="150.765"/>
        <n v="146.822"/>
        <n v="123.48"/>
        <n v="150.59"/>
        <n v="150.428"/>
        <n v="-73.31"/>
        <n v="161.447"/>
        <n v="136.484"/>
        <n v="136.543"/>
        <n v="91.936"/>
        <n v="166.643"/>
        <n v="96.018"/>
        <n v="96.548"/>
        <n v="161.116"/>
        <n v="97.048"/>
        <n v="-115.295"/>
        <n v="92.831"/>
        <n v="-73.257"/>
        <n v="141.59"/>
        <n v="-71.799"/>
        <n v="-71.891"/>
        <n v="100.991"/>
        <n v="-73.374"/>
        <n v="167.227"/>
        <n v="-75.048"/>
        <n v="-72.898"/>
        <n v="128.425"/>
        <n v="-72.571"/>
        <n v="-124.692"/>
        <n v="157.551"/>
        <n v="157.354"/>
        <n v="157.487"/>
        <n v="-70.321"/>
        <n v="178.331"/>
        <n v="118.631"/>
        <n v="129.782"/>
        <n v="130.385"/>
        <n v="165.91"/>
        <n v="166.497"/>
        <n v="166.382"/>
        <n v="166.51"/>
        <n v="101.524"/>
        <n v="99.867"/>
        <n v="-172.095"/>
        <n v="107.297"/>
        <n v="99.49"/>
        <n v="140.395"/>
        <n v="92.902"/>
        <n v="137.944"/>
        <n v="-112.903"/>
        <n v="166.562"/>
        <n v="153.782"/>
        <n v="-86.217"/>
        <n v="-174.66"/>
        <n v="126.387"/>
        <n v="133.305"/>
        <n v="70.743"/>
        <n v="132.885"/>
        <n v="122.091"/>
        <n v="-92.364"/>
        <n v="73.824"/>
        <n v="143.754"/>
        <n v="127.363"/>
        <n v="166.967"/>
        <n v="83.52"/>
        <n v="141.464"/>
        <n v="142.214"/>
        <n v="142.714"/>
        <n v="91.824"/>
        <n v="140.881"/>
        <n v="103.322"/>
        <n v="141.526"/>
        <n v="168.892"/>
        <n v="81.467"/>
        <n v="125.63"/>
        <n v="99.808"/>
        <n v="99.891"/>
        <n v="99.972"/>
        <n v="99.931"/>
        <n v="95.964"/>
        <n v="21.863"/>
        <n v="21.67"/>
        <n v="-94.304"/>
        <n v="178.291"/>
        <n v="-70.182"/>
        <n v="-61.274"/>
        <n v="162.149"/>
        <n v="118.467"/>
        <n v="118.37"/>
        <n v="147.098"/>
        <n v="-77.838"/>
        <n v="-70.237"/>
        <n v="-69.89"/>
        <n v="101.02"/>
        <n v="167.553"/>
        <n v="153.5"/>
        <n v="100.141"/>
        <n v="99.627"/>
        <n v="99.668"/>
        <n v="100.841"/>
        <n v="100.139"/>
        <n v="101.367"/>
        <n v="-77.963"/>
        <n v="165.762"/>
        <n v="159.465"/>
        <n v="-76.603"/>
        <n v="107.419"/>
        <n v="167.68"/>
        <n v="127.464"/>
        <n v="134.85"/>
        <n v="138.446"/>
        <n v="-90.618"/>
        <n v="155.741"/>
        <n v="155.777"/>
        <n v="157.043"/>
        <n v="136.588"/>
        <n v="169.357"/>
        <n v="126.976"/>
        <n v="126.282"/>
        <n v="154.524"/>
        <n v="120.493"/>
        <n v="120.547"/>
        <n v="153.266"/>
        <n v="151.195"/>
        <n v="-76.677"/>
        <n v="150.982"/>
        <n v="-155.935"/>
        <n v="-172.033"/>
        <n v="155.512"/>
        <n v="157.522"/>
        <n v="167.789"/>
        <n v="151.133"/>
        <n v="165.743"/>
        <n v="97.05"/>
        <n v="-174.123"/>
        <n v="-173.907"/>
        <n v="-71.056"/>
        <n v="-71.022"/>
        <n v="167.516"/>
        <n v="167.089"/>
        <n v="176.989"/>
        <n v="127.214"/>
        <n v="33.583"/>
        <n v="23.212"/>
        <n v="-112.117"/>
        <n v="71.093"/>
        <n v="29.83"/>
        <n v="142.122"/>
        <n v="96.786"/>
        <n v="-67.895"/>
        <n v="73.588"/>
        <n v="151.84"/>
        <n v="-76.398"/>
        <n v="153.474"/>
        <n v="142.039"/>
        <n v="92.19"/>
        <n v="97.082"/>
        <n v="-86.172"/>
        <n v="-125.953"/>
        <n v="-69.197"/>
        <n v="97.041"/>
        <n v="98.459"/>
        <n v="99.779"/>
        <n v="99.607"/>
        <n v="97.108"/>
        <n v="130.131"/>
        <n v="129.933"/>
        <n v="95.592"/>
        <n v="122.129"/>
        <n v="126.421"/>
        <n v="167.259"/>
        <n v="123.337"/>
        <n v="141.491"/>
        <n v="92.375"/>
        <n v="92.958"/>
        <n v="95.982"/>
        <n v="161.345"/>
        <n v="-81.409"/>
        <n v="145.228"/>
        <n v="145.119"/>
        <n v="135.404"/>
        <n v="164.721"/>
        <n v="-77.508"/>
        <n v="124.868"/>
        <n v="162.208"/>
        <n v="-128.772"/>
        <n v="138.779"/>
        <n v="122.694"/>
        <n v="-86.665"/>
        <n v="120.534"/>
        <n v="162.161"/>
        <n v="137.227"/>
        <n v="137.071"/>
        <n v="136.618"/>
        <n v="-70.525"/>
        <n v="133.091"/>
        <n v="160.003"/>
        <n v="-73.406"/>
        <n v="122.839"/>
        <n v="167.198"/>
        <n v="71.029"/>
        <n v="135.339"/>
        <n v="135.023"/>
        <n v="135.538"/>
        <n v="127.4"/>
        <n v="169.766"/>
        <n v="58.311"/>
        <n v="-82.824"/>
        <n v="-121.101"/>
        <n v="121.362"/>
        <n v="150.88"/>
        <n v="125.416"/>
        <n v="142.619"/>
        <n v="144.57"/>
        <n v="87.721"/>
        <n v="144.38"/>
        <n v="87.813"/>
        <n v="143.593"/>
        <n v="143.91"/>
        <n v="95.672"/>
        <n v="167.144"/>
        <n v="-43.411"/>
        <n v="152.174"/>
        <n v="-71.637"/>
        <n v="159.999"/>
        <n v="152.502"/>
        <n v="128.855"/>
        <n v="141.568"/>
        <n v="3.634"/>
        <n v="120.743"/>
        <n v="153.238"/>
        <n v="-104.104"/>
        <n v="-90.774"/>
        <n v="160.77"/>
        <n v="153.701"/>
        <n v="153.275"/>
        <n v="-147.453"/>
        <n v="96.085"/>
        <n v="-147.912"/>
        <n v="133.973"/>
        <n v="134.297"/>
        <n v="93.068"/>
        <n v="142.945"/>
        <n v="146.199"/>
        <n v="-82.793"/>
        <n v="49.047"/>
        <n v="-71.124"/>
        <n v="166.383"/>
        <n v="144.619"/>
        <n v="-70.586"/>
        <n v="-100.865"/>
        <n v="122.179"/>
        <n v="-68.329"/>
        <n v="124.249"/>
        <n v="70.482"/>
        <n v="151.248"/>
        <n v="31.271"/>
        <n v="142.427"/>
        <n v="168.004"/>
        <n v="167.856"/>
        <n v="159.53"/>
        <n v="122.734"/>
        <n v="141.089"/>
        <n v="90.541"/>
        <n v="150.196"/>
        <n v="123.907"/>
        <n v="144.98"/>
        <n v="133.13"/>
        <n v="-154.701"/>
        <n v="24.244"/>
        <n v="-72.077"/>
        <n v="-73.987"/>
        <n v="-71.649"/>
        <n v="-73.641"/>
        <n v="155.865"/>
        <n v="132.526"/>
        <n v="128.02"/>
        <n v="-122.727"/>
        <n v="126.249"/>
        <n v="102.562"/>
        <n v="-88.938"/>
        <n v="70.232"/>
        <n v="101.776"/>
        <n v="-88.66"/>
        <n v="-153.281"/>
        <n v="167.17"/>
        <n v="126.899"/>
        <n v="126.579"/>
        <n v="152.725"/>
        <n v="54.799"/>
        <n v="49.954"/>
        <n v="49.946"/>
        <n v="153.181"/>
        <n v="151.781"/>
        <n v="153.226"/>
        <n v="153.102"/>
        <n v="152.169"/>
        <n v="-77.829"/>
        <n v="153.945"/>
        <n v="105.63"/>
        <n v="133.134"/>
        <n v="166.91"/>
        <n v="30.709"/>
        <n v="127.394"/>
        <n v="-102.48"/>
        <n v="142.246"/>
        <n v="166.448"/>
        <n v="139.376"/>
        <n v="150.917"/>
        <n v="-154.198"/>
        <n v="-20.758"/>
        <n v="97.453"/>
        <n v="-20.487"/>
        <n v="101.905"/>
        <n v="102.102"/>
        <n v="102.087"/>
        <n v="-66.452"/>
        <n v="123.573"/>
        <n v="143.807"/>
        <n v="150.876"/>
        <n v="146.837"/>
        <n v="-174.248"/>
        <n v="165.354"/>
        <n v="105.555"/>
        <n v="119.74"/>
        <n v="-154.347"/>
        <n v="-69.171"/>
        <n v="168.214"/>
        <n v="148.763"/>
        <n v="148.82"/>
        <n v="31.161"/>
        <n v="71.24"/>
        <n v="-116.265"/>
        <n v="-96.931"/>
        <n v="121.158"/>
        <n v="120.982"/>
        <n v="168.039"/>
        <n v="-84.159"/>
        <n v="29.864"/>
        <n v="-88.33"/>
        <n v="-97.436"/>
        <n v="152.877"/>
        <n v="152.486"/>
        <n v="-176.46"/>
        <n v="149.568"/>
        <n v="-72.662"/>
        <n v="79.403"/>
        <n v="-177.668"/>
        <n v="159.52"/>
        <n v="121.937"/>
        <n v="57.193"/>
        <n v="166.697"/>
        <n v="-169.123"/>
        <n v="153.235"/>
        <n v="-176.376"/>
        <n v="124.891"/>
        <n v="128.946"/>
        <n v="129.022"/>
        <n v="112.413"/>
        <n v="-71.715"/>
        <n v="126.764"/>
        <n v="-80.393"/>
        <n v="138.901"/>
        <n v="141.926"/>
        <n v="166.16"/>
        <n v="70.11"/>
        <n v="-65.431"/>
        <n v="119.584"/>
        <n v="151.714"/>
        <n v="125.308"/>
        <n v="-74.238"/>
        <n v="99.261"/>
        <n v="57.605"/>
        <n v="-70.207"/>
        <n v="-179.376"/>
        <n v="-71.41"/>
        <n v="-91.473"/>
        <n v="147.867"/>
        <n v="162.035"/>
        <n v="122.536"/>
        <n v="20.656"/>
        <n v="167.375"/>
        <n v="-88.808"/>
        <n v="87.325"/>
        <n v="-76.681"/>
        <n v="-71.22"/>
        <n v="-176.772"/>
        <n v="125.779"/>
        <n v="-75.749"/>
        <n v="144.362"/>
        <n v="-98.216"/>
        <n v="-63.486"/>
        <n v="-71.872"/>
        <n v="-101.604"/>
        <n v="169.287"/>
        <n v="70.945"/>
        <n v="59.809"/>
        <n v="144.901"/>
        <n v="-60.892"/>
        <n v="166.676"/>
        <n v="147.408"/>
        <n v="127.647"/>
        <n v="68.208"/>
        <n v="57.291"/>
        <n v="-102.756"/>
        <n v="138.92"/>
        <n v="131.314"/>
        <n v="78.133"/>
        <n v="-75.675"/>
        <n v="131.468"/>
        <n v="131.093"/>
        <n v="155.568"/>
        <n v="32.126"/>
        <n v="126.334"/>
        <n v="126.284"/>
        <n v="121.498"/>
        <n v="161.445"/>
        <n v="120.45"/>
        <n v="120.254"/>
        <n v="-100.965"/>
        <n v="122.589"/>
        <n v="125.154"/>
        <n v="-176.847"/>
        <n v="-177.632"/>
        <n v="167.13"/>
        <n v="154.999"/>
        <n v="-70.093"/>
        <n v="167.297"/>
        <n v="-86.772"/>
        <n v="-86.856"/>
        <n v="-98.07"/>
        <n v="-79.587"/>
        <n v="136.225"/>
        <n v="135.84"/>
        <n v="136.952"/>
        <n v="142.38"/>
        <n v="149.892"/>
        <n v="100.276"/>
        <n v="159.586"/>
        <n v="119.931"/>
        <n v="129.151"/>
        <n v="140.233"/>
        <n v="149.3"/>
        <n v="34.799"/>
        <n v="-71.417"/>
        <n v="-93.469"/>
        <n v="130.148"/>
        <n v="130.175"/>
        <n v="-104.205"/>
        <n v="101.436"/>
        <n v="-77.851"/>
        <n v="-77.881"/>
        <n v="-78.581"/>
        <n v="-98.597"/>
        <n v="-110.284"/>
        <n v="-75.577"/>
        <n v="154.347"/>
        <n v="153.773"/>
        <n v="154.178"/>
        <n v="151.515"/>
        <n v="-70.294"/>
        <n v="99.196"/>
        <n v="22.283"/>
        <n v="142.827"/>
        <n v="169.9"/>
        <n v="125.127"/>
        <n v="21.695"/>
        <n v="125.297"/>
      </sharedItems>
    </cacheField>
    <cacheField name="location" numFmtId="0">
      <sharedItems containsBlank="1">
        <s v="Sola, Vanuatu"/>
        <s v="Intipucá, El Salvador"/>
        <s v="Loncopué, Argentina"/>
        <s v="Sand Point, Alaska"/>
        <s v="Alaska Peninsula"/>
        <s v="Codrington, Antigua and Barbuda"/>
        <s v="Tonga"/>
        <s v="the Fiji Islands"/>
        <s v="Panama-Colombia border region"/>
        <s v="the Loyalty Islands"/>
        <s v="Hihifo, Tonga"/>
        <s v="Teluk Dalam, Indonesia"/>
        <s v="Kermadec Islands, New Zealand"/>
        <s v="Tuban, Indonesia"/>
        <s v="the Kamchatka Peninsula, Russia"/>
        <s v="New Guinea, Papua New Guinea"/>
        <s v="San Antonio de los Cobres, Argentina"/>
        <s v="Jurm, Afghanistan"/>
        <s v="Ecuador"/>
        <s v="Kermadec Islands region"/>
        <s v="Port-Olry, Vanuatu"/>
        <s v="Kimbe, Papua New Guinea"/>
        <s v="Murghob, Tajikistan"/>
        <s v="Ekinözü, Turkey"/>
        <s v="Nurdağı, Turkey"/>
        <s v="Central Turkey"/>
        <m/>
        <s v="Tobelo, Indonesia"/>
        <s v="Pulau Pulau Tanimbar, Indonesia"/>
        <s v="Vanuatu"/>
        <s v="Malango, Solomon Islands"/>
        <s v="Bengkulu, Indonesia"/>
        <s v="Neiafu, Tonga"/>
        <s v="Boca Chica, Panama"/>
        <s v="Aguililla, Mexico"/>
        <s v="Yujing, Taiwan"/>
        <s v="Lugu, Taiwan"/>
        <s v="Isangel, Vanuatu"/>
        <s v="Kainantu, Papua New Guinea"/>
        <s v="Kangding, China"/>
        <s v="the Kermadec Islands"/>
        <s v="Bantay, Philippines"/>
        <s v="Tarauacá, Brazil"/>
        <s v="Azángaro, Peru"/>
        <s v="Masachapa, Nicaragua"/>
        <s v="Tadine, New Caledonia"/>
        <s v="Hualien City, Taiwan"/>
        <s v="Namie, Japan"/>
        <s v="Pariaman, Indonesia"/>
        <s v="Barranca, Peru"/>
        <s v="Labuan, Indonesia"/>
        <s v="Nikolski, Alaska"/>
        <s v="Pólis, Cyprus"/>
        <s v="northern Qinghai, China"/>
        <s v="Lospalos, Timor Leste"/>
        <s v="Flores Sea"/>
        <s v="Hirara, Japan"/>
        <s v="Chignik, Alaska"/>
        <s v="Vanuatu region"/>
        <s v="Jiquilillo, Nicaragua"/>
        <s v="Acapulco, Mexico"/>
        <s v="South Sandwich Islands region"/>
        <s v="Nippes, Haiti"/>
        <s v="Perryville, Alaska"/>
        <s v="Pondaguitan, Philippines"/>
        <s v="Hukay, Philippines"/>
        <s v="Burica, Panama"/>
        <s v="Alo, Wallis and Futuna"/>
        <s v="Southern Qinghai, China"/>
        <s v="Sinabang, Indonesia"/>
        <s v="Mauritius - Reunion region"/>
        <s v="Haveluloto, Tonga"/>
        <s v="Pangai, Tonga"/>
        <s v="Ishinomaki, Japan"/>
        <s v="Ust’-Kamchatsk Staryy, Russia"/>
        <s v="Gisborne, New Zealand"/>
        <s v="South Shetland Islands"/>
        <s v="Turt, Mongolia"/>
        <s v="Corral, Chile"/>
        <s v="Néon Karlovásion, Greece"/>
        <s v="central Mid-Atlantic Ridge"/>
        <s v="Vallenar, Chile"/>
        <s v="Katabu, Indonesia"/>
        <s v="San Pedro, Philippines"/>
        <s v="Popondetta, Papua New Guinea"/>
        <s v="Batang, Indonesia"/>
        <s v="Santa María Xadani, Mexico"/>
        <s v="Naze, Japan"/>
        <s v="San Pedro de Atacama, Chile"/>
        <s v="Monte Cristo Range, NV Earthquake"/>
        <s v="Lata, Solomon Islands"/>
        <s v="Banda Sea"/>
        <s v="Néa Anatolí, Greece"/>
        <s v="Stanley, Idaho"/>
        <s v="Severo-Kuril’sk, Russia"/>
        <s v="Kuril’sk, Russia"/>
        <s v="Lucea, Jamaica"/>
        <s v="Do?anyol, Turkey"/>
        <s v="Magsaysay, Philippines"/>
        <s v="Bitung, Indonesia"/>
        <s v="Ndoi Island, Fiji"/>
        <s v="Kisante, Philippines"/>
        <s v="Columbio, Philippines"/>
        <s v="Constitución, Chile"/>
        <s v="Kairatu, Indonesia"/>
        <s v="Bristol Island, South Sandwich Islands"/>
        <s v="San Antonio, Chile"/>
        <s v="Lakatoro, Vanuatu"/>
        <s v="Laiwui, Indonesia"/>
        <s v="Broome, Australia"/>
        <s v="Kota Ternate, Indonesia"/>
        <s v="Searles Valley, CA"/>
        <s v="Saumlaki, Indonesia"/>
        <s v="L'Esperance Rock, New Zealand"/>
        <s v="La Libertad, El Salvador"/>
        <s v="Navarro, Peru"/>
        <s v="Namatanai, Papua New Guinea"/>
        <s v="Bulolo, Papua New Guinea"/>
        <s v="Luwuk, Indonesia"/>
        <s v="Palora, Ecuador"/>
        <s v="Puerto Madero, Mexico"/>
        <s v="Prince Edward Islands region"/>
        <s v="Coquimbo, Chile"/>
        <s v="Molucca Sea"/>
        <s v="Tarauaca, Brazil"/>
        <s v="Point MacKenzie, Alaska"/>
        <s v="Levuka, Fiji"/>
        <s v="Olonkinbyen, Svalbard and Jan Mayen"/>
        <s v="Lithakiá, Greece"/>
        <s v="Port McNeill, Canada"/>
        <s v="Ozernovskiy, Russia"/>
        <s v="Palu, Indonesia"/>
        <s v="Kirakira, Solomon Islands"/>
        <s v="Chitose, Japan"/>
        <s v="Iñapari, Peru"/>
        <s v="Carúpano, Venezuela"/>
        <s v="Labuan Lombok, Indonesia"/>
        <s v="Labuan Bajo, Indonesia"/>
        <s v="Adak, Alaska"/>
        <s v="Leilani Estates, Hawaii"/>
        <s v="Boyuibe, Bolivia"/>
        <s v="Kokopo, Papua New Guinea"/>
        <s v="Tari, Papua New Guinea"/>
        <s v="Pinotepa de Don Luis, Mexico"/>
        <s v="Chiniak, Alaska"/>
        <s v="Atiquipa, Peru"/>
        <s v="Barra Patuca, Honduras"/>
        <s v="Kawalu, Indonesia"/>
        <s v="Bouvet Island region"/>
        <s v="Parrita, Costa Rica"/>
        <s v="?alabja, Iraq"/>
        <s v="Angoram, Papua New Guinea"/>
        <s v="Maumere, Indonesia"/>
        <s v="Attu Station, Alaska"/>
        <s v="Matzaco, Mexico"/>
        <s v="Chiapas, Mexico"/>
        <s v="Mawu, China"/>
        <s v="Kos, Greece"/>
        <s v="Komandorskiye Ostrova, Russia region"/>
        <s v="Auckland Islands, New Zealand region"/>
        <s v="Lim-oo, Philippines"/>
        <s v="Puerto San José, Guatemala"/>
        <s v="San Pablo, Guatemala"/>
        <s v="Poso, Indonesia"/>
        <s v="Burias, Philippines"/>
        <s v="Valparaíso, Chile"/>
        <s v="Moijabana, Botswana"/>
        <s v="Padilla, Bolivia"/>
        <s v="Mabua, Philippines"/>
        <s v="Panguna, Papua New Guinea"/>
        <s v="Tabiauan, Philippines"/>
        <s v="Nadi, Fiji"/>
        <s v="Quellón, Chile"/>
        <s v="Ferndale, California"/>
        <s v="Reuleuet, Indonesia"/>
        <s v="Puerto El Triunfo, El Salvador"/>
        <s v="Amberley, New Zealand"/>
        <s v="Blenheim, New Zealand"/>
        <s v="Preci, Italy"/>
        <s v="Pamanukan, Indonesia"/>
        <s v="Kandrian, Papua New Guinea"/>
        <s v="Fiji region"/>
        <s v="Rabaul, Papua New Guinea"/>
        <s v="Chauk, Myanmar"/>
        <s v="Pagan region, Northern Mariana Islands"/>
        <s v="Sungai Penuh, Indonesia"/>
        <s v="Rosa Zarate, Ecuador"/>
        <s v="Muisne, Ecuador"/>
        <s v="Norsup, Vanuatu"/>
        <s v="Kumamoto, Japan"/>
        <s v="Mawlaik, Myanmar"/>
        <s v="Ashk?sham, Afghanistan"/>
        <s v="Sumatra, Indonesia"/>
        <s v="Mil’kovo, Russia"/>
        <s v="Pedro Bay, Alaska"/>
        <s v="La Cruz de Loreto, Mexico"/>
        <s v="Shizunai-furukawach?, Japan"/>
        <s v="Sarangani, Philippines"/>
        <s v="Imph?l, India"/>
        <s v="Manuel Ávila Camacho (Ponte Duro), Mexico"/>
        <s v="Amahai, Indonesia"/>
        <s v="Buala, Solomon Islands"/>
        <s v="Lefkáda, Greece"/>
        <s v="Makurazaki, Japan"/>
        <s v="Nicobar Islands, India region"/>
        <s v="Ovalle, Chile"/>
        <s v="Maubara, Timor Leste"/>
        <s v="Hindu Kush region, Afghanistan"/>
        <s v="Sorong, Indonesia"/>
        <s v="Illapel, Chile"/>
        <s v="Topolobampo, Mexico"/>
        <s v="Gizo, Solomon Islands"/>
        <s v="Abepura, Indonesia"/>
        <s v="Fox Islands, Aleutian Islands, Alaska"/>
        <s v="Bathsheba, Barbados"/>
        <s v="Bonin Islands, Japan region"/>
        <s v="Ugashik, Alaska"/>
        <s v="?funato, Japan"/>
        <s v="Nepal"/>
        <s v="Kod?ri??, Nepal"/>
        <s v="Bharatpur, Nepal"/>
        <s v="Miyako, Japan"/>
        <s v="El Aguilar, Argentina"/>
        <s v="Port-Vila, Vanuatu"/>
        <s v="Punta de Burica, Panama"/>
        <s v="Sangay, Philippines"/>
        <s v="Ternate, Indonesia"/>
        <s v="Finschhafen, Papua New Guinea"/>
        <s v="Piti Village, Guam"/>
        <s v="Aniso, Peru"/>
        <s v="Micronesia region"/>
        <s v="Mata-Utu, Wallis and Futuna"/>
        <s v="Rat Islands, Aleutian Islands, Alaska"/>
        <s v="Kamariótissa, Greece"/>
        <s v="Vernon, Canada"/>
        <s v="Coyuquilla Norte, Mexico"/>
        <s v="Belén, Nicaragua"/>
        <s v="Iquique, Chile"/>
        <s v="Indianola, California"/>
        <s v="Nago, Japan"/>
        <s v="Greenland, Barbados"/>
        <s v="Hotan, China"/>
        <s v="Scotia Sea"/>
        <s v="off the east coast of Honshu, Japan"/>
        <s v="Etchoropo, Mexico"/>
        <s v="Sagbayan, Philippines"/>
        <s v="Kíssamos, Greece"/>
        <s v="Okhotsk"/>
        <s v="Khuzdar, Pakistan"/>
        <s v="Bela, Pakistan"/>
        <s v="Atka, Alaska"/>
        <s v="Izu Islands, Japan region"/>
        <s v="Bahía Solano, Colombia"/>
        <s v="northern Mid-Atlantic Ridge"/>
        <s v="Java, Indonesia"/>
        <s v="Vaini, Tonga"/>
        <s v="Linqiong, China"/>
        <s v="Aitape, Papua New Guinea"/>
        <s v="Kh?sh, Iran"/>
        <s v="Belaya Gora, Russia"/>
        <s v="Yacuanquer, Colombia"/>
        <s v="Obihiro, Japan"/>
        <s v="Edna Bay, Alaska"/>
        <s v="Champerico, Guatemala"/>
        <s v="Shwebo, Myanmar"/>
        <s v="Prince Rupert, Canada"/>
        <s v="Costa Rica"/>
        <s v="Tual, Indonesia"/>
        <s v="San Agustín, Colombia"/>
        <s v="Hojancha, Costa Rica"/>
        <s v="Sulangan, Philippines"/>
        <s v="Poronaysk, Russia"/>
        <s v="Manokwari, Indonesia"/>
        <s v="Lae, Papua New Guinea"/>
        <s v="Hacienda La Calera, Chile"/>
        <s v="San Luis, Mexico"/>
        <s v="El Habillal, Mexico"/>
        <s v="off the west coast of northern Sumatra"/>
        <s v="Santiago Llano Grande, Mexico"/>
        <s v="Saryg-Sep, Russia"/>
        <s v="Jimalalud, Philippines"/>
        <s v="Wau, Papua New Guinea"/>
        <s v="Nuevo Balsas, Mexico"/>
        <s v="Santiago, Peru"/>
        <s v="Van, Turkey"/>
        <s v="Mangan, India"/>
        <s v="Kabanjahe, Indonesia"/>
        <s v="Contamana, Peru"/>
        <s v="Wé, New Caledonia"/>
        <s v="Ishikawa, Japan"/>
        <s v="Helio García Alfaro, Mexico"/>
        <s v="Tachilek, Myanmar"/>
        <s v="?tsuchi, Japan"/>
        <s v="Hasaki, Japan"/>
        <s v="Kamaishi, Japan"/>
        <s v="?arai, Japan"/>
        <s v="2011 Great Tohoku Earthquake, Japan"/>
        <s v="Tomé, Chile"/>
        <s v="Dalbandin, Pakistan"/>
        <s v="Carahue, Chile"/>
        <s v="Bam, Iran"/>
        <s v="El Huitusi, Mexico"/>
        <s v="Papua, Indonesia"/>
        <s v="Methven, New Zealand"/>
        <s v="Madang, Papua New Guinea"/>
        <s v="Bantogon, Philippines"/>
        <s v="New Britain region, Papua New Guinea"/>
        <s v="Cañete, Chile"/>
        <s v="Biak, Indonesia"/>
        <s v="Meulaboh, Indonesia"/>
        <s v="Qamdo, China"/>
        <s v="Delta, B.C., MX"/>
        <s v="Bamboo Flat, India"/>
        <s v="Santa Cruz, Chile"/>
        <s v="Talcahuano, Chile"/>
        <s v="Lebu, Chile"/>
        <s v="Quirihue, Chile"/>
        <s v="Katsuren-haebaru, Japan"/>
        <s v="Léogâne, Haiti"/>
        <s v="Ba, Fiji"/>
        <s v="Bima, Indonesia"/>
        <s v="Matavai, Samoa"/>
        <s v="Banjar, Indonesia"/>
        <s v="Padang, Indonesia"/>
        <s v="Tateyama, Japan"/>
        <s v="?yama, Japan"/>
        <s v="Bahía de Kino, Mexico"/>
        <s v="Te Anau, New Zealand"/>
        <s v="Guanaja, Honduras"/>
        <s v="‘Ohonua, Tonga"/>
        <s v="Gorontalo, Indonesia"/>
        <s v="Brisas Barra de Suchiate, Mexico"/>
        <s v="Nookat, Kyrgyzstan"/>
        <s v="Jumla, Nepal"/>
        <s v="Morioka, Japan"/>
        <s v="Mizusawa, Japan"/>
        <s v="Tianpeng, China"/>
        <s v="Philippine Islands region"/>
        <s v="Koróni, Greece"/>
        <s v="Methóni, Greece"/>
        <s v="General Pascual Fentes, Mexico"/>
        <s v="Ant"/>
        <s v="Basse-Pointe, Martinique"/>
        <s v="Dompu, Indonesia"/>
        <s v="Macas, Ecuador"/>
        <s v="Tocopilla, Chile"/>
        <s v="Kepulauan Mentawai region, Indonesia"/>
        <s v="Timbiquí, Colombia"/>
        <s v="San Vicente de Cañete, Peru"/>
        <s v="Rengasdengklok, Indonesia"/>
        <s v="Luganville, Vanuatu"/>
        <s v="Mikuni, Japan"/>
        <s v="Kashiwazaki, Japan"/>
        <s v="Iztapa, Guatemala"/>
        <s v="Nanao, Japan"/>
        <s v="S"/>
        <s v="the Kuril Islands"/>
        <s v="Hengchun, Taiwan"/>
        <s v="Kuril Islands"/>
        <s v="Puako, Hawaii"/>
        <s v="Singaparna, Indonesia"/>
        <s v="Tilichiki, Russia"/>
        <s v="Singkil, Indonesia"/>
        <s v="Copiapó, Chile"/>
        <s v="Lautoka, Fiji"/>
        <s v="Ambon, Indonesia"/>
        <s v="Chipinge, Zimbabwe"/>
        <s v="Kýthira, Greece"/>
        <s v="Kalemie, Democratic Republic"/>
        <s v="Muzaffar?b?d, Pakistan"/>
        <s v="Yurimaguas, Peru"/>
        <s v="San Juan del Sur, Nicaragua"/>
        <s v="Big Lagoon, California"/>
        <s v="Padangsidempuan, Indonesia"/>
        <s v="Maebaru-ch??, Japan"/>
        <s v="Pulau-Pulau Talaud, Indonesia"/>
        <s v="Palimbang, Philippines"/>
        <s v="Katsuura, Japan"/>
        <s v="Sabang, Indonesia"/>
        <s v="2004 Sumatra - Andaman Islands Earthquake"/>
        <s v="Macquarie Island"/>
        <s v="George Town, Cayman Islands"/>
        <s v="Nemuro, Japan"/>
        <s v="Nabire, Indonesia"/>
        <s v="Riverton, New Zealand"/>
        <s v="Pizarro, Colombia"/>
        <s v="Ojiya, Japan"/>
        <s v="Yonakuni, Japan"/>
        <s v="Talisay, Philippines"/>
        <s v="Shing?, Japan"/>
        <s v="Teno, Chile"/>
        <s v="Atlasovo, Russia"/>
        <s v="Naisano Dua, Indonesia"/>
        <s v="Afghanistan-Tajikistan-Pakistan region"/>
        <s v="Progreso, Panama"/>
        <s v="San Simeon, California"/>
        <s v="Can-Avid, Philippines"/>
        <s v="Kushiro, Japan"/>
        <s v="Aktash, Russia"/>
        <s v="Taungdwingyi, Myanmar"/>
        <s v="Dellys, Algeria"/>
        <s v="Ruteng, Indonesia"/>
        <s v="Cuyutlán, Mexico"/>
        <s v="New Ireland region, Papua New Guinea"/>
        <s v="Cantwell, Alaska"/>
        <s v="San Jose Village, Northern Mariana Islands"/>
        <s v="Abhar, Iran"/>
        <s v="Monte Patria, Chile"/>
        <s v="Merizo Village, Guam"/>
        <s v="Nuxco, Mexico"/>
        <s v="Calama, Chile"/>
        <s v="Mindanao, Philippines"/>
        <s v="Sultanda??, Turkey"/>
        <s v="Hanamaki, Japan"/>
        <s v="Kendari, Indonesia"/>
        <s v="Inarajan Village, Guam"/>
        <s v="Kokhanok, Alaska"/>
        <s v="Skýros, Greece"/>
        <s v="Punta de Bombón, Peru"/>
        <s v="Achanizo, Peru"/>
        <s v="Pacocha, Peru"/>
        <s v="Atico, Peru"/>
        <s v="Kure, Japan"/>
        <s v="Longbranch, Washington"/>
        <s v="Cojutepeque, El Salvador"/>
        <s v="Bhach?u, India"/>
        <s v="Old Harbor, Alaska"/>
        <s v="Lukatan, Philippines"/>
        <s v="Balkanabat, Turkmenistan"/>
        <s v="Badamdar, Azerbaijan"/>
        <s v="Baku, Azerbaijan"/>
        <s v="Juradó, Colombia"/>
        <s v="Matsue, Japan"/>
        <s v="Nkove, Tanzania"/>
        <s v="Uglegorsk, Russia"/>
        <s v="Shimoda, Japan"/>
        <s v="Larsen Bay, Alaska"/>
        <s v="Selfoss, Iceland"/>
        <s v="South Indian Ocean"/>
        <s v="Ialibu, Papua New Guinea"/>
        <s v="Shikotan, Russia"/>
        <s v="Bolitoc, Philippines"/>
        <s v="Karluk, Alaska"/>
        <s v="Arica, Chile"/>
        <s v="Düzce, Turkey"/>
        <s v="Hector Mine, CA Earthquake"/>
        <s v="San Baltazar Loxicha, Mexico"/>
        <s v="Puli, Taiwan"/>
        <s v="Quepos, Costa Rica"/>
        <s v="Derince, Turkey"/>
        <s v="Potrerillos, Honduras"/>
        <s v="Texcala, Mexico"/>
        <s v="Camaná, Peru"/>
        <s v="P?palkoti, India"/>
        <s v="Vilyuchinsk, Russia"/>
        <s v="K?h Sef?d, Iran"/>
        <s v="Sumberpucung, Indonesia"/>
        <s v="Bahía de Caráquez, Ecuador"/>
        <s v="Rust?q, Afghanistan"/>
        <s v="Mizque, Bolivia"/>
        <s v="Ishigaki, Japan"/>
        <s v="San Fernando, Peru"/>
        <s v="Kerman, Iran"/>
        <s v="Labasa, Fiji"/>
        <s v="San José El Ídolo, Guatemala"/>
        <s v="San Sebastián, El Salvador"/>
        <s v="western Xizang"/>
        <s v="Roncesvalles, Colombia"/>
        <s v="El Ciruelo, Mexico"/>
        <s v="Churumuco de Morelos, Mexico"/>
        <s v="Q?’en, Iran"/>
        <s v="Yigo Village, Guam"/>
        <s v="Scarborough, Trinidad and Tobago"/>
        <s v="Kinablangan, Philippines"/>
        <s v="Harnai, Pakistan"/>
        <s v="Turkmenistan-Iran border region"/>
        <s v="Iwanai, Japan"/>
        <s v="Miyazaki, Japan"/>
        <s v="Thang, India"/>
        <s v="Changuillo, Peru"/>
        <s v="Nishinoomote, Japan"/>
        <s v="Paphos, Cyprus"/>
        <s v="Cortes, Philippines"/>
        <s v="Palapag, Philippines"/>
        <s v="Villa El Carmen, Nicaragua"/>
        <s v="Santa María Chico Ometepec, Mexico"/>
        <s v="Puerto Santa, Peru"/>
        <s v="Insrom, Indonesia"/>
        <s v="Lijiang, China"/>
        <s v="Yelizovo, Russia"/>
        <s v="Nuwaybi‘a, Egypt"/>
        <s v="Ocozocoautla de Espinosa, Mexico"/>
        <s v="El Colomo, Mexico"/>
        <s v="Sucúa, Ecuador"/>
        <s v="Paramonga, Peru"/>
        <s v="Azoyú, Mexico"/>
        <s v="Neira, Colombia"/>
        <s v="Jinghong, China"/>
        <s v="Galaxídhion, Greece"/>
        <s v="Tungor, Russia"/>
        <s v="Vao, New Caledonia"/>
        <s v="Aianí, Greece"/>
        <s v="Cabatuan, Philippines"/>
      </sharedItems>
    </cacheField>
    <cacheField name="continent" numFmtId="0">
      <sharedItems containsBlank="1">
        <m/>
        <s v="South America"/>
        <s v="Asia"/>
        <s v="Oceania"/>
        <s v="North America"/>
        <s v="Europe"/>
        <s v="Africa"/>
      </sharedItems>
    </cacheField>
    <cacheField name="country" numFmtId="0">
      <sharedItems containsBlank="1">
        <s v="Vanuatu"/>
        <m/>
        <s v="Argentina"/>
        <s v="Colombia"/>
        <s v="Indonesia"/>
        <s v="Russian Federation (the)"/>
        <s v="Papua New Guinea"/>
        <s v="Afghanistan"/>
        <s v="Ecuador"/>
        <s v="Tajikistan"/>
        <s v="Turkiye"/>
        <s v="Solomon Islands"/>
        <s v="Fiji"/>
        <s v="Panama"/>
        <s v="Mexico"/>
        <s v="Taiwan"/>
        <s v="People's Republic of China"/>
        <s v="Philippines"/>
        <s v="Brazil"/>
        <s v="Peru"/>
        <s v="United States of America"/>
        <s v="Antarctica"/>
        <s v="Haiti"/>
        <s v="Japan"/>
        <s v="Mongolia"/>
        <s v="Greece"/>
        <s v="Chile"/>
        <s v="Russia"/>
        <s v="Turkey"/>
        <s v="United Kingdom of Great Britain and Northern Ireland (the)"/>
        <s v="South Georgia and the South Sandwich Islands"/>
        <s v="Venezuela"/>
        <s v="Bolivia"/>
        <s v="Costa Rica"/>
        <s v="Iran"/>
        <s v="Guatemala"/>
        <s v="Botswana"/>
        <s v="New Zealand"/>
        <s v="Italy"/>
        <s v="Myanmar"/>
        <s v="India"/>
        <s v="Nepal"/>
        <s v="Nicaragua"/>
        <s v="Pakistan"/>
        <s v="Canada"/>
        <s v="Tonga"/>
        <s v="Kyrgyzstan"/>
        <s v="Martinique"/>
        <s v="Mozambique"/>
        <s v="Tanzania"/>
        <s v="Algeria"/>
        <s v="El Salvador"/>
        <s v="Turkmenistan"/>
        <s v="Azerbaijan"/>
        <s v="Iceland"/>
        <s v="Trinidad and Tobago"/>
        <s v="Saudi Arabia"/>
      </sharedItems>
    </cacheField>
    <cacheField name="date_time_converted" numFmtId="164">
      <sharedItems containsSemiMixedTypes="0" containsDate="1" containsString="0">
        <d v="2023-08-16T12:47:00Z"/>
        <d v="2023-07-19T00:22:00Z"/>
        <d v="2023-07-17T03:05:00Z"/>
        <d v="2023-07-16T06:48:00Z"/>
        <d v="2023-07-10T20:28:00Z"/>
        <d v="2023-07-02T10:27:00Z"/>
        <d v="2023-06-15T18:06:00Z"/>
        <d v="2023-05-25T03:05:00Z"/>
        <d v="2023-05-20T01:51:00Z"/>
        <d v="2023-05-19T02:57:00Z"/>
        <d v="2023-05-10T16:02:00Z"/>
        <d v="2023-04-28T03:13:00Z"/>
        <d v="2023-04-24T20:00:00Z"/>
        <d v="2023-04-24T00:41:00Z"/>
        <d v="2023-04-18T04:31:00Z"/>
        <d v="2023-04-14T09:55:00Z"/>
        <d v="2023-04-03T03:06:00Z"/>
        <d v="2023-04-02T18:04:00Z"/>
        <d v="2023-03-22T16:00:00Z"/>
        <d v="2023-03-21T16:47:00Z"/>
        <d v="2023-03-18T17:12:00Z"/>
        <d v="2023-03-16T00:56:00Z"/>
        <d v="2023-03-04T06:41:00Z"/>
        <d v="2023-03-02T18:04:00Z"/>
        <d v="2023-03-01T05:36:00Z"/>
        <d v="2023-02-23T00:37:00Z"/>
        <d v="2023-02-06T10:24:00Z"/>
        <d v="2023-02-06T01:28:00Z"/>
        <d v="2023-02-06T01:17:00Z"/>
        <d v="2023-01-20T22:09:00Z"/>
        <d v="2023-01-18T06:06:00Z"/>
        <d v="2023-01-09T17:47:00Z"/>
        <d v="2023-01-08T12:32:00Z"/>
        <d v="2022-12-04T19:24:00Z"/>
        <d v="2022-11-22T02:03:00Z"/>
        <d v="2022-11-18T13:37:00Z"/>
        <d v="2022-11-12T07:09:00Z"/>
        <d v="2022-11-11T10:48:00Z"/>
        <d v="2022-11-09T10:14:00Z"/>
        <d v="2022-11-09T09:51:00Z"/>
        <d v="2022-11-09T09:38:00Z"/>
        <d v="2022-10-20T11:57:00Z"/>
        <d v="2022-09-22T06:16:00Z"/>
        <d v="2022-09-19T18:05:00Z"/>
        <d v="2022-09-18T06:44:00Z"/>
        <d v="2022-09-17T13:41:00Z"/>
        <d v="2022-09-14T11:04:00Z"/>
        <d v="2022-09-10T23:47:00Z"/>
        <d v="2022-09-05T04:52:00Z"/>
        <d v="2022-08-14T13:44:00Z"/>
        <d v="2022-07-27T00:43:00Z"/>
        <d v="2022-06-08T00:55:00Z"/>
        <d v="2022-05-26T12:02:00Z"/>
        <d v="2022-05-19T10:13:00Z"/>
        <d v="2022-05-10T23:06:00Z"/>
        <d v="2022-04-21T07:42:00Z"/>
        <d v="2022-03-31T05:44:00Z"/>
        <d v="2022-03-30T20:56:00Z"/>
        <d v="2022-03-22T17:41:00Z"/>
        <d v="2022-03-16T14:36:00Z"/>
        <d v="2022-03-13T21:09:00Z"/>
        <d v="2022-03-02T12:52:00Z"/>
        <d v="2022-02-16T20:21:00Z"/>
        <d v="2022-02-03T15:58:00Z"/>
        <d v="2022-01-29T02:46:00Z"/>
        <d v="2022-01-14T09:05:00Z"/>
        <d v="2022-01-11T12:39:00Z"/>
        <d v="2022-01-11T11:35:00Z"/>
        <d v="2022-01-11T01:07:00Z"/>
        <d v="2022-01-07T17:45:00Z"/>
        <d v="2021-12-29T18:25:00Z"/>
        <d v="2021-12-14T03:20:00Z"/>
        <d v="2021-11-28T10:52:00Z"/>
        <d v="2021-11-10T15:45:00Z"/>
        <d v="2021-10-11T09:10:00Z"/>
        <d v="2021-10-09T10:58:00Z"/>
        <d v="2021-10-02T06:29:00Z"/>
        <d v="2021-09-22T09:57:00Z"/>
        <d v="2021-09-08T01:47:00Z"/>
        <d v="2021-08-22T21:33:00Z"/>
        <d v="2021-08-22T00:45:00Z"/>
        <d v="2021-08-18T10:10:00Z"/>
        <d v="2021-08-16T11:10:00Z"/>
        <d v="2021-08-14T12:29:00Z"/>
        <d v="2021-08-14T11:57:00Z"/>
        <d v="2021-08-12T18:35:00Z"/>
        <d v="2021-08-12T18:32:00Z"/>
        <d v="2021-08-11T17:46:00Z"/>
        <d v="2021-07-29T06:15:00Z"/>
        <d v="2021-07-23T20:48:00Z"/>
        <d v="2021-07-21T21:15:00Z"/>
        <d v="2021-06-20T17:05:00Z"/>
        <d v="2021-05-21T22:13:00Z"/>
        <d v="2021-05-21T18:04:00Z"/>
        <d v="2021-05-14T06:33:00Z"/>
        <d v="2021-05-12T14:05:00Z"/>
        <d v="2021-05-01T01:27:00Z"/>
        <d v="2021-04-25T22:28:00Z"/>
        <d v="2021-04-24T00:23:00Z"/>
        <d v="2021-03-20T09:09:00Z"/>
        <d v="2021-03-16T18:38:00Z"/>
        <d v="2021-03-04T23:12:00Z"/>
        <d v="2021-03-04T19:28:00Z"/>
        <d v="2021-03-04T17:41:00Z"/>
        <d v="2021-03-04T13:27:00Z"/>
        <d v="2021-02-13T14:07:00Z"/>
        <d v="2021-02-10T13:19:00Z"/>
        <d v="2021-01-23T23:36:00Z"/>
        <d v="2021-01-21T12:23:00Z"/>
        <d v="2021-01-11T21:32:00Z"/>
        <d v="2020-12-27T21:39:00Z"/>
        <d v="2020-10-30T11:51:00Z"/>
        <d v="2020-10-19T20:54:00Z"/>
        <d v="2020-09-18T21:43:00Z"/>
        <d v="2020-09-01T21:09:00Z"/>
        <d v="2020-09-01T04:09:00Z"/>
        <d v="2020-08-30T21:20:00Z"/>
        <d v="2020-08-21T04:09:00Z"/>
        <d v="2020-08-18T22:29:00Z"/>
        <d v="2020-08-18T22:23:00Z"/>
        <d v="2020-08-18T00:03:00Z"/>
        <d v="2020-07-22T06:12:00Z"/>
        <d v="2020-07-17T02:50:00Z"/>
        <d v="2020-07-06T22:54:00Z"/>
        <d v="2020-06-23T15:29:00Z"/>
        <d v="2020-06-18T12:49:00Z"/>
        <d v="2020-06-13T15:51:00Z"/>
        <d v="2020-06-03T07:35:00Z"/>
        <d v="2020-05-15T11:03:00Z"/>
        <d v="2020-05-12T22:41:00Z"/>
        <d v="2020-05-06T13:53:00Z"/>
        <d v="2020-05-02T12:51:00Z"/>
        <d v="2020-03-31T23:52:00Z"/>
        <d v="2020-03-25T02:49:00Z"/>
        <d v="2020-02-13T10:33:00Z"/>
        <d v="2020-01-28T19:10:00Z"/>
        <d v="2020-01-24T17:55:00Z"/>
        <d v="2019-12-15T06:11:00Z"/>
        <d v="2019-11-14T16:17:00Z"/>
        <d v="2019-11-08T10:44:00Z"/>
        <d v="2019-11-04T22:43:00Z"/>
        <d v="2019-10-31T01:11:00Z"/>
        <d v="2019-10-29T01:04:00Z"/>
        <d v="2019-09-29T15:57:00Z"/>
        <d v="2019-09-25T23:46:00Z"/>
        <d v="2019-09-01T15:54:00Z"/>
        <d v="2019-08-27T23:55:00Z"/>
        <d v="2019-08-02T12:03:00Z"/>
        <d v="2019-08-01T18:28:00Z"/>
        <d v="2019-07-31T15:02:00Z"/>
        <d v="2019-07-14T09:10:00Z"/>
        <d v="2019-07-14T05:39:00Z"/>
        <d v="2019-07-07T15:08:00Z"/>
        <d v="2019-07-06T03:19:00Z"/>
        <d v="2019-06-24T02:53:00Z"/>
        <d v="2019-06-15T22:55:00Z"/>
        <d v="2019-05-30T09:03:00Z"/>
        <d v="2019-05-26T07:41:00Z"/>
        <d v="2019-05-14T12:58:00Z"/>
        <d v="2019-05-06T21:19:00Z"/>
        <d v="2019-04-12T11:40:00Z"/>
        <d v="2019-04-09T17:53:00Z"/>
        <d v="2019-03-01T08:50:00Z"/>
        <d v="2019-02-22T10:17:00Z"/>
        <d v="2019-02-01T16:14:00Z"/>
        <d v="2019-01-22T19:01:00Z"/>
        <d v="2019-01-20T01:32:00Z"/>
        <d v="2019-01-15T18:06:00Z"/>
        <d v="2019-01-06T17:27:00Z"/>
        <d v="2019-01-05T19:25:00Z"/>
        <d v="2018-12-29T03:39:00Z"/>
        <d v="2018-12-20T17:01:00Z"/>
        <d v="2018-12-11T02:26:00Z"/>
        <d v="2018-12-05T06:43:00Z"/>
        <d v="2018-12-05T04:18:00Z"/>
        <d v="2018-11-30T17:29:00Z"/>
        <d v="2018-11-18T20:25:00Z"/>
        <d v="2018-11-09T01:49:00Z"/>
        <d v="2018-10-25T22:54:00Z"/>
        <d v="2018-10-22T06:22:00Z"/>
        <d v="2018-10-22T06:16:00Z"/>
        <d v="2018-10-22T05:39:00Z"/>
        <d v="2018-10-16T01:03:00Z"/>
        <d v="2018-10-13T11:10:00Z"/>
        <d v="2018-10-10T23:16:00Z"/>
        <d v="2018-10-10T20:48:00Z"/>
        <d v="2018-09-30T10:52:00Z"/>
        <d v="2018-09-28T10:02:00Z"/>
        <d v="2018-09-16T21:11:00Z"/>
        <d v="2018-09-10T04:19:00Z"/>
        <d v="2018-09-09T19:31:00Z"/>
        <d v="2018-09-06T15:49:00Z"/>
        <d v="2018-09-05T18:07:00Z"/>
        <d v="2018-08-29T03:51:00Z"/>
        <d v="2018-08-24T09:04:00Z"/>
        <d v="2018-08-21T22:32:00Z"/>
        <d v="2018-08-21T21:31:00Z"/>
        <d v="2018-08-19T14:56:00Z"/>
        <d v="2018-08-19T00:19:00Z"/>
        <d v="2018-08-17T15:35:00Z"/>
        <d v="2018-08-15T21:56:00Z"/>
        <d v="2018-08-05T11:46:00Z"/>
        <d v="2018-05-04T22:32:00Z"/>
        <d v="2018-04-02T13:40:00Z"/>
        <d v="2018-03-29T21:25:00Z"/>
        <d v="2018-03-26T09:51:00Z"/>
        <d v="2018-03-08T17:39:00Z"/>
        <d v="2018-03-06T14:13:00Z"/>
        <d v="2018-02-25T17:44:00Z"/>
        <d v="2018-02-16T23:39:00Z"/>
        <d v="2018-01-23T09:31:00Z"/>
        <d v="2018-01-14T09:18:00Z"/>
        <d v="2018-01-10T02:51:00Z"/>
        <d v="2017-12-15T16:47:00Z"/>
        <d v="2017-12-13T18:03:00Z"/>
        <d v="2017-11-19T22:43:00Z"/>
        <d v="2017-11-19T15:09:00Z"/>
        <d v="2017-11-13T02:28:00Z"/>
        <d v="2017-11-12T18:18:00Z"/>
        <d v="2017-11-07T21:26:00Z"/>
        <d v="2017-11-04T09:00:00Z"/>
        <d v="2017-11-01T02:23:00Z"/>
        <d v="2017-10-31T00:42:00Z"/>
        <d v="2017-10-24T10:47:00Z"/>
        <d v="2017-10-08T22:34:00Z"/>
        <d v="2017-09-19T18:14:00Z"/>
        <d v="2017-09-08T04:49:00Z"/>
        <d v="2017-08-08T13:19:00Z"/>
        <d v="2017-07-20T22:31:00Z"/>
        <d v="2017-07-17T23:34:00Z"/>
        <d v="2017-07-11T07:00:00Z"/>
        <d v="2017-07-06T08:03:00Z"/>
        <d v="2017-06-22T12:31:00Z"/>
        <d v="2017-06-14T07:29:00Z"/>
        <d v="2017-06-02T22:24:00Z"/>
        <d v="2017-05-29T14:35:00Z"/>
        <d v="2017-05-10T23:23:00Z"/>
        <d v="2017-05-09T13:52:00Z"/>
        <d v="2017-04-28T20:23:00Z"/>
        <d v="2017-04-24T21:38:00Z"/>
        <d v="2017-04-03T17:40:00Z"/>
        <d v="2017-03-29T04:09:00Z"/>
        <d v="2017-02-24T17:28:00Z"/>
        <d v="2017-02-21T14:09:00Z"/>
        <d v="2017-02-10T14:03:00Z"/>
        <d v="2017-01-22T04:30:00Z"/>
        <d v="2017-01-19T23:04:00Z"/>
        <d v="2017-01-10T06:13:00Z"/>
        <d v="2017-01-03T21:52:00Z"/>
        <d v="2016-12-25T14:22:00Z"/>
        <d v="2016-12-21T00:17:00Z"/>
        <d v="2016-12-17T10:51:00Z"/>
        <d v="2016-12-09T19:10:00Z"/>
        <d v="2016-12-08T21:56:00Z"/>
        <d v="2016-12-08T17:38:00Z"/>
        <d v="2016-12-08T14:49:00Z"/>
        <d v="2016-12-06T22:03:00Z"/>
        <d v="2016-11-25T14:24:00Z"/>
        <d v="2016-11-24T18:43:00Z"/>
        <d v="2016-11-21T20:59:00Z"/>
        <d v="2016-11-14T00:34:00Z"/>
        <d v="2016-11-13T11:32:00Z"/>
        <d v="2016-11-13T11:02:00Z"/>
        <d v="2016-10-30T06:40:00Z"/>
        <d v="2016-10-19T00:26:00Z"/>
        <d v="2016-10-17T06:14:00Z"/>
        <d v="2016-09-24T21:28:00Z"/>
        <d v="2016-09-01T16:37:00Z"/>
        <d v="2016-08-31T03:11:00Z"/>
        <d v="2016-08-24T10:34:00Z"/>
        <d v="2016-08-12T01:26:00Z"/>
        <d v="2016-07-29T21:18:00Z"/>
        <d v="2016-06-01T22:56:00Z"/>
        <d v="2016-05-28T09:46:00Z"/>
        <d v="2016-05-28T05:38:00Z"/>
        <d v="2016-05-18T16:46:00Z"/>
        <d v="2016-05-18T07:57:00Z"/>
        <d v="2016-04-28T19:33:00Z"/>
        <d v="2016-04-16T23:58:00Z"/>
        <d v="2016-04-15T16:25:00Z"/>
        <d v="2016-04-13T13:55:00Z"/>
        <d v="2016-04-10T10:28:00Z"/>
        <d v="2016-04-07T03:32:00Z"/>
        <d v="2016-04-06T06:58:00Z"/>
        <d v="2016-04-03T08:23:00Z"/>
        <d v="2016-03-02T12:49:00Z"/>
        <d v="2016-01-30T03:25:00Z"/>
        <d v="2016-01-24T10:30:00Z"/>
        <d v="2016-01-21T18:06:00Z"/>
        <d v="2016-01-14T03:25:00Z"/>
        <d v="2016-01-11T16:38:00Z"/>
        <d v="2016-01-03T23:05:00Z"/>
        <d v="2015-12-17T19:49:00Z"/>
        <d v="2015-12-09T10:21:00Z"/>
        <d v="2015-12-07T07:50:00Z"/>
        <d v="2015-11-26T05:45:00Z"/>
        <d v="2015-11-24T22:50:00Z"/>
        <d v="2015-11-24T22:45:00Z"/>
        <d v="2015-11-18T18:31:00Z"/>
        <d v="2015-11-17T07:10:00Z"/>
        <d v="2015-11-13T20:51:00Z"/>
        <d v="2015-11-11T02:46:00Z"/>
        <d v="2015-11-11T01:54:00Z"/>
        <d v="2015-11-08T16:47:00Z"/>
        <d v="2015-11-07T07:31:00Z"/>
        <d v="2015-11-04T03:44:00Z"/>
        <d v="2015-10-26T09:09:00Z"/>
        <d v="2015-10-20T21:52:00Z"/>
        <d v="2015-09-24T15:53:00Z"/>
        <d v="2015-09-21T17:40:00Z"/>
        <d v="2015-09-17T04:10:00Z"/>
        <d v="2015-09-17T03:55:00Z"/>
        <d v="2015-09-16T23:18:00Z"/>
        <d v="2015-09-16T22:54:00Z"/>
        <d v="2015-09-13T08:14:00Z"/>
        <d v="2015-08-12T18:49:00Z"/>
        <d v="2015-08-10T04:12:00Z"/>
        <d v="2015-07-27T21:41:00Z"/>
        <d v="2015-07-27T04:49:00Z"/>
        <d v="2015-07-18T02:27:00Z"/>
        <d v="2015-07-16T15:16:00Z"/>
        <d v="2015-07-10T04:12:00Z"/>
        <d v="2015-06-23T12:18:00Z"/>
        <d v="2015-05-30T11:23:00Z"/>
        <d v="2015-05-29T07:00:00Z"/>
        <d v="2015-05-22T23:59:00Z"/>
        <d v="2015-05-22T21:45:00Z"/>
        <d v="2015-05-20T22:48:00Z"/>
        <d v="2015-05-12T21:12:00Z"/>
        <d v="2015-05-12T07:05:00Z"/>
        <d v="2015-05-07T07:10:00Z"/>
        <d v="2015-05-05T01:44:00Z"/>
        <d v="2015-05-01T08:06:00Z"/>
        <d v="2015-04-30T10:45:00Z"/>
        <d v="2015-04-26T07:09:00Z"/>
        <d v="2015-04-25T06:45:00Z"/>
        <d v="2015-04-25T06:11:00Z"/>
        <d v="2015-04-17T15:52:00Z"/>
        <d v="2015-03-30T08:48:00Z"/>
        <d v="2015-03-29T23:48:00Z"/>
        <d v="2015-02-27T13:45:00Z"/>
        <d v="2015-02-16T23:06:00Z"/>
        <d v="2015-02-11T18:57:00Z"/>
        <d v="2015-01-23T03:47:00Z"/>
        <d v="2015-01-07T05:07:00Z"/>
        <d v="2014-12-08T08:54:00Z"/>
        <d v="2014-12-07T01:22:00Z"/>
        <d v="2014-12-02T05:11:00Z"/>
        <d v="2014-11-26T14:33:00Z"/>
        <d v="2014-11-21T10:10:00Z"/>
        <d v="2014-11-16T22:33:00Z"/>
        <d v="2014-11-15T02:31:00Z"/>
        <d v="2014-11-07T03:33:00Z"/>
        <d v="2014-11-01T18:57:00Z"/>
        <d v="2014-10-14T03:51:00Z"/>
        <d v="2014-09-17T06:14:00Z"/>
        <d v="2014-08-24T23:21:00Z"/>
        <d v="2014-08-03T00:22:00Z"/>
        <d v="2014-07-21T14:54:00Z"/>
        <d v="2014-07-11T19:22:00Z"/>
        <d v="2014-07-07T11:23:00Z"/>
        <d v="2014-07-04T15:00:00Z"/>
        <d v="2014-06-29T17:15:00Z"/>
        <d v="2014-06-29T07:52:00Z"/>
        <d v="2014-06-23T20:53:00Z"/>
        <d v="2014-06-23T20:06:00Z"/>
        <d v="2014-06-23T19:21:00Z"/>
        <d v="2014-06-23T19:19:00Z"/>
        <d v="2014-05-24T09:25:00Z"/>
        <d v="2014-05-13T06:35:00Z"/>
        <d v="2014-05-01T06:36:00Z"/>
        <d v="2014-04-24T03:10:00Z"/>
        <d v="2014-04-19T13:28:00Z"/>
        <d v="2014-04-19T01:04:00Z"/>
        <d v="2014-04-18T14:27:00Z"/>
        <d v="2014-04-13T13:24:00Z"/>
        <d v="2014-04-13T12:36:00Z"/>
        <d v="2014-04-12T20:14:00Z"/>
        <d v="2014-04-11T20:29:00Z"/>
        <d v="2014-04-11T08:16:00Z"/>
        <d v="2014-04-11T07:07:00Z"/>
        <d v="2014-04-03T02:43:00Z"/>
        <d v="2014-04-03T01:58:00Z"/>
        <d v="2014-04-01T23:57:00Z"/>
        <d v="2014-04-01T23:46:00Z"/>
        <d v="2014-03-16T21:16:00Z"/>
        <d v="2014-03-10T05:18:00Z"/>
        <d v="2014-03-02T20:11:00Z"/>
        <d v="2014-02-18T09:27:00Z"/>
        <d v="2014-02-12T09:19:00Z"/>
        <d v="2014-02-07T08:40:00Z"/>
        <d v="2014-02-02T09:26:00Z"/>
        <d v="2014-01-01T16:03:00Z"/>
        <d v="2013-11-23T07:48:00Z"/>
        <d v="2013-11-17T09:04:00Z"/>
        <d v="2013-11-16T03:34:00Z"/>
        <d v="2013-10-31T23:03:00Z"/>
        <d v="2013-10-25T17:10:00Z"/>
        <d v="2013-10-19T17:54:00Z"/>
        <d v="2013-10-16T10:30:00Z"/>
        <d v="2013-10-15T00:12:00Z"/>
        <d v="2013-10-12T13:11:00Z"/>
        <d v="2013-10-01T03:38:00Z"/>
        <d v="2013-09-30T05:55:00Z"/>
        <d v="2013-09-28T07:34:00Z"/>
        <d v="2013-09-25T16:42:00Z"/>
        <d v="2013-09-24T11:29:00Z"/>
        <d v="2013-09-04T02:32:00Z"/>
        <d v="2013-09-04T00:18:00Z"/>
        <d v="2013-09-01T11:52:00Z"/>
        <d v="2013-08-30T16:25:00Z"/>
        <d v="2013-08-16T02:31:00Z"/>
        <d v="2013-08-13T15:43:00Z"/>
        <d v="2013-07-21T05:09:00Z"/>
        <d v="2013-07-15T14:03:00Z"/>
        <d v="2013-07-07T20:30:00Z"/>
        <d v="2013-07-07T18:35:00Z"/>
        <d v="2013-06-24T22:04:00Z"/>
        <d v="2013-06-15T17:34:00Z"/>
        <d v="2013-06-13T16:47:00Z"/>
        <d v="2013-05-24T14:56:00Z"/>
        <d v="2013-05-24T05:44:00Z"/>
        <d v="2013-05-23T17:19:00Z"/>
        <d v="2013-05-14T00:32:00Z"/>
        <d v="2013-04-23T23:14:00Z"/>
        <d v="2013-04-20T00:02:00Z"/>
        <d v="2013-04-19T03:05:00Z"/>
        <d v="2013-04-16T22:55:00Z"/>
        <d v="2013-04-16T10:44:00Z"/>
        <d v="2013-04-14T01:32:00Z"/>
        <d v="2013-04-06T04:42:00Z"/>
        <d v="2013-03-10T22:51:00Z"/>
        <d v="2013-03-01T13:20:00Z"/>
        <d v="2013-02-28T14:05:00Z"/>
        <d v="2013-02-14T13:13:00Z"/>
        <d v="2013-02-09T21:02:00Z"/>
        <d v="2013-02-09T14:16:00Z"/>
        <d v="2013-02-08T15:26:00Z"/>
        <d v="2013-02-08T11:12:00Z"/>
        <d v="2013-02-07T18:59:00Z"/>
        <d v="2013-02-06T01:54:00Z"/>
        <d v="2013-02-06T01:23:00Z"/>
        <d v="2013-02-06T01:12:00Z"/>
        <d v="2013-02-02T14:17:00Z"/>
        <d v="2013-01-30T20:15:00Z"/>
        <d v="2013-01-05T08:58:00Z"/>
        <d v="2012-12-21T22:28:00Z"/>
        <d v="2012-12-10T16:53:00Z"/>
        <d v="2012-12-07T08:18:00Z"/>
        <d v="2012-11-11T22:14:00Z"/>
        <d v="2012-11-11T01:12:00Z"/>
        <d v="2012-11-07T16:35:00Z"/>
        <d v="2012-10-28T03:04:00Z"/>
        <d v="2012-10-24T00:45:00Z"/>
        <d v="2012-10-12T00:31:00Z"/>
        <d v="2012-09-30T16:31:00Z"/>
        <d v="2012-09-05T14:42:00Z"/>
        <d v="2012-08-31T12:47:00Z"/>
        <d v="2012-08-27T04:37:00Z"/>
        <d v="2012-08-26T15:05:00Z"/>
        <d v="2012-08-14T02:59:00Z"/>
        <d v="2012-07-28T20:03:00Z"/>
        <d v="2012-04-28T10:08:00Z"/>
        <d v="2012-04-21T01:16:00Z"/>
        <d v="2012-04-17T07:13:00Z"/>
        <d v="2012-04-17T03:50:00Z"/>
        <d v="2012-04-12T07:15:00Z"/>
        <d v="2012-04-11T22:55:00Z"/>
        <d v="2012-04-11T10:43:00Z"/>
        <d v="2012-04-11T08:38:00Z"/>
        <d v="2012-03-25T22:37:00Z"/>
        <d v="2012-03-21T22:15:00Z"/>
        <d v="2012-03-20T18:02:00Z"/>
        <d v="2012-02-26T06:17:00Z"/>
        <d v="2012-02-06T03:49:00Z"/>
        <d v="2012-02-02T13:34:00Z"/>
        <d v="2012-01-10T18:36:00Z"/>
        <d v="2011-12-27T15:21:00Z"/>
        <d v="2011-12-14T05:04:00Z"/>
        <d v="2011-12-11T01:47:00Z"/>
        <d v="2011-10-28T18:54:00Z"/>
        <d v="2011-10-23T10:41:00Z"/>
        <d v="2011-10-14T03:35:00Z"/>
        <d v="2011-09-18T12:40:00Z"/>
        <d v="2011-09-16T19:26:00Z"/>
        <d v="2011-09-05T17:55:00Z"/>
        <d v="2011-09-03T22:55:00Z"/>
        <d v="2011-08-24T17:46:00Z"/>
        <d v="2011-08-20T18:19:00Z"/>
        <d v="2011-08-20T17:13:00Z"/>
        <d v="2011-08-20T16:55:00Z"/>
        <d v="2011-07-31T23:38:00Z"/>
        <d v="2011-07-06T19:03:00Z"/>
        <d v="2011-06-22T21:50:00Z"/>
        <d v="2011-05-10T08:55:00Z"/>
        <d v="2011-04-23T04:16:00Z"/>
        <d v="2011-04-11T08:16:00Z"/>
        <d v="2011-04-07T14:32:00Z"/>
        <d v="2011-04-07T13:11:00Z"/>
        <d v="2011-03-24T13:55:00Z"/>
        <d v="2011-03-11T11:36:00Z"/>
        <d v="2011-03-11T08:19:00Z"/>
        <d v="2011-03-11T06:25:00Z"/>
        <d v="2011-03-11T06:15:00Z"/>
        <d v="2011-03-11T05:46:00Z"/>
        <d v="2011-03-09T02:45:00Z"/>
        <d v="2011-02-14T03:40:00Z"/>
        <d v="2011-02-11T20:05:00Z"/>
        <d v="2011-01-18T20:23:00Z"/>
        <d v="2011-01-13T16:16:00Z"/>
        <d v="2011-01-02T20:20:00Z"/>
        <d v="2010-12-25T13:16:00Z"/>
        <d v="2010-12-20T18:41:00Z"/>
        <d v="2010-12-02T03:12:00Z"/>
        <d v="2010-10-25T14:42:00Z"/>
        <d v="2010-10-21T17:53:00Z"/>
        <d v="2010-09-29T17:11:00Z"/>
        <d v="2010-09-03T16:35:00Z"/>
        <d v="2010-08-12T11:54:00Z"/>
        <d v="2010-08-10T05:23:00Z"/>
        <d v="2010-08-04T22:01:00Z"/>
        <d v="2010-08-04T07:15:00Z"/>
        <d v="2010-07-23T22:51:00Z"/>
        <d v="2010-07-18T13:34:00Z"/>
        <d v="2010-07-18T13:04:00Z"/>
        <d v="2010-07-14T08:32:00Z"/>
        <d v="2010-06-26T05:30:00Z"/>
        <d v="2010-06-16T03:58:00Z"/>
        <d v="2010-06-16T03:16:00Z"/>
        <d v="2010-06-12T19:26:00Z"/>
        <d v="2010-05-27T17:14:00Z"/>
        <d v="2010-05-09T05:59:00Z"/>
        <d v="2010-04-13T23:49:00Z"/>
        <d v="2010-04-11T09:40:00Z"/>
        <d v="2010-04-06T22:15:00Z"/>
        <d v="2010-04-04T22:40:00Z"/>
        <d v="2010-03-30T16:54:00Z"/>
        <d v="2010-03-16T02:21:00Z"/>
        <d v="2010-03-14T08:08:00Z"/>
        <d v="2010-03-11T14:55:00Z"/>
        <d v="2010-03-11T14:39:00Z"/>
        <d v="2010-03-05T16:07:00Z"/>
        <d v="2010-03-05T11:47:00Z"/>
        <d v="2010-03-04T14:02:00Z"/>
        <d v="2010-02-27T08:01:00Z"/>
        <d v="2010-02-27T06:34:00Z"/>
        <d v="2010-02-26T20:31:00Z"/>
        <d v="2010-01-12T21:53:00Z"/>
        <d v="2010-01-10T00:27:00Z"/>
        <d v="2010-01-05T12:15:00Z"/>
        <d v="2010-01-03T22:36:00Z"/>
        <d v="2010-01-03T21:48:00Z"/>
        <d v="2009-11-13T03:05:00Z"/>
        <d v="2009-11-09T10:44:00Z"/>
        <d v="2009-11-08T19:41:00Z"/>
        <d v="2009-10-30T07:03:00Z"/>
        <d v="2009-10-24T14:40:00Z"/>
        <d v="2009-10-08T08:28:00Z"/>
        <d v="2009-10-07T23:13:00Z"/>
        <d v="2009-10-07T22:18:00Z"/>
        <d v="2009-10-07T22:03:00Z"/>
        <d v="2009-10-01T01:52:00Z"/>
        <d v="2009-09-30T10:16:00Z"/>
        <d v="2009-09-29T17:48:00Z"/>
        <d v="2009-09-02T07:55:00Z"/>
        <d v="2009-08-16T07:38:00Z"/>
        <d v="2009-08-12T22:48:00Z"/>
        <d v="2009-08-10T19:55:00Z"/>
        <d v="2009-08-09T10:55:00Z"/>
        <d v="2009-08-03T17:59:00Z"/>
        <d v="2009-07-15T09:22:00Z"/>
        <d v="2009-06-23T14:19:00Z"/>
        <d v="2009-05-28T08:24:00Z"/>
        <d v="2009-03-19T18:17:00Z"/>
        <d v="2009-02-11T17:34:00Z"/>
        <d v="2009-01-03T22:33:00Z"/>
        <d v="2009-01-03T20:23:00Z"/>
        <d v="2009-01-03T19:43:00Z"/>
        <d v="2008-11-16T17:02:00Z"/>
        <d v="2008-10-16T19:41:00Z"/>
        <d v="2008-10-05T15:52:00Z"/>
        <d v="2008-09-11T00:20:00Z"/>
        <d v="2008-09-11T00:00:00Z"/>
        <d v="2008-09-08T18:52:00Z"/>
        <d v="2008-08-25T13:21:00Z"/>
        <d v="2008-07-23T15:26:00Z"/>
        <d v="2008-07-19T02:39:00Z"/>
        <d v="2008-06-27T11:40:00Z"/>
        <d v="2008-06-13T23:43:00Z"/>
        <d v="2008-05-12T06:28:00Z"/>
        <d v="2008-05-07T16:45:00Z"/>
        <d v="2008-04-09T12:46:00Z"/>
        <d v="2008-03-20T22:32:00Z"/>
        <d v="2008-03-03T14:11:00Z"/>
        <d v="2008-02-25T21:02:00Z"/>
        <d v="2008-02-25T18:06:00Z"/>
        <d v="2008-02-25T08:36:00Z"/>
        <d v="2008-02-24T14:46:00Z"/>
        <d v="2008-02-20T08:08:00Z"/>
        <d v="2008-02-14T12:08:00Z"/>
        <d v="2008-02-14T10:09:00Z"/>
        <d v="2008-02-12T12:50:00Z"/>
        <d v="2007-12-20T07:55:00Z"/>
        <d v="2007-12-16T08:09:00Z"/>
        <d v="2007-11-29T19:00:00Z"/>
        <d v="2007-11-27T11:49:00Z"/>
        <d v="2007-11-25T19:53:00Z"/>
        <d v="2007-11-25T16:02:00Z"/>
        <d v="2007-11-22T08:48:00Z"/>
        <d v="2007-11-16T03:13:00Z"/>
        <d v="2007-11-15T15:05:00Z"/>
        <d v="2007-11-14T15:40:00Z"/>
        <d v="2007-10-24T21:02:00Z"/>
        <d v="2007-10-15T12:29:00Z"/>
        <d v="2007-09-26T12:36:00Z"/>
        <d v="2007-09-20T08:31:00Z"/>
        <d v="2007-09-13T03:35:00Z"/>
        <d v="2007-09-13T02:30:00Z"/>
        <d v="2007-09-12T23:49:00Z"/>
        <d v="2007-09-12T11:10:00Z"/>
        <d v="2007-09-10T01:49:00Z"/>
        <d v="2007-09-02T01:05:00Z"/>
        <d v="2007-08-16T08:39:00Z"/>
        <d v="2007-08-15T23:40:00Z"/>
        <d v="2007-08-08T17:05:00Z"/>
        <d v="2007-08-01T17:08:00Z"/>
        <d v="2007-07-26T05:40:00Z"/>
        <d v="2007-07-16T14:17:00Z"/>
        <d v="2007-07-16T01:13:00Z"/>
        <d v="2007-06-13T19:29:00Z"/>
        <d v="2007-04-01T21:11:00Z"/>
        <d v="2007-04-01T20:47:00Z"/>
        <d v="2007-04-01T20:39:00Z"/>
        <d v="2007-03-25T00:41:00Z"/>
        <d v="2007-03-25T00:40:00Z"/>
        <d v="2007-02-20T08:04:00Z"/>
        <d v="2007-01-21T11:27:00Z"/>
        <d v="2007-01-13T04:23:00Z"/>
        <d v="2006-12-26T12:34:00Z"/>
        <d v="2006-12-26T12:26:00Z"/>
        <d v="2006-11-15T11:14:00Z"/>
        <d v="2006-11-07T17:38:00Z"/>
        <d v="2006-10-20T10:48:00Z"/>
        <d v="2006-10-17T01:25:00Z"/>
        <d v="2006-10-15T17:07:00Z"/>
        <d v="2006-09-28T06:22:00Z"/>
        <d v="2006-09-01T10:18:00Z"/>
        <d v="2006-08-24T21:50:00Z"/>
        <d v="2006-08-07T22:18:00Z"/>
        <d v="2006-07-17T08:19:00Z"/>
        <d v="2006-05-28T03:12:00Z"/>
        <d v="2006-05-22T11:12:00Z"/>
        <d v="2006-05-16T15:28:00Z"/>
        <d v="2006-05-03T15:26:00Z"/>
        <d v="2006-04-30T21:40:00Z"/>
        <d v="2006-04-30T19:17:00Z"/>
        <d v="2006-04-29T16:58:00Z"/>
        <d v="2006-04-20T23:25:00Z"/>
        <d v="2006-04-07T08:30:00Z"/>
        <d v="2006-03-14T06:57:00Z"/>
        <d v="2006-02-22T22:19:00Z"/>
        <d v="2006-01-08T11:34:00Z"/>
        <d v="2006-01-04T08:32:00Z"/>
        <d v="2005-12-12T21:47:00Z"/>
        <d v="2005-12-05T12:19:00Z"/>
        <d v="2005-12-02T13:13:00Z"/>
        <d v="2005-11-19T14:10:00Z"/>
        <d v="2005-11-17T19:26:00Z"/>
        <d v="2005-10-08T03:50:00Z"/>
        <d v="2005-09-29T15:50:00Z"/>
        <d v="2005-09-26T01:55:00Z"/>
        <d v="2005-09-09T07:26:00Z"/>
        <d v="2005-08-16T02:46:00Z"/>
        <d v="2005-07-24T15:42:00Z"/>
        <d v="2005-07-05T01:52:00Z"/>
        <d v="2005-07-02T02:16:00Z"/>
        <d v="2005-06-15T02:50:00Z"/>
        <d v="2005-06-13T22:44:00Z"/>
        <d v="2005-05-19T01:54:00Z"/>
        <d v="2005-05-14T05:05:00Z"/>
        <d v="2005-04-10T11:14:00Z"/>
        <d v="2005-04-10T10:29:00Z"/>
        <d v="2005-03-28T16:09:00Z"/>
        <d v="2005-03-20T01:53:00Z"/>
        <d v="2005-03-02T10:42:00Z"/>
        <d v="2005-02-26T12:56:00Z"/>
        <d v="2005-02-19T00:04:00Z"/>
        <d v="2005-02-15T14:42:00Z"/>
        <d v="2005-02-08T14:48:00Z"/>
        <d v="2005-02-05T12:23:00Z"/>
        <d v="2005-01-19T06:11:00Z"/>
        <d v="2004-12-26T09:20:00Z"/>
        <d v="2004-12-26T04:21:00Z"/>
        <d v="2004-12-26T00:58:00Z"/>
        <d v="2004-12-23T14:59:00Z"/>
        <d v="2004-12-14T23:20:00Z"/>
        <d v="2004-12-06T14:15:00Z"/>
        <d v="2004-11-28T18:32:00Z"/>
        <d v="2004-11-26T02:25:00Z"/>
        <d v="2004-11-22T20:26:00Z"/>
        <d v="2004-11-15T09:06:00Z"/>
        <d v="2004-11-11T21:26:00Z"/>
        <d v="2004-11-11T17:34:00Z"/>
        <d v="2004-11-02T10:02:00Z"/>
        <d v="2004-10-23T08:56:00Z"/>
        <d v="2004-10-15T04:08:00Z"/>
        <d v="2004-10-09T21:26:00Z"/>
        <d v="2004-10-08T14:36:00Z"/>
        <d v="2004-10-08T08:27:00Z"/>
        <d v="2004-09-06T23:29:00Z"/>
        <d v="2004-09-05T14:57:00Z"/>
        <d v="2004-09-05T10:07:00Z"/>
        <d v="2004-08-28T13:41:00Z"/>
        <d v="2004-07-28T03:56:00Z"/>
        <d v="2004-06-10T15:19:00Z"/>
        <d v="2004-05-03T04:36:00Z"/>
        <d v="2004-04-23T01:50:00Z"/>
        <d v="2004-04-09T15:23:00Z"/>
        <d v="2004-04-05T21:24:00Z"/>
        <d v="2004-02-08T08:58:00Z"/>
        <d v="2004-02-07T02:42:00Z"/>
        <d v="2004-02-05T21:05:00Z"/>
        <d v="2004-01-28T22:15:00Z"/>
        <d v="2003-12-27T16:00:00Z"/>
        <d v="2003-12-26T01:56:00Z"/>
        <d v="2003-12-25T07:11:00Z"/>
        <d v="2003-12-22T19:15:00Z"/>
        <d v="2003-12-10T04:38:00Z"/>
        <d v="2003-11-25T20:19:00Z"/>
        <d v="2003-11-18T17:14:00Z"/>
        <d v="2003-11-06T10:38:00Z"/>
        <d v="2003-10-31T01:06:00Z"/>
        <d v="2003-10-08T09:06:00Z"/>
        <d v="2003-10-01T01:03:00Z"/>
        <d v="2003-09-29T02:36:00Z"/>
        <d v="2003-09-27T11:33:00Z"/>
        <d v="2003-09-25T21:08:00Z"/>
        <d v="2003-09-25T19:50:00Z"/>
        <d v="2003-09-21T18:16:00Z"/>
        <d v="2003-08-21T12:12:00Z"/>
        <d v="2003-08-04T04:37:00Z"/>
        <d v="2003-07-15T18:46:00Z"/>
        <d v="2003-06-20T13:30:00Z"/>
        <d v="2003-06-16T22:08:00Z"/>
        <d v="2003-06-07T00:32:00Z"/>
        <d v="2003-05-26T19:23:00Z"/>
        <d v="2003-05-26T09:24:00Z"/>
        <d v="2003-05-21T18:44:00Z"/>
        <d v="2003-03-25T02:53:00Z"/>
        <d v="2003-03-11T07:27:00Z"/>
        <d v="2003-01-22T02:06:00Z"/>
        <d v="2003-01-21T02:46:00Z"/>
        <d v="2003-01-20T08:43:00Z"/>
        <d v="2003-01-10T13:11:00Z"/>
        <d v="2002-12-12T08:30:00Z"/>
        <d v="2002-11-03T22:12:00Z"/>
        <d v="2002-11-02T01:26:00Z"/>
        <d v="2002-10-23T11:27:00Z"/>
        <d v="2002-10-10T12:28:00Z"/>
        <d v="2002-10-10T10:50:00Z"/>
        <d v="2002-09-13T22:28:00Z"/>
        <d v="2002-09-08T18:44:00Z"/>
        <d v="2002-08-14T13:57:00Z"/>
        <d v="2002-07-31T00:16:00Z"/>
        <d v="2002-06-22T02:58:00Z"/>
        <d v="2002-06-18T13:56:00Z"/>
        <d v="2002-06-17T21:26:00Z"/>
        <d v="2002-04-26T16:06:00Z"/>
        <d v="2002-04-18T16:08:00Z"/>
        <d v="2002-04-18T05:02:00Z"/>
        <d v="2002-03-31T06:52:00Z"/>
        <d v="2002-03-28T04:56:00Z"/>
        <d v="2002-03-05T21:16:00Z"/>
        <d v="2002-03-03T12:08:00Z"/>
        <d v="2002-02-05T13:27:00Z"/>
        <d v="2002-02-03T07:11:00Z"/>
        <d v="2002-01-10T11:14:00Z"/>
        <d v="2002-01-03T10:17:00Z"/>
        <d v="2002-01-02T17:22:00Z"/>
        <d v="2001-12-23T22:52:00Z"/>
        <d v="2001-12-18T04:02:00Z"/>
        <d v="2001-12-02T13:01:00Z"/>
        <d v="2001-11-14T09:26:00Z"/>
        <d v="2001-10-31T09:10:00Z"/>
        <d v="2001-10-19T03:28:00Z"/>
        <d v="2001-10-12T15:02:00Z"/>
        <d v="2001-09-11T14:56:00Z"/>
        <d v="2001-07-28T07:32:00Z"/>
        <d v="2001-07-26T00:21:00Z"/>
        <d v="2001-07-07T09:38:00Z"/>
        <d v="2001-07-05T13:53:00Z"/>
        <d v="2001-06-26T04:18:00Z"/>
        <d v="2001-06-23T20:33:00Z"/>
        <d v="2001-04-19T21:43:00Z"/>
        <d v="2001-03-24T06:27:00Z"/>
        <d v="2001-03-19T05:52:00Z"/>
        <d v="2001-02-28T18:54:00Z"/>
        <d v="2001-02-24T07:23:00Z"/>
        <d v="2001-02-13T19:28:00Z"/>
        <d v="2001-02-13T14:22:00Z"/>
        <d v="2001-01-26T03:16:00Z"/>
        <d v="2001-01-16T13:25:00Z"/>
        <d v="2001-01-13T17:33:00Z"/>
        <d v="2001-01-10T16:02:00Z"/>
        <d v="2001-01-09T16:49:00Z"/>
        <d v="2001-01-01T08:54:00Z"/>
        <d v="2001-01-01T06:57:00Z"/>
        <d v="2000-12-06T22:57:00Z"/>
        <d v="2000-12-06T17:11:00Z"/>
        <d v="2000-11-25T18:10:00Z"/>
        <d v="2000-11-25T18:09:00Z"/>
        <d v="2000-11-18T06:54:00Z"/>
        <d v="2000-11-18T02:05:00Z"/>
        <d v="2000-11-17T21:01:00Z"/>
        <d v="2000-11-16T07:45:00Z"/>
        <d v="2000-11-16T07:42:00Z"/>
        <d v="2000-11-16T04:54:00Z"/>
        <d v="2000-11-08T06:59:00Z"/>
        <d v="2000-10-29T08:37:00Z"/>
        <d v="2000-10-25T09:32:00Z"/>
        <d v="2000-10-06T04:30:00Z"/>
        <d v="2000-10-04T16:58:00Z"/>
        <d v="2000-10-02T02:25:00Z"/>
        <d v="2000-08-28T15:05:00Z"/>
        <d v="2000-08-09T11:41:00Z"/>
        <d v="2000-08-04T21:13:00Z"/>
        <d v="2000-08-03T01:09:00Z"/>
        <d v="2000-07-30T12:25:00Z"/>
        <d v="2000-07-16T03:57:00Z"/>
        <d v="2000-07-11T01:32:00Z"/>
        <d v="2000-06-21T00:51:00Z"/>
        <d v="2000-06-18T14:44:00Z"/>
        <d v="2000-06-17T15:40:00Z"/>
        <d v="2000-06-07T23:45:00Z"/>
        <d v="2000-06-04T16:39:00Z"/>
        <d v="2000-06-04T16:28:00Z"/>
        <d v="2000-05-12T18:43:00Z"/>
        <d v="2000-05-04T04:21:00Z"/>
        <d v="2000-03-03T22:22:00Z"/>
        <d v="2000-02-06T11:33:00Z"/>
        <d v="2000-01-28T14:21:00Z"/>
        <d v="2000-01-08T16:47:00Z"/>
        <d v="1999-12-29T13:29:00Z"/>
        <d v="1999-12-21T14:14:00Z"/>
        <d v="1999-12-11T18:03:00Z"/>
        <d v="1999-12-06T23:12:00Z"/>
        <d v="1999-11-30T04:01:00Z"/>
        <d v="1999-11-26T13:21:00Z"/>
        <d v="1999-11-19T13:56:00Z"/>
        <d v="1999-11-17T03:27:00Z"/>
        <d v="1999-11-12T16:57:00Z"/>
        <d v="1999-11-08T16:45:00Z"/>
        <d v="1999-10-16T09:46:00Z"/>
        <d v="1999-09-30T16:31:00Z"/>
        <d v="1999-09-25T23:52:00Z"/>
        <d v="1999-09-20T17:47:00Z"/>
        <d v="1999-08-22T12:40:00Z"/>
        <d v="1999-08-20T10:02:00Z"/>
        <d v="1999-08-17T00:01:00Z"/>
        <d v="1999-07-11T14:14:00Z"/>
        <d v="1999-06-15T20:42:00Z"/>
        <d v="1999-05-17T10:07:00Z"/>
        <d v="1999-05-16T00:51:00Z"/>
        <d v="1999-05-10T20:33:00Z"/>
        <d v="1999-04-13T10:38:00Z"/>
        <d v="1999-04-05T11:08:00Z"/>
        <d v="1999-04-03T06:17:00Z"/>
        <d v="1999-03-28T19:05:00Z"/>
        <d v="1999-03-20T10:47:00Z"/>
        <d v="1999-03-08T12:25:00Z"/>
        <d v="1999-03-04T08:52:00Z"/>
        <d v="1999-03-04T05:38:00Z"/>
        <d v="1999-02-06T21:47:00Z"/>
        <d v="1999-01-28T08:10:00Z"/>
        <d v="1999-01-19T03:35:00Z"/>
        <d v="1998-12-27T00:38:00Z"/>
        <d v="1998-11-29T14:10:00Z"/>
        <d v="1998-11-09T05:38:00Z"/>
        <d v="1998-11-09T05:30:00Z"/>
        <d v="1998-09-28T13:34:00Z"/>
        <d v="1998-09-03T17:37:00Z"/>
        <d v="1998-09-02T08:37:00Z"/>
        <d v="1998-08-04T18:59:00Z"/>
        <d v="1998-07-29T18:00:00Z"/>
        <d v="1998-07-17T08:49:00Z"/>
        <d v="1998-07-16T11:56:00Z"/>
        <d v="1998-05-30T06:22:00Z"/>
        <d v="1998-05-22T04:48:00Z"/>
        <d v="1998-05-21T05:34:00Z"/>
        <d v="1998-05-13T23:02:00Z"/>
        <d v="1998-05-03T23:30:00Z"/>
        <d v="1998-04-03T22:01:00Z"/>
        <d v="1998-04-01T17:56:00Z"/>
        <d v="1998-03-14T19:40:00Z"/>
        <d v="1998-01-30T12:16:00Z"/>
        <d v="1998-01-12T16:36:00Z"/>
        <d v="1998-01-12T10:14:00Z"/>
        <d v="1998-01-10T08:20:00Z"/>
        <d v="1997-12-22T02:05:00Z"/>
        <d v="1997-12-05T11:26:00Z"/>
        <d v="1997-11-25T12:14:00Z"/>
        <d v="1997-11-18T13:07:00Z"/>
        <d v="1997-11-15T18:59:00Z"/>
        <d v="1997-11-09T22:56:00Z"/>
        <d v="1997-11-08T10:02:00Z"/>
        <d v="1997-10-28T06:15:00Z"/>
        <d v="1997-10-15T01:03:00Z"/>
        <d v="1997-10-14T09:53:00Z"/>
        <d v="1997-10-06T12:30:00Z"/>
        <d v="1997-09-02T12:13:00Z"/>
        <d v="1997-08-29T08:14:00Z"/>
        <d v="1997-07-19T14:22:00Z"/>
        <d v="1997-07-09T19:24:00Z"/>
        <d v="1997-07-06T09:54:00Z"/>
        <d v="1997-05-22T07:50:00Z"/>
        <d v="1997-05-21T14:10:00Z"/>
        <d v="1997-05-13T14:13:00Z"/>
        <d v="1997-05-10T07:57:00Z"/>
        <d v="1997-04-23T19:44:00Z"/>
        <d v="1997-04-22T09:31:00Z"/>
        <d v="1997-04-21T12:02:00Z"/>
        <d v="1997-04-05T12:23:00Z"/>
        <d v="1997-03-11T19:22:00Z"/>
        <d v="1997-02-27T21:08:00Z"/>
        <d v="1997-02-04T10:37:00Z"/>
        <d v="1997-01-11T20:28:00Z"/>
        <d v="1996-12-22T14:53:00Z"/>
        <d v="1996-12-02T22:17:00Z"/>
        <d v="1996-11-19T10:44:00Z"/>
        <d v="1996-11-12T16:59:00Z"/>
        <d v="1996-10-19T14:44:00Z"/>
        <d v="1996-10-18T10:50:00Z"/>
        <d v="1996-10-14T23:26:00Z"/>
        <d v="1996-10-09T13:10:00Z"/>
        <d v="1996-09-20T04:11:00Z"/>
        <d v="1996-09-20T04:10:00Z"/>
        <d v="1996-09-05T23:42:00Z"/>
        <d v="1996-08-02T12:55:00Z"/>
        <d v="1996-07-22T14:19:00Z"/>
        <d v="1996-07-16T10:07:00Z"/>
        <d v="1996-07-15T21:23:00Z"/>
        <d v="1996-06-17T11:22:00Z"/>
        <d v="1996-06-11T18:22:00Z"/>
        <d v="1996-06-10T15:24:00Z"/>
        <d v="1996-06-10T04:03:00Z"/>
        <d v="1996-06-10T01:04:00Z"/>
        <d v="1996-04-29T14:40:00Z"/>
        <d v="1996-04-19T00:19:00Z"/>
        <d v="1996-03-17T14:48:00Z"/>
        <d v="1996-03-03T16:37:00Z"/>
        <d v="1996-03-03T14:55:00Z"/>
        <d v="1996-02-25T03:08:00Z"/>
        <d v="1996-02-21T12:51:00Z"/>
        <d v="1996-02-17T20:18:00Z"/>
        <d v="1996-02-17T14:21:00Z"/>
        <d v="1996-02-17T05:59:00Z"/>
        <d v="1996-02-16T15:22:00Z"/>
        <d v="1996-02-07T21:36:00Z"/>
        <d v="1996-02-03T11:14:00Z"/>
        <d v="1996-01-01T09:57:00Z"/>
        <d v="1996-01-01T08:05:00Z"/>
        <d v="1995-12-25T04:43:00Z"/>
        <d v="1995-12-19T23:28:00Z"/>
        <d v="1995-12-03T18:01:00Z"/>
        <d v="1995-11-22T04:15:00Z"/>
        <d v="1995-11-01T00:35:00Z"/>
        <d v="1995-10-21T02:38:00Z"/>
        <d v="1995-10-19T02:41:00Z"/>
        <d v="1995-10-18T10:37:00Z"/>
        <d v="1995-10-09T15:35:00Z"/>
        <d v="1995-10-06T18:09:00Z"/>
        <d v="1995-10-03T12:44:00Z"/>
        <d v="1995-10-03T01:51:00Z"/>
        <d v="1995-09-23T22:31:00Z"/>
        <d v="1995-09-14T14:04:00Z"/>
        <d v="1995-08-28T10:46:00Z"/>
        <d v="1995-08-19T21:43:00Z"/>
        <d v="1995-08-16T23:10:00Z"/>
        <d v="1995-08-16T16:24:00Z"/>
        <d v="1995-08-16T10:27:00Z"/>
        <d v="1995-08-14T04:37:00Z"/>
        <d v="1995-07-30T05:11:00Z"/>
        <d v="1995-07-11T21:46:00Z"/>
        <d v="1995-06-29T12:24:00Z"/>
        <d v="1995-06-15T00:15:00Z"/>
        <d v="1995-05-27T13:03:00Z"/>
        <d v="1995-05-16T20:12:00Z"/>
        <d v="1995-05-14T11:33:00Z"/>
        <d v="1995-05-13T08:47:00Z"/>
        <d v="1995-05-05T03:53:00Z"/>
      </sharedItems>
    </cacheField>
    <cacheField name="converted_is_number" numFmtId="0">
      <sharedItems>
        <b v="1"/>
      </sharedItems>
    </cacheField>
    <cacheField name="raw_date_is_number" numFmtId="0">
      <sharedItems>
        <b v="0"/>
        <b v="1"/>
      </sharedItems>
    </cacheField>
    <cacheField name="title_pattern" numFmtId="0">
      <sharedItems>
        <s v="Distance/Location"/>
        <s v="Named Region"/>
      </sharedItems>
    </cacheField>
    <cacheField name="magType_normalized" numFmtId="0">
      <sharedItems>
        <s v="mww"/>
        <s v="mi"/>
        <s v="mwc"/>
        <s v="mwb"/>
        <s v="ml"/>
        <s v="mw"/>
        <s v="ms"/>
        <s v="mb"/>
        <s v="m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03" sheet="Raw_Data"/>
  </cacheSource>
  <cacheFields>
    <cacheField name="title" numFmtId="0">
      <sharedItems containsBlank="1">
        <s v="M 6.5 - 42 km W of Sola, Vanuatu"/>
        <s v="M 6.5 - 43 km S of Intipucá, El Salvador"/>
        <s v="M 6.6 - 25 km ESE of Loncopué, Argentina"/>
        <s v="M 7.2 - 98 km S of Sand Point, Alaska"/>
        <s v="M 7.3 - Alaska Peninsula"/>
        <s v="M 6.6 - 277 km NNE of Codrington, Antigua and Barbuda"/>
        <s v="M 6.9 - Tonga"/>
        <s v="M 7.2 - south of the Fiji Islands"/>
        <s v="M 6.6 - Panama-Colombia border region"/>
        <s v="M 7.1 - southeast of the Loyalty Islands"/>
        <s v="M 7.7 - southeast of the Loyalty Islands"/>
        <s v="M 7.6 - 95 km WNW of Hihifo, Tonga"/>
        <s v="M 6.6 - south of the Fiji Islands"/>
        <s v="M 7.1 - 170 km SSE of Teluk Dalam, Indonesia"/>
        <s v="M 7.1 - Kermadec Islands, New Zealand"/>
        <s v="M 6.7 - south of the Fiji Islands"/>
        <s v="M 7.0 - 96 km N of Tuban, Indonesia"/>
        <s v="M 6.5 - near the east coast of the Kamchatka Peninsula, Russia"/>
        <s v="M 7.0 - New Guinea, Papua New Guinea"/>
        <s v="M 6.5 - 84 km NNW of San Antonio de los Cobres, Argentina"/>
        <s v="M 6.5 - 40 km SSE of Jurm, Afghanistan"/>
        <s v="M 6.8 - near the coast of Ecuador"/>
        <s v="M 7.0 - Kermadec Islands region"/>
        <s v="M 6.9 - Kermadec Islands, New Zealand"/>
        <s v="M 6.5 - 86 km WSW of Port-Olry, Vanuatu"/>
        <s v="M 6.5 - 108 km NW of Kimbe, Papua New Guinea"/>
        <s v="M 6.8 - 67 km W of Murghob, Tajikistan"/>
        <s v="M 7.5 - 4 km SSE of Ekinözü, Turkey"/>
        <s v="M 6.7 - 18 km ESE of Nurdağı, Turkey"/>
        <s v="M 7.8 - Central Turkey"/>
        <s v="M 6.8 -"/>
        <s v="M 7.0 - 153 km NW of Tobelo, Indonesia"/>
        <s v="M 7.6 - Pulau Pulau Tanimbar, Indonesia"/>
        <s v="M 7.0 - Vanuatu"/>
        <s v="M 6.8 - 109 km NE of Hihifo, Tonga"/>
        <s v="M 7.0 - 18 km SW of Malango, Solomon Islands"/>
        <s v="M 6.9 - 204 km SW of Bengkulu, Indonesia"/>
        <s v="M 7.0 -"/>
        <s v="M 7.3 - 205 km ESE of Neiafu, Tonga"/>
        <s v="M 6.6 -"/>
        <s v="M 7.0 - south of the Fiji Islands"/>
        <s v="M 6.8 - south of the Fiji Islands"/>
        <s v="M 6.7 - 60 km SSW of Boca Chica, Panama"/>
        <s v="M 6.8 - 55 km SSW of Aguililla, Mexico"/>
        <s v="M 7.6 - 35 km SSW of Aguililla, Mexico"/>
        <s v="M 6.9 - 90 km E of Yujing, Taiwan"/>
        <s v="M 6.5 - 96 km SE of Lugu, Taiwan"/>
        <s v="M 7.0 - 209 km SSE of Isangel, Vanuatu"/>
        <s v="M 7.6 - 70 km E of Kainantu, Papua New Guinea"/>
        <s v="M 6.6 - 44 km SE of Kangding, China"/>
        <s v="M 6.6 - south of the Kermadec Islands"/>
        <s v="M 7.0 - 11 km NE of Bantay, Philippines"/>
        <s v="M 6.5 - 107 km SSW of Tarauacá, Brazil"/>
        <s v="M 7.2 - 10 km W of Azángaro, Peru"/>
        <s v="M 6.9 -"/>
        <s v="M 6.8 - 86 km NNW of San Antonio de los Cobres, Argentina"/>
        <s v="M 6.6 - 55 km WSW of Masachapa, Nicaragua"/>
        <s v="M 7.0 - southeast of the Loyalty Islands"/>
        <s v="M 6.9 - 284 km ESE of Tadine, New Caledonia"/>
        <s v="M 6.7 - 65 km S of Hualien City, Taiwan"/>
        <s v="M 7.3 - 57 km ENE of Namie, Japan"/>
        <s v="M 6.7 - 166 km W of Pariaman, Indonesia"/>
        <s v="M 6.6 - Kermadec Islands, New Zealand"/>
        <s v="M 6.5 - 49 km NW of Barranca, Peru"/>
        <s v="M 6.5 - Kermadec Islands region"/>
        <s v="M 6.6 - 80 km SW of Labuan, Indonesia"/>
        <s v="M 6.5 - 71 km SE of Nikolski, Alaska"/>
        <s v="M 6.6 - 53 km SE of Nikolski, Alaska"/>
        <s v="M 6.7 - 91 km SE of Nikolski, Alaska"/>
        <s v="M 6.8 - 100 km SE of Nikolski, Alaska"/>
        <s v="M 6.6 - 48 km WNW of Pólis, Cyprus"/>
        <s v="M 6.6 - northern Qinghai, China"/>
        <s v="M 7.3 - 125 km NNE of Lospalos, Timor Leste"/>
        <s v="M 7.3 - Flores Sea"/>
        <s v="M 7.5 - 43 km NNW of Barranca, Peru"/>
        <s v="M 6.6 - 177 km SE of Hirara, Japan"/>
        <s v="M 6.9 - 112 km E of Chignik, Alaska"/>
        <s v="M 6.9 - Vanuatu region"/>
        <s v="M 7.3 - Vanuatu region"/>
        <s v="M 6.5 - 80 km SW of Jiquilillo, Nicaragua"/>
        <s v="M 7.0 - Acapulco, Mexico"/>
        <s v="M 7.1 - South Sandwich Islands region"/>
        <s v="M 6.6 - South Sandwich Islands region"/>
        <s v="M 6.9 - 17 km N of Port-Olry, Vanuatu"/>
        <s v="M 6.9 - South Sandwich Islands region"/>
        <s v="M 7.2 - Nippes, Haiti"/>
        <s v="M 6.9 - 136 km SE of Perryville, Alaska"/>
        <s v="M 6.9 - 125 km SE of Perryville, Alaska"/>
        <s v="M 8.1 - South Sandwich Islands region"/>
        <s v="M 7.5 - South Sandwich Islands region"/>
        <s v="M 7.1 - 60 km ENE of Pondaguitan, Philippines"/>
        <s v="M 8.2 - 91 km ESE of Perryville, Alaska"/>
        <s v="M 8.2 - 99 km SE of Perryville, Alaska"/>
        <s v="M 6.7 - 15 km S of Hukay, Philippines"/>
        <s v="M 6.7 - 71 km S of Burica, Panama"/>
        <s v="M 6.5 - Kermadec Islands, New Zealand"/>
        <s v="M 6.5 - 265 km SSE of Alo, Wallis and Futuna"/>
        <s v="M 7.3 - Southern Qinghai, China"/>
        <s v="M 6.7 - 260 km S of Sinabang, Indonesia"/>
        <s v="M 6.7 - Mauritius - Reunion region"/>
        <s v="M 6.5 - 207 km WSW of Haveluloto, Tonga"/>
        <s v="M 6.5 - 225 km WNW of Pangai, Tonga"/>
        <s v="M 7.0 - 30 km E of Ishinomaki, Japan"/>
        <s v="M 6.6 - 171 km SSE of Ust’-Kamchatsk Staryy, Russia"/>
        <s v="M 8.1 - Kermadec Islands, New Zealand"/>
        <s v="M 7.4 - Kermadec Islands, New Zealand"/>
        <s v="M 7.3 - 182 km NE of Gisborne, New Zealand"/>
        <s v="M 7.1 - 73 km ENE of Namie, Japan"/>
        <s v="M 6.9 - South Shetland Islands"/>
        <s v="M 7.0 - 211 km SE of Pondaguitan, Philippines"/>
        <s v="M 6.7 - 29 km SSW of Turt, Mongolia"/>
        <s v="M 6.7 - 146 km WNW of Corral, Chile"/>
        <s v="M 7.0 - 13 km NNE of Néon Karlovásion, Greece"/>
        <s v="M 7.6 - 99 km SE of Sand Point, Alaska"/>
        <s v="M 6.9 - central Mid-Atlantic Ridge"/>
        <s v="M 6.5 - 94 km NW of Vallenar, Chile"/>
        <s v="M 6.8 - 86 km NW of Vallenar, Chile"/>
        <s v="M 6.5 - central Mid-Atlantic Ridge"/>
        <s v="M 6.9 - 222 km SSE of Katabu, Indonesia"/>
        <s v="M 6.9 - 122 km WSW of Bengkulu, Indonesia"/>
        <s v="M 6.8 - 138 km WSW of Bengkulu, Indonesia"/>
        <s v="M 6.6 - 13 km E of San Pedro, Philippines"/>
        <s v="M 7.8 - 99 km SSE of Perryville, Alaska"/>
        <s v="M 7.0 - 114 km NNW of Popondetta, Papua New Guinea"/>
        <s v="M 6.6 - 97 km N of Batang, Indonesia"/>
        <s v="M 7.4 - 9 km SE of Santa María Xadani, Mexico"/>
        <s v="M 7.4 - south of the Kermadec Islands"/>
        <s v="M 6.6 - 130 km WNW of Naze, Japan"/>
        <s v="M 6.8 - 48 km SW of San Pedro de Atacama, Chile"/>
        <s v="M 6.5 - Monte Cristo Range, NV Earthquake"/>
        <s v="M 6.6 - 175 km SSE of Lata, Solomon Islands"/>
        <s v="M 6.8 - Banda Sea"/>
        <s v="M 6.5 - 91 km S of Néa Anatolí, Greece"/>
        <s v="M 6.5 - Stanley, Idaho"/>
        <s v="M 7.5 - 221 km SSE of Severo-Kuril’sk, Russia"/>
        <s v="M 7.0 - 95 km ENE of Kuril’sk, Russia"/>
        <s v="M 7.7 - 123 km NNW of Lucea, Jamaica"/>
        <s v="M 6.7 - 13 km N of Do?anyol, Turkey"/>
        <s v="M 6.8 - 7 km S of Magsaysay, Philippines"/>
        <s v="M 7.1 - 138km E of Bitung, Indonesia"/>
        <s v="M 6.5 - 166km SSW of Ndoi Island, Fiji"/>
        <s v="M 6.6 - 136 km W of Neiafu, Tonga"/>
        <s v="M 6.5 - 2km ESE of Kisante, Philippines"/>
        <s v="M 6.6 - 10 km NE of Columbio, Philippines"/>
        <s v="M 6.7 - 70 km WSW of Constitución, Chile"/>
        <s v="M 6.5 - 11km S of Kairatu, Indonesia"/>
        <s v="M 6.6 - 34km NNE of Ndoi Island, Fiji"/>
        <s v="M 6.6 - 131km S of Bristol Island, South Sandwich Islands"/>
        <s v="M 6.9 - 152 km SW of Labuan, Indonesia"/>
        <s v="M 6.8 - 96 km SW of San Antonio, Chile"/>
        <s v="M 6.6 - 62km E of Lakatoro, Vanuatu"/>
        <s v="M 7.2 - 93km NNE of Laiwui, Indonesia"/>
        <s v="M 6.6 - 200km W of Broome, Australia"/>
        <s v="M 6.9 - 134km WSW of Kota Ternate, Indonesia"/>
        <s v="M 7.1 - 18km W of Searles Valley, CA"/>
        <s v="M 7.3 - 292km NW of Saumlaki, Indonesia"/>
        <s v="M 7.3 - 116km NE of L'Esperance Rock, New Zealand"/>
        <s v="M 6.6 - 32 km S of La Libertad, El Salvador"/>
        <s v="M 8.0 - 78 km NE of Navarro, Peru"/>
        <s v="M 7.6 - 46km SSE of Namatanai, Papua New Guinea"/>
        <s v="M 7.1 - 33km NW of Bulolo, Papua New Guinea"/>
        <s v="M 6.8 - 98km SSW of Luwuk, Indonesia"/>
        <s v="M 6.5 - 83km ENE of Bristol Island, South Sandwich Islands"/>
        <s v="M 7.0 - 22 km NNE of Azángaro, Peru"/>
        <s v="M 7.5 - 111km ESE of Palora, Ecuador"/>
        <s v="M 6.7 - 5 km SW of Puerto Madero, Mexico"/>
        <s v="M 6.7 - Prince Edward Islands region"/>
        <s v="M 6.7 - 10 km SSW of Coquimbo, Chile"/>
        <s v="M 6.6 - 94 km NW of Sola, Vanuatu"/>
        <s v="M 6.6 - Molucca Sea"/>
        <s v="M 6.8 - 90km W of Tarauaca, Brazil"/>
        <s v="M 7.0 - 96 km ESE of Pondaguitan, Philippines"/>
        <s v="M 7.3 - 187 km SE of Ust’-Kamchatsk Staryy, Russia"/>
        <s v="M 6.6 - 199 km ESE of Tadine, New Caledonia"/>
        <s v="M 7.5 - 166 km ESE of Tadine, New Caledonia"/>
        <s v="M 7.1 - 1 km SE of Point MacKenzie, Alaska"/>
        <s v="M 6.8 - 187 km E of Levuka, Fiji"/>
        <s v="M 6.7 - 120 km NW of Olonkinbyen, Svalbard and Jan Mayen"/>
        <s v="M 6.8 - 32 km SW of Lithakiá, Greece"/>
        <s v="M 6.5 - 237 km SW of Port McNeill, Canada"/>
        <s v="M 6.8 - 210 km SW of Port McNeill, Canada"/>
        <s v="M 6.5 - 223 km SW of Port McNeill, Canada"/>
        <s v="M 6.5 - 171 km E of Tadine, New Caledonia"/>
        <s v="M 6.7 - 269 km WNW of Ozernovskiy, Russia"/>
        <s v="M 6.5 - 154 km S of Severo-Kuril’sk, Russia"/>
        <s v="M 7.0 - 119 km E of Kimbe, Papua New Guinea"/>
        <s v="M 6.7 - 279 km E of Levuka, Fiji"/>
        <s v="M 7.5 - 72 km N of Palu, Indonesia"/>
        <s v="M 6.5 - south of the Fiji Islands"/>
        <s v="M 6.9 - Kermadec Islands region"/>
        <s v="M 6.5 - 66 km NW of Kirakira, Solomon Islands"/>
        <s v="M 7.9 - 45 km S of Levuka, Fiji"/>
        <s v="M 6.6 - 27 km ESE of Chitose, Japan"/>
        <s v="M 7.1 - 238 km ESE of Tadine, New Caledonia"/>
        <s v="M 7.1 - 136 km W of Iñapari, Peru"/>
        <s v="M 6.5 - 78 km E of Lakatoro, Vanuatu"/>
        <s v="M 7.3 - 40 km ENE of Carúpano, Venezuela"/>
        <s v="M 6.9 - 20 km NNW of Labuan Lombok, Indonesia"/>
        <s v="M 8.2 - 267 km E of Levuka, Fiji"/>
        <s v="M 6.5 - 124 km N of Labuan Bajo, Indonesia"/>
        <s v="M 6.5 - 108 km WSW of Adak, Alaska"/>
        <s v="M 6.9 - 36 km NW of Labuan Lombok, Indonesia"/>
        <s v="M 6.9 - 18 km SSW of Leilani Estates, Hawaii"/>
        <s v="M 6.8 - 38 km SE of Boyuibe, Bolivia"/>
        <s v="M 6.9 - 150 km E of Kimbe, Papua New Guinea"/>
        <s v="M 6.7 - 140 km E of Kimbe, Papua New Guinea"/>
        <s v="M 6.8 - 103 km E of Kokopo, Papua New Guinea"/>
        <s v="M 6.7 - 62 km SW of Tari, Papua New Guinea"/>
        <s v="M 7.5 - 32 km SW of Tari, Papua New Guinea"/>
        <s v="M 7.2 - 4 km S of Pinotepa de Don Luis, Mexico"/>
        <s v="M 7.9 - 261 km SE of Chiniak, Alaska"/>
        <s v="M 7.1 - 37 km W of Atiquipa, Peru"/>
        <s v="M 7.5 - 203 km NNE of Barra Patuca, Honduras"/>
        <s v="M 6.5 - 12 km SSW of Kawalu, Indonesia"/>
        <s v="M 6.5 - Bouvet Island region"/>
        <s v="M 7.0 - 85 km ENE of Tadine, New Caledonia"/>
        <s v="M 6.6 - 74 km E of Tadine, New Caledonia"/>
        <s v="M 6.5 - 18 km W of Parrita, Costa Rica"/>
        <s v="M 7.3 - 29 km S of ?alabja, Iraq"/>
        <s v="M 6.5 - 67 km WSW of Angoram, Papua New Guinea"/>
        <s v="M 6.8 - 97 km NE of Hihifo, Tonga"/>
        <s v="M 6.6 - 101 km E of Tadine, New Caledonia"/>
        <s v="M 6.7 - 132 km E of Tadine, New Caledonia"/>
        <s v="M 6.7 - 181 km NNE of Maumere, Indonesia"/>
        <s v="M 6.5 - 247 km ESE of Attu Station, Alaska"/>
        <s v="M 7.1 - 1 km S of Matzaco, Mexico"/>
        <s v="M 8.2 - near the coast of Chiapas, Mexico"/>
        <s v="M 6.5 - 168 km SW of Mawu, China"/>
        <s v="M 6.6 - 11 km ENE of Kos, Greece"/>
        <s v="M 7.7 - Komandorskiye Ostrova, Russia region"/>
        <s v="M 6.6 - Auckland Islands, New Zealand region"/>
        <s v="M 6.5 - 2 km S of Lim-oo, Philippines"/>
        <s v="M 6.8 - 28 km SW of Puerto San José, Guatemala"/>
        <s v="M 6.9 - 2 km SSW of San Pablo, Guatemala"/>
        <s v="M 6.8 - 200 km NW of Attu Station, Alaska"/>
        <s v="M 6.6 - 37 km WNW of Poso, Indonesia"/>
        <s v="M 6.5 - South Sandwich Islands region"/>
        <s v="M 6.8 - 59 km NNE of Port-Olry, Vanuatu"/>
        <s v="M 6.9 - 31 km SW of Burias, Philippines"/>
        <s v="M 6.9 - 40 km W of Valparaíso, Chile"/>
        <s v="M 6.5 - 132 km WSW of Moijabana, Botswana"/>
        <s v="M 6.6 - 81 km NNE of Ust’-Kamchatsk Staryy, Russia"/>
        <s v="M 6.9 - south of the Fiji Islands"/>
        <s v="M 6.5 - 41 km E of Padilla, Bolivia"/>
        <s v="M 6.5 - 11 km N of Mabua, Philippines"/>
        <s v="M 7.9 - 35 km WNW of Panguna, Papua New Guinea"/>
        <s v="M 6.5 - 65 km W of Kirakira, Solomon Islands"/>
        <s v="M 7.3 - 189 km SSE of Tabiauan, Philippines"/>
        <s v="M 6.9 - 225 km SW of Nadi, Fiji"/>
        <s v="M 7.6 - 41 km SW of Quellón, Chile"/>
        <s v="M 6.7 - 151 km NE of Lospalos, Timor Leste"/>
        <s v="M 7.9 - 140 km E of Kokopo, Papua New Guinea"/>
        <s v="M 6.9 - 92 km WSW of Kirakira, Solomon Islands"/>
        <s v="M 6.5 - 79 km WSW of Kirakira, Solomon Islands"/>
        <s v="M 7.8 - 69 km WSW of Kirakira, Solomon Islands"/>
        <s v="M 6.6 - 164 km W of Ferndale, California"/>
        <s v="M 6.5 - 14 km WNW of Reuleuet, Indonesia"/>
        <s v="M 6.6 - 122 km N of Murghob, Tajikistan"/>
        <s v="M 6.9 - 156 km SSW of Puerto El Triunfo, El Salvador"/>
        <s v="M 6.9 - 35 km ESE of Namie, Japan"/>
        <s v="M 6.5 - 74 km NE of Amberley, New Zealand"/>
        <s v="M 6.5 - 92 km SSW of Blenheim, New Zealand"/>
        <s v="M 7.8 - 53 km NNE of Amberley, New Zealand"/>
        <s v="M 6.6 - 5 km ESE of Preci, Italy"/>
        <s v="M 6.6 - 161 km NNE of Pamanukan, Indonesia"/>
        <s v="M 6.8 - 76 km WNW of Kandrian, Papua New Guinea"/>
        <s v="M 6.9 - Fiji region"/>
        <s v="M 7.0 - 175 km NE of Gisborne, New Zealand"/>
        <s v="M 6.8 - 90 km NE of Rabaul, Papua New Guinea"/>
        <s v="M 6.8 - 26 km W of Chauk, Myanmar"/>
        <s v="M 7.2 - southeast of the Loyalty Islands"/>
        <s v="M 7.7 - Pagan region, Northern Mariana Islands"/>
        <s v="M 6.6 - 80 km W of Sungai Penuh, Indonesia"/>
        <s v="M 7.2 - South Sandwich Islands region"/>
        <s v="M 6.9 - 24 km NW of Rosa Zarate, Ecuador"/>
        <s v="M 6.7 - 32 km SE of Muisne, Ecuador"/>
        <s v="M 7.0 - 3 km NW of Norsup, Vanuatu"/>
        <s v="M 7.8 - 27 km SSE of Muisne, Ecuador"/>
        <s v="M 7.0 - 6 km ESE of Kumamoto, Japan"/>
        <s v="M 6.9 - 76 km SE of Mawlaik, Myanmar"/>
        <s v="M 6.6 - 42 km WSW of Ashk?sham, Afghanistan"/>
        <s v="M 6.7 - 104 km W of Sola, Vanuatu"/>
        <s v="M 6.7 - 102 km WSW of Sola, Vanuatu"/>
        <s v="M 6.9 - 82 km NNW of Port-Olry, Vanuatu"/>
        <s v="M 7.8 - southwest of Sumatra, Indonesia"/>
        <s v="M 7.2 - 80 km S of Mil’kovo, Russia"/>
        <s v="M 7.1 - 47 km ESE of Pedro Bay, Alaska"/>
        <s v="M 6.6 - 203 km SW of La Cruz de Loreto, Mexico"/>
        <s v="M 6.7 - 52 km SE of Shizunai-furukawach?, Japan"/>
        <s v="M 6.5 - 227 km SE of Sarangani, Philippines"/>
        <s v="M 6.7 - 29 km W of Imph?l, India"/>
        <s v="M 6.6 - 4 km W of Manuel Ávila Camacho (Ponte Duro), Mexico"/>
        <s v="M 6.9 - 107 km SE of Amahai, Indonesia"/>
        <s v="M 7.2 - 104 km W of Murghob, Tajikistan"/>
        <s v="M 6.7 - 125 km SSW of Tarauacá, Brazil"/>
        <s v="M 7.6 - 185 km WNW of Iñapari, Peru"/>
        <s v="M 7.6 - 155 km WNW of Iñapari, Peru"/>
        <s v="M 6.8 - 153 km WSW of Buala, Solomon Islands"/>
        <s v="M 6.5 - 19 km SSW of Lefkáda, Greece"/>
        <s v="M 6.7 - 140 km WSW of Makurazaki, Japan"/>
        <s v="M 6.9 - 85 km NW of Coquimbo, Chile"/>
        <s v="M 6.9 - 81 km NW of Coquimbo, Chile"/>
        <s v="M 6.6 - Nicobar Islands, India region"/>
        <s v="M 6.8 - 39 km SW of Ovalle, Chile"/>
        <s v="M 6.5 - 47 km NW of Maubara, Timor Leste"/>
        <s v="M 7.5 - Hindu Kush region, Afghanistan"/>
        <s v="M 7.1 - 31 km NE of Port-Olry, Vanuatu"/>
        <s v="M 6.6 - 28 km N of Sorong, Indonesia"/>
        <s v="M 6.6 - 22 km WSW of Illapel, Chile"/>
        <s v="M 6.7 - 61 km WNW of Illapel, Chile"/>
        <s v="M 6.5 - 54 km WNW of Illapel, Chile"/>
        <s v="M 7.0 - 25 km WNW of Illapel, Chile"/>
        <s v="M 8.3 - 48 km W of Illapel, Chile"/>
        <s v="M 6.7 - 95 km SW of Topolobampo, Mexico"/>
        <s v="M 6.5 - 177 km SE of Gizo, Solomon Islands"/>
        <s v="M 6.6 - 186 km WNW of Malango, Solomon Islands"/>
        <s v="M 7.0 - 234 km W of Abepura, Indonesia"/>
        <s v="M 6.9 - Fox Islands, Aleutian Islands, Alaska"/>
        <s v="M 7.0 - 80 km WNW of Lata, Solomon Islands"/>
        <s v="M 6.5 - 128 km NE of Bathsheba, Barbados"/>
        <s v="M 6.7 - 150 km WNW of Malango, Solomon Islands"/>
        <s v="M 6.5 - Bonin Islands, Japan region"/>
        <s v="M 7.8 - Bonin Islands, Japan region"/>
        <s v="M 6.8 - 117 km SSE of Ugashik, Alaska"/>
        <s v="M 6.8 - 159 km ESE of Kirakira, Solomon Islands"/>
        <s v="M 6.9 - 205 km ESE of Kirakira, Solomon Islands"/>
        <s v="M 6.8 - 178 km W of Lata, Solomon Islands"/>
        <s v="M 6.8 - 32 km SE of ?funato, Japan"/>
        <s v="M 7.3 - Nepal"/>
        <s v="M 7.1 - 143 km SW of Panguna, Papua New Guinea"/>
        <s v="M 7.5 - 131 km SSW of Kokopo, Papua New Guinea"/>
        <s v="M 6.8 - 109 km SSW of Kokopo, Papua New Guinea"/>
        <s v="M 6.7 - 126 km SSW of Kokopo, Papua New Guinea"/>
        <s v="M 6.7 - 21 km SSE of Kod?ri??, Nepal"/>
        <s v="M 6.6 - 71 km NNE of Bharatpur, Nepal"/>
        <s v="M 7.8 - 67 km NNE of Bharatpur, Nepal"/>
        <s v="M 6.5 - 181 km SSW of Alo, Wallis and Futuna"/>
        <s v="M 6.5 - 96 km ENE of Hihifo, Tonga"/>
        <s v="M 7.5 - 53 km SE of Kokopo, Papua New Guinea"/>
        <s v="M 7.0 - 150 km NNE of Maumere, Indonesia"/>
        <s v="M 6.7 - 83 km ENE of Miyako, Japan"/>
        <s v="M 6.7 - 103 km W of El Aguilar, Argentina"/>
        <s v="M 6.8 - 81 km NNE of Port-Vila, Vanuatu"/>
        <s v="M 6.5 - 236 km S of Punta de Burica, Panama"/>
        <s v="M 6.6 - 22 km ESE of Punta de Burica, Panama"/>
        <s v="M 6.6 - 115 km W of Panguna, Papua New Guinea"/>
        <s v="M 6.6 - 106 km WSW of Sangay, Philippines"/>
        <s v="M 6.8 - 157 km NW of Ternate, Indonesia"/>
        <s v="M 6.5 - 123 km WNW of Tobelo, Indonesia"/>
        <s v="M 6.7 - 183 km NE of Gisborne, New Zealand"/>
        <s v="M 7.1 - 155 km NW of Ternate, Indonesia"/>
        <s v="M 6.6 - 76 km NE of Finschhafen, Papua New Guinea"/>
        <s v="M 7.1 - Fiji region"/>
        <s v="M 7.3 - 74 km S of Intipucá, El Salvador"/>
        <s v="M 6.7 - 43 km NW of Piti Village, Guam"/>
        <s v="M 6.8 - 38 km NW of Aniso, Peru"/>
        <s v="M 6.9 - Federated States of Micronesia region"/>
        <s v="M 6.5 - 139 km ESE of Namie, Japan"/>
        <s v="M 6.9 - 4 km W of Puerto Madero, Mexico"/>
        <s v="M 6.5 - 217 km SSE of Kokopo, Papua New Guinea"/>
        <s v="M 6.7 - 201 km SSE of Mata-Utu, Wallis and Futuna"/>
        <s v="M 7.9 - Rat Islands, Aleutian Islands, Alaska"/>
        <s v="M 6.7 - Kermadec Islands, New Zealand"/>
        <s v="M 6.9 - 21 km SSW of Kamariótissa, Greece"/>
        <s v="M 6.5 - 110 km SE of Punta de Burica, Panama"/>
        <s v="M 6.6 - 239 km SSE of Isangel, Vanuatu"/>
        <s v="M 6.5 - 107 km WSW of Vernon, Canada"/>
        <s v="M 7.5 - 70 km SW of Panguna, Papua New Guinea"/>
        <s v="M 6.6 - 57 km SW of Panguna, Papua New Guinea"/>
        <s v="M 7.2 - 9 km ENE of Coyuquilla Norte, Mexico"/>
        <s v="M 6.6 - 75 km S of Kirakira, Solomon Islands"/>
        <s v="M 7.4 - 112 km S of Kirakira, Solomon Islands"/>
        <s v="M 7.6 - 93 km SSE of Kirakira, Solomon Islands"/>
        <s v="M 6.6 - 15 km N of Belén, Nicaragua"/>
        <s v="M 6.5 - 78 km SW of Panguna, Papua New Guinea"/>
        <s v="M 7.1 - 56 km WSW of Panguna, Papua New Guinea"/>
        <s v="M 7.7 - 53 km SW of Iquique, Chile"/>
        <s v="M 6.5 - 45 km WSW of Iquique, Chile"/>
        <s v="M 6.9 - 90 km WNW of Iquique, Chile"/>
        <s v="M 8.2 - 93 km NW of Iquique, Chile"/>
        <s v="M 6.7 - 63 km WNW of Iquique, Chile"/>
        <s v="M 6.8 - 77 km WNW of Indianola, California"/>
        <s v="M 6.5 - 109 km NW of Nago, Japan"/>
        <s v="M 6.5 - 171 km NNE of Greenland, Barbados"/>
        <s v="M 6.9 - 272 km ESE of Hotan, China"/>
        <s v="M 6.5 - 32 km E of Port-Olry, Vanuatu"/>
        <s v="M 6.5 - south of the Kermadec Islands"/>
        <s v="M 6.5 - 32 km W of Sola, Vanuatu"/>
        <s v="M 6.5 - Fiji region"/>
        <s v="M 7.7 - Scotia Sea"/>
        <s v="M 6.9 - Scotia Sea"/>
        <s v="M 6.6 - 41 km SSW of Coquimbo, Chile"/>
        <s v="M 7.1 - off the east coast of Honshu, Japan"/>
        <s v="M 6.6 - 98 km SW of Etchoropo, Mexico"/>
        <s v="M 6.8 - 62 km WSW of Panguna, Papua New Guinea"/>
        <s v="M 7.1 - 4 km SE of Sagbayan, Philippines"/>
        <s v="M 6.6 - 36 km W of Kíssamos, Greece"/>
        <s v="M 6.7 - Sea of Okhotsk"/>
        <s v="M 6.8 - 129 km WSW of Khuzdar, Pakistan"/>
        <s v="M 7.1 - 16 km WSW of Atiquipa, Peru"/>
        <s v="M 7.7 - 113 km NW of Bela, Pakistan"/>
        <s v="M 6.5 - 81 km SSW of Atka, Alaska"/>
        <s v="M 6.5 - Izu Islands, Japan region"/>
        <s v="M 6.5 - 180 km NE of Lospalos, Timor Leste"/>
        <s v="M 7.0 - 101 km SW of Atka, Alaska"/>
        <s v="M 6.5 - 29 km SE of Blenheim, New Zealand"/>
        <s v="M 6.7 - 101 km WSW of Bahía Solano, Colombia"/>
        <s v="M 6.5 - 38 km ESE of Blenheim, New Zealand"/>
        <s v="M 7.3 - South Sandwich Islands region"/>
        <s v="M 6.6 - 26 km NE of Kandrian, Papua New Guinea"/>
        <s v="M 7.3 - 190 km ENE of Kokopo, Papua New Guinea"/>
        <s v="M 6.6 - northern Mid-Atlantic Ridge"/>
        <s v="M 6.5 - 44 km W of Masachapa, Nicaragua"/>
        <s v="M 6.7 - south of Java, Indonesia"/>
        <s v="M 8.3 - Sea of Okhotsk"/>
        <s v="M 7.4 - 292 km SW of Vaini, Tonga"/>
        <s v="M 6.8 - Pagan region, Northern Mariana Islands"/>
        <s v="M 6.5 - 33 km N of Rabaul, Papua New Guinea"/>
        <s v="M 6.6 - 56 km WSW of Linqiong, China"/>
        <s v="M 7.2 - 252 km ENE of Kuril’sk, Russia"/>
        <s v="M 6.6 - 23 km ESE of Aitape, Papua New Guinea"/>
        <s v="M 7.7 - 79 km ESE of Kh?sh, Iran"/>
        <s v="M 6.6 - 98 km W of Panguna, Papua New Guinea"/>
        <s v="M 7.0 - 260 km WSW of Abepura, Indonesia"/>
        <s v="M 6.5 - 36 km E of Finschhafen, Papua New Guinea"/>
        <s v="M 6.5 - 87 km SE of Ozernovskiy, Russia"/>
        <s v="M 6.9 - 81 km SE of Ozernovskiy, Russia"/>
        <s v="M 6.6 - 183 km SW of Belaya Gora, Russia"/>
        <s v="M 6.6 - 30 km SSW of Lata, Solomon Islands"/>
        <s v="M 6.9 - 2 km NNE of Yacuanquer, Colombia"/>
        <s v="M 7.1 - 32 km SE of Lata, Solomon Islands"/>
        <s v="M 6.8 - 22 km ESE of Lata, Solomon Islands"/>
        <s v="M 6.7 - 33 km SSW of Lata, Solomon Islands"/>
        <s v="M 7.0 - 33 km NW of Lata, Solomon Islands"/>
        <s v="M 7.1 - 112 km WSW of Lata, Solomon Islands"/>
        <s v="M 8.0 - 75 km W of Lata, Solomon Islands"/>
        <s v="M 6.9 - 18 km SSW of Obihiro, Japan"/>
        <s v="M 6.8 - 54 km N of Vallenar, Chile"/>
        <s v="M 7.5 - 110 km SW of Edna Bay, Alaska"/>
        <s v="M 6.7 - 59 km SSW of Sola, Vanuatu"/>
        <s v="M 7.1 - Banda Sea"/>
        <s v="M 7.3 - 234 km SE of ?funato, Japan"/>
        <s v="M 6.5 - 32 km SW of Champerico, Guatemala"/>
        <s v="M 6.8 - 51 km NNE of Shwebo, Myanmar"/>
        <s v="M 7.4 - 33 km S of Champerico, Guatemala"/>
        <s v="M 7.8 - 206 km SW of Prince Rupert, Canada"/>
        <s v="M 6.5 - Costa Rica"/>
        <s v="M 6.6 - 163 km ENE of Tual, Indonesia"/>
        <s v="M 7.3 - 11 km WNW of San Agustín, Colombia"/>
        <s v="M 7.6 - 11 km ENE of Hojancha, Costa Rica"/>
        <s v="M 7.6 - 89 km E of Sulangan, Philippines"/>
        <s v="M 7.3 - 126 km S of Puerto El Triunfo, El Salvador"/>
        <s v="M 6.6 - 140 km WNW of Tobelo, Indonesia"/>
        <s v="M 7.7 - 156 km ENE of Poronaysk, Russia"/>
        <s v="M 6.5 - 105 km ESE of Kokopo, Papua New Guinea"/>
        <s v="M 6.6 - 76 km W of Neiafu, Tonga"/>
        <s v="M 6.7 - 86 km SSE of Manokwari, Indonesia"/>
        <s v="M 6.8 - 140 km N of Lae, Papua New Guinea"/>
        <s v="M 6.7 - 22 km NW of Hacienda La Calera, Chile"/>
        <s v="M 7.0 - 69 km ENE of San Luis, Mexico"/>
        <s v="M 6.5 - 41 km NW of El Habillal, Mexico"/>
        <s v="M 8.2 - off the west coast of northern Sumatra"/>
        <s v="M 8.6 - off the west coast of northern Sumatra"/>
        <s v="M 7.1 - 23 km NE of Constitución, Chile"/>
        <s v="M 6.6 - 11 km ENE of Kainantu, Papua New Guinea"/>
        <s v="M 7.4 - 6 km E of Santiago Llano Grande, Mexico"/>
        <s v="M 6.7 - 38 km NE of Saryg-Sep, Russia"/>
        <s v="M 6.7 - 2 km NNE of Jimalalud, Philippines"/>
        <s v="M 7.1 - 125 km W of Port-Vila, Vanuatu"/>
        <s v="M 7.2 - off the west coast of northern Sumatra"/>
        <s v="M 6.6 - 45 km NNE of Saryg-Sep, Russia"/>
        <s v="M 7.1 - 25 km SSE of Wau, Papua New Guinea"/>
        <s v="M 6.5 - 6 km SSW of Nuevo Balsas, Mexico"/>
        <s v="M 6.9 - 39 km SW of Santiago, Peru"/>
        <s v="M 7.1 - 27 km NNE of Van, Turkey"/>
        <s v="M 6.5 - 4 km ESE of Finschhafen, Papua New Guinea"/>
        <s v="M 6.9 - 43 km NW of Mangan, India"/>
        <s v="M 6.7 - 99 km NE of Miyako, Japan"/>
        <s v="M 6.7 - 68 km WSW of Kabanjahe, Indonesia"/>
        <s v="M 7.0 - 133 km SSE of Isangel, Vanuatu"/>
        <s v="M 7.0 - 64 km ESE of Contamana, Peru"/>
        <s v="M 7.1 - 64 km S of Port-Vila, Vanuatu"/>
        <s v="M 6.5 - 65 km SSW of Port-Vila, Vanuatu"/>
        <s v="M 7.2 - 71 km SSW of Port-Vila, Vanuatu"/>
        <s v="M 6.6 - 103 km NE of Angoram, Papua New Guinea"/>
        <s v="M 7.6 - Kermadec Islands region"/>
        <s v="M 6.7 - 41 km NNE of Miyako, Japan"/>
        <s v="M 6.8 - 124 km NE of Wé, New Caledonia"/>
        <s v="M 6.8 - 79 km W of Kirakira, Solomon Islands"/>
        <s v="M 6.6 - 17 km SSW of Ishikawa, Japan"/>
        <s v="M 7.1 - 29 km ESE of Ishinomaki, Japan"/>
        <s v="M 6.6 - 7 km SW of Helio García Alfaro, Mexico"/>
        <s v="M 6.9 - 27 km NNW of Tachilek, Myanmar"/>
        <s v="M 6.6 - 50 km ESE of ?tsuchi, Japan"/>
        <s v="M 6.5 - 81 km NE of Hasaki, Japan"/>
        <s v="M 7.7 - 272 km ESE of Kamaishi, Japan"/>
        <s v="M 7.9 - 47 km E of ?arai, Japan"/>
        <s v="M 9.1 - 2011 Great Tohoku Earthquake, Japan"/>
        <s v="M 7.3 - 120 km SE of ?funato, Japan"/>
        <s v="M 6.7 - 38 km W of Constitución, Chile"/>
        <s v="M 6.9 - 21 km N of Tomé, Chile"/>
        <s v="M 7.2 - 46 km WSW of Dalbandin, Pakistan"/>
        <s v="M 7.0 - 118 km NNE of Tadine, New Caledonia"/>
        <s v="M 7.2 - 42 km NNW of Carahue, Chile"/>
        <s v="M 7.3 - 141 km W of Isangel, Vanuatu"/>
        <s v="M 6.7 - 111 km SE of Bam, Iran"/>
        <s v="M 6.6 - 52 km ENE of Kandrian, Papua New Guinea"/>
        <s v="M 7.8 - 215 km SW of Sungai Penuh, Indonesia"/>
        <s v="M 6.7 - 97 km SSW of El Huitusi, Mexico"/>
        <s v="M 7.0 - Near the south coast of Papua, Indonesia"/>
        <s v="M 7.0 - 19 km NE of Methven, New Zealand"/>
        <s v="M 7.1 - Ecuador"/>
        <s v="M 7.3 - 33 km NW of Port-Vila, Vanuatu"/>
        <s v="M 7.0 - 72 km ESE of Kimbe, Papua New Guinea"/>
        <s v="M 6.5 - 118 km ESE of Madang, Papua New Guinea"/>
        <s v="M 7.6 - 61 km W of Bantogon, Philippines"/>
        <s v="M 7.3 - New Britain region, Papua New Guinea"/>
        <s v="M 6.9 - 56 km SE of Kimbe, Papua New Guinea"/>
        <s v="M 6.6 - 30 km SSE of Cañete, Chile"/>
        <s v="M 6.7 - 55 km WSW of Kirakira, Solomon Islands"/>
        <s v="M 6.6 - 135 km SSE of Biak, Indonesia"/>
        <s v="M 7.0 - 121 km SSE of Biak, Indonesia"/>
        <s v="M 7.5 - Nicobar Islands, India region"/>
        <s v="M 7.2 - 100 km WNW of Sola, Vanuatu"/>
        <s v="M 7.2 - 45 km SSW of Meulaboh, Indonesia"/>
        <s v="M 6.9 - 233 km NNW of Qamdo, China"/>
        <s v="M 6.9 - 99 km WSW of Kirakira, Solomon Islands"/>
        <s v="M 7.8 - 75 km E of Sinabang, Indonesia"/>
        <s v="M 7.2 - 12km SW of Delta, B.C., MX"/>
        <s v="M 6.6 - 217 km N of Bamboo Flat, India"/>
        <s v="M 6.7 - 52 km NNW of Tomé, Chile"/>
        <s v="M 6.5 - 59 km ENE of Namie, Japan"/>
        <s v="M 7.0 - 52 km NW of Santa Cruz, Chile"/>
        <s v="M 6.9 - 61 km NW of Santa Cruz, Chile"/>
        <s v="M 6.8 - 141 km W of Bengkulu, Indonesia"/>
        <s v="M 6.6 - 23 km WNW of Talcahuano, Chile"/>
        <s v="M 6.5 - 48 km NW of Sola, Vanuatu"/>
        <s v="M 7.4 - 124 km W of Lebu, Chile"/>
        <s v="M 8.8 - 36 km WNW of Quirihue, Chile"/>
        <s v="M 7.0 - 70 km SE of Katsuren-haebaru, Japan"/>
        <s v="M 7.0 - 10 km SE of Léogâne, Haiti"/>
        <s v="M 6.5 - 37 km WNW of Ferndale, California"/>
        <s v="M 6.8 - 127 km SE of Gizo, Solomon Islands"/>
        <s v="M 7.1 - 94 km SE of Gizo, Solomon Islands"/>
        <s v="M 6.6 - 98 km SE of Gizo, Solomon Islands"/>
        <s v="M 6.5 - 92 km N of Iquique, Chile"/>
        <s v="M 7.3 - 77 km ENE of Ba, Fiji"/>
        <s v="M 6.6 - 29 km NNW of Bima, Indonesia"/>
        <s v="M 6.8 - 98 km NNE of Naze, Japan"/>
        <s v="M 6.9 - 268 km WSW of Tual, Indonesia"/>
        <s v="M 6.8 - 188 km WNW of Sola, Vanuatu"/>
        <s v="M 7.4 - 143 km NW of Sola, Vanuatu"/>
        <s v="M 7.8 - 196 km NW of Sola, Vanuatu"/>
        <s v="M 7.7 - 148 km NW of Sola, Vanuatu"/>
        <s v="M 6.6 - 49 km SSE of Sungai Penuh, Indonesia"/>
        <s v="M 7.6 - 30 km WSW of Pariaman, Indonesia"/>
        <s v="M 8.1 - 168 km SSW of Matavai, Samoa"/>
        <s v="M 7.0 - 66 km SSW of Banjar, Indonesia"/>
        <s v="M 6.7 - 112 km WSW of Padang, Indonesia"/>
        <s v="M 6.6 - 244 km SSE of Tateyama, Japan"/>
        <s v="M 7.5 - 266 km N of Bamboo Flat, India"/>
        <s v="M 7.1 - 161 km S of ?yama, Japan"/>
        <s v="M 6.9 - 96 km WNW of Bahía de Kino, Mexico"/>
        <s v="M 7.8 - 97 km WSW of Te Anau, New Zealand"/>
        <s v="M 6.7 - 190 km ESE of Kokopo, Papua New Guinea"/>
        <s v="M 7.3 - 46 km NW of Guanaja, Honduras"/>
        <s v="M 7.6 - 191 km S of ‘Ohonua, Tonga"/>
        <s v="M 7.2 - 196 km SSE of Sarangani, Philippines"/>
        <s v="M 7.4 - 86 km WNW of Manokwari, Indonesia"/>
        <s v="M 6.6 - 50 km S of Jurm, Afghanistan"/>
        <s v="M 7.7 - 140 km WNW of Manokwari, Indonesia"/>
        <s v="M 7.4 - 135 km NW of Gorontalo, Indonesia"/>
        <s v="M 6.7 - 19 km SW of Brisas Barra de Suchiate, Mexico"/>
        <s v="M 6.7 - 131 km SE of Nookat, Kyrgyzstan"/>
        <s v="M 6.8 - 122 km SSE of Obihiro, Japan"/>
        <s v="M 6.6 - 73 km WNW of Tobelo, Indonesia"/>
        <s v="M 6.9 - 75 km WNW of Sola, Vanuatu"/>
        <s v="M 6.7 - 221 km NE of Jumla, Nepal"/>
        <s v="M 6.8 - 29 km ENE of Morioka, Japan"/>
        <s v="M 7.0 - 107 km E of Namie, Japan"/>
        <s v="M 6.9 - 151 km E of Namie, Japan"/>
        <s v="M 6.6 - 124 km SW of Bamboo Flat, India"/>
        <s v="M 6.9 - 24 km WSW of Mizusawa, Japan"/>
        <s v="M 7.9 - 58 km W of Tianpeng, China"/>
        <s v="M 6.9 - 78 km NE of Hasaki, Japan"/>
        <s v="M 7.3 - 71 km SW of Isangel, Vanuatu"/>
        <s v="M 7.2 - 226 km SE of Hotan, China"/>
        <s v="M 6.9 - Philippine Islands region"/>
        <s v="M 6.7 - 155 km SSW of Padang, Indonesia"/>
        <s v="M 6.6 - 161 km SSW of Padang, Indonesia"/>
        <s v="M 7.2 - 164 km WSW of Sungai Penuh, Indonesia"/>
        <s v="M 6.5 - 166 km WSW of Sungai Penuh, Indonesia"/>
        <s v="M 7.4 - 56 km NW of Sinabang, Indonesia"/>
        <s v="M 6.5 - 50 km S of Koróni, Greece"/>
        <s v="M 6.9 - 35 km S of Methóni, Greece"/>
        <s v="M 6.5 - 9 km SSW of General Pascual Fentes, Mexico"/>
        <s v="M 6.6 - 46 km SSE of Gisborne, New Zealand"/>
        <s v="M 6.7 - 80 km NNE of Antofagasta, Chile"/>
        <s v="M 7.4 - 18 km WNW of Basse-Pointe, Martinique"/>
        <s v="M 6.6 - 60 km SSE of Kirakira, Solomon Islands"/>
        <s v="M 6.5 - 34 km N of Dompu, Indonesia"/>
        <s v="M 6.5 - 28 km NNW of Dompu, Indonesia"/>
        <s v="M 6.8 - 107 km N of Lae, Papua New Guinea"/>
        <s v="M 6.8 - 30 km E of Macas, Ecuador"/>
        <s v="M 6.8 - 82 km NNE of Antofagasta, Chile"/>
        <s v="M 7.7 - 36 km ESE of Tocopilla, Chile"/>
        <s v="M 6.8 - 138 km W of Bengkulu, Indonesia"/>
        <s v="M 6.8 - 70 km N of Te Anau, New Zealand"/>
        <s v="M 6.8 - 154 km ESE of Kokopo, Papua New Guinea"/>
        <s v="M 6.7 - 118 km SSW of Padang, Indonesia"/>
        <s v="M 7.0 - 153 km SSW of Padang, Indonesia"/>
        <s v="M 6.5 - Kepulauan Mentawai region, Indonesia"/>
        <s v="M 7.9 - 87 km SW of Sungai Penuh, Indonesia"/>
        <s v="M 7.8 - 148 km WSW of Sungai Penuh, Indonesia"/>
        <s v="M 8.4 - 122 km SW of Bengkulu, Indonesia"/>
        <s v="M 6.8 - 39 km WNW of Timbiquí, Colombia"/>
        <s v="M 7.2 - 97 km S of Lata, Solomon Islands"/>
        <s v="M 6.5 - 31 km WSW of Malango, Solomon Islands"/>
        <s v="M 8.0 - 41 km SW of San Vicente de Cañete, Peru"/>
        <s v="M 7.5 - 35 km NNE of Rengasdengklok, Indonesia"/>
        <s v="M 7.2 - 56 km E of Luganville, Vanuatu"/>
        <s v="M 6.9 - 140 km NNW of Tobelo, Indonesia"/>
        <s v="M 6.8 - 133 km WNW of Mikuni, Japan"/>
        <s v="M 6.6 - 20 km NNW of Kashiwazaki, Japan"/>
        <s v="M 6.7 - 43 km SSE of Iztapa, Guatemala"/>
        <s v="M 6.9 - 113 km SSE of Panguna, Papua New Guinea"/>
        <s v="M 6.6 - 99 km SSE of Panguna, Papua New Guinea"/>
        <s v="M 8.1 - 45 km SSE of Gizo, Solomon Islands"/>
        <s v="M 6.7 - 46 km NW of Nanao, Japan"/>
        <s v="M 7.1 - 119 km S of Isangel, Vanuatu"/>
        <s v="M 6.7 - 206 km SSW of Sofifi, Indonesia"/>
        <s v="M 7.5 - 126 km WNW of Ternate, Indonesia"/>
        <s v="M 8.1 - east of the Kuril Islands"/>
        <s v="M 6.9 - 26 km W of Hengchun, Taiwan"/>
        <s v="M 7.1 - 30 km SW of Hengchun, Taiwan"/>
        <s v="M 8.3 - Kuril Islands"/>
        <s v="M 6.6 - 155 km SE of Kimbe, Papua New Guinea"/>
        <s v="M 6.7 - 52 km SW of San Vicente de Cañete, Peru"/>
        <s v="M 6.7 - 100 km ESE of Kimbe, Papua New Guinea"/>
        <s v="M 6.7 - 14 km SW of Puako, Hawaii"/>
        <s v="M 6.9 - 201 km ESE of Hihifo, Tonga"/>
        <s v="M 6.8 - 49 km S of Panguna, Papua New Guinea"/>
        <s v="M 6.5 - 81 km ESE of Ozernovskiy, Russia"/>
        <s v="M 6.8 - 51 km NE of Norsup, Vanuatu"/>
        <s v="M 7.7 - 226 km SSW of Singaparna, Indonesia"/>
        <s v="M 6.5 - 111 km E of Kimbe, Papua New Guinea"/>
        <s v="M 6.6 - 42 km NNW of Tilichiki, Russia"/>
        <s v="M 6.8 - 256 km SSW of Singkil, Indonesia"/>
        <s v="M 8.0 - 47 km SSE of Pangai, Tonga"/>
        <s v="M 8.0 - 50 km ESE of Pangai, Tonga"/>
        <s v="M 6.5 - 73 km WNW of Copiapó, Chile"/>
        <s v="M 6.7 - 78 km WNW of Copiapó, Chile"/>
        <s v="M 6.6 - 80 km E of Tilichiki, Russia"/>
        <s v="M 7.6 - 80 km NE of Tilichiki, Russia"/>
        <s v="M 6.5 - 130 km NNW of Lautoka, Fiji"/>
        <s v="M 6.7 - 108 km W of Ambon, Indonesia"/>
        <s v="M 7.0 - 160 km SE of Chipinge, Zimbabwe"/>
        <s v="M 6.7 - 26 km NE of Kýthira, Greece"/>
        <s v="M 6.6 - 75 km SSW of Bahía de Kino, Mexico"/>
        <s v="M 6.5 - 53 km SW of Ashk?sham, Afghanistan"/>
        <s v="M 6.8 - 76 km ESE of Kalemie, Democratic Republic of the Congo"/>
        <s v="M 6.5 - 80 km ESE of Ishinomaki, Japan"/>
        <s v="M 6.5 - 57 km SE of Sinabang, Indonesia"/>
        <s v="M 6.8 - 68 km NNE of San Pedro de Atacama, Chile"/>
        <s v="M 7.6 - 21 km NNE of Muzaffar?b?d, Pakistan"/>
        <s v="M 6.6 - 129 km SSW of Kokopo, Papua New Guinea"/>
        <s v="M 7.5 - 39 km NW of Yurimaguas, Peru"/>
        <s v="M 7.6 - 135 km E of Kokopo, Papua New Guinea"/>
        <s v="M 7.2 - 66 km ESE of Ishinomaki, Japan"/>
        <s v="M 7.2 - Nicobar Islands, India region"/>
        <s v="M 6.7 - 94 km WSW of Singkil, Indonesia"/>
        <s v="M 6.6 - 32 km W of San Juan del Sur, Nicaragua"/>
        <s v="M 7.2 - 153 km W of Big Lagoon, California"/>
        <s v="M 7.8 - 102 km ENE of Iquique, Chile"/>
        <s v="M 6.9 - 89 km WSW of Singkil, Indonesia"/>
        <s v="M 6.7 - 125 km SW of Padangsidempuan, Indonesia"/>
        <s v="M 6.5 - 106 km SW of Padang, Indonesia"/>
        <s v="M 6.7 - 113 km SW of Padang, Indonesia"/>
        <s v="M 8.6 - 78 km WSW of Singkil, Indonesia"/>
        <s v="M 6.6 - 28 km NNW of Maebaru-ch??, Japan"/>
        <s v="M 6.8 - 99 km WNW of Sinabang, Indonesia"/>
        <s v="M 6.5 - 81 km SSW of Katabu, Indonesia"/>
        <s v="M 6.5 - Pulau-Pulau Talaud, Indonesia"/>
        <s v="M 6.7 - 52 km SW of Sola, Vanuatu"/>
        <s v="M 7.1 - 138 km SW of Palimbang, Philippines"/>
        <s v="M 6.6 - 161 km SE of Katsuura, Japan"/>
        <s v="M 7.2 - 284 km WNW of Sabang, Indonesia"/>
        <s v="M 9.1 - 2004 Sumatra - Andaman Islands Earthquake"/>
        <s v="M 8.1 - north of Macquarie Island"/>
        <s v="M 6.8 - 36 km S of George Town, Cayman Islands"/>
        <s v="M 6.8 - 54 km SSW of Nemuro, Japan"/>
        <s v="M 7.0 - 51 km SW of Nemuro, Japan"/>
        <s v="M 7.1 - 29 km SSW of Nabire, Indonesia"/>
        <s v="M 7.1 - 255 km W of Riverton, New Zealand"/>
        <s v="M 7.2 - 32 km SSW of Pizarro, Colombia"/>
        <s v="M 7.5 - 63 km NW of Maubara, Timor Leste"/>
        <s v="M 6.7 - 80 km SSE of Kirakira, Solomon Islands"/>
        <s v="M 6.7 - 189 km SW of Port McNeill, Canada"/>
        <s v="M 6.6 - 8 km SSW of Ojiya, Japan"/>
        <s v="M 6.7 - 31 km WNW of Yonakuni, Japan"/>
        <s v="M 7.0 - 43 km SSW of Masachapa, Nicaragua"/>
        <s v="M 6.5 - 9 km W of Talisay, Philippines"/>
        <s v="M 6.8 - 60 km SSE of Kirakira, Solomon Islands"/>
        <s v="M 6.6 - 129 km ESE of Shing?, Japan"/>
        <s v="M 7.4 - 118 km ESE of Shing?, Japan"/>
        <s v="M 7.2 - 94 km SE of Shing?, Japan"/>
        <s v="M 6.5 - 67 km ESE of Teno, Chile"/>
        <s v="M 6.5 - 117 km WNW of Manokwari, Indonesia"/>
        <s v="M 6.9 - 24 km ENE of Atlasovo, Russia"/>
        <s v="M 6.6 - 11 km N of Cañete, Chile"/>
        <s v="M 6.7 - 105 km WNW of Naisano Dua, Indonesia"/>
        <s v="M 6.5 - 86 km NNW of Sola, Vanuatu"/>
        <s v="M 6.6 - Afghanistan-Tajikistan-Pakistan region"/>
        <s v="M 6.7 - 38 km SSW of Nabire, Indonesia"/>
        <s v="M 7.3 - Near the south coast of Papua, Indonesia"/>
        <s v="M 7.0 - 28 km S of Nabire, Indonesia"/>
        <s v="M 6.7 - 107 km NW of Ambon, Indonesia"/>
        <s v="M 7.3 - 201 km ESE of Tadine, New Caledonia"/>
        <s v="M 6.6 - 13 km SSW of Bam, Iran"/>
        <s v="M 6.5 - 3 km SSE of Progreso, Panama"/>
        <s v="M 6.5 - 10 km NE of San Simeon, California"/>
        <s v="M 6.8 - 92 km E of Yujing, Taiwan"/>
        <s v="M 6.6 - 82 km E of Kimbe, Papua New Guinea"/>
        <s v="M 6.5 - 4 km NW of Can-Avid, Philippines"/>
        <s v="M 6.6 - 51 km NW of Isangel, Vanuatu"/>
        <s v="M 7.0 - 133 km ESE of Ishinomaki, Japan"/>
        <s v="M 6.7 - 39 km SSE of Kushiro, Japan"/>
        <s v="M 6.7 - 9 km S of Aktash, Russia"/>
        <s v="M 6.5 - 58 km S of Kushiro, Japan"/>
        <s v="M 7.3 - 29 km S of Aktash, Russia"/>
        <s v="M 7.4 - 119 km ESE of Shizunai-furukawach?, Japan"/>
        <s v="M 8.2 - 134 km SSW of Kushiro, Japan"/>
        <s v="M 6.6 - 16 km SE of Taungdwingyi, Myanmar"/>
        <s v="M 7.2 - 56 km NW of Te Anau, New Zealand"/>
        <s v="M 7.6 - Scotia Sea"/>
        <s v="M 6.5 - 41 km N of Rabaul, Papua New Guinea"/>
        <s v="M 6.8 - 42 km W of Ovalle, Chile"/>
        <s v="M 6.9 - 25 km ESE of Atlasovo, Russia"/>
        <s v="M 6.6 - 87 km SSE of Kokopo, Papua New Guinea"/>
        <s v="M 7.0 - 116 km NE of Tobelo, Indonesia"/>
        <s v="M 7.0 - 27 km SSW of ?funato, Japan"/>
        <s v="M 6.8 - 25 km WNW of Dellys, Algeria"/>
        <s v="M 6.5 - 46 km NE of Ruteng, Indonesia"/>
        <s v="M 6.8 - 114 km ESE of Kokopo, Papua New Guinea"/>
        <s v="M 7.6 - 16 km SSW of Cuyutlán, Mexico"/>
        <s v="M 6.5 - 33 km S of Puerto San José, Guatemala"/>
        <s v="M 7.3 - 126 km W of Kirakira, Solomon Islands"/>
        <s v="M 6.7 - 191 km SE of Kokopo, Papua New Guinea"/>
        <s v="M 6.7 - New Ireland region, Papua New Guinea"/>
        <s v="M 7.9 - 75 km E of Cantwell, Alaska"/>
        <s v="M 7.4 - 50 km NW of Sinabang, Indonesia"/>
        <s v="M 6.6 - 53 km ENE of Cantwell, Alaska"/>
        <s v="M 6.7 - 72 km S of Manokwari, Indonesia"/>
        <s v="M 7.6 - 102 km SSE of Manokwari, Indonesia"/>
        <s v="M 6.5 - 152 km NNE of Bamboo Flat, India"/>
        <s v="M 7.6 - 68 km ESE of Aitape, Papua New Guinea"/>
        <s v="M 6.5 - 114 km SSE of San Jose Village, Northern Mariana Islands"/>
        <s v="M 6.5 - 14 km SE of Punta de Burica, Panama"/>
        <s v="M 6.5 - 59 km SSW of Abhar, Iran"/>
        <s v="M 6.6 - 20 km SW of Monte Patria, Chile"/>
        <s v="M 6.7 - 190 km NW of Sola, Vanuatu"/>
        <s v="M 7.1 - 20 km SSW of Merizo Village, Guam"/>
        <s v="M 6.7 - 31 km SW of Copiapó, Chile"/>
        <s v="M 6.8 - 27 km SSW of Nuxco, Mexico"/>
        <s v="M 7.1 - 67 km ENE of Hualien City, Taiwan"/>
        <s v="M 6.5 - 107 km NE of Calama, Chile"/>
        <s v="M 7.5 - Mindanao, Philippines"/>
        <s v="M 7.4 - 51 km SW of Jurm, Afghanistan"/>
        <s v="M 6.6 - 125 km E of Kimbe, Papua New Guinea"/>
        <s v="M 6.5 - 5 km NE of Sultanda??, Turkey"/>
        <s v="M 6.7 - 11 km SE of Aitape, Papua New Guinea"/>
        <s v="M 6.6 - 33 km WNW of Port-Vila, Vanuatu"/>
        <s v="M 7.2 - 50 km WNW of Port-Vila, Vanuatu"/>
        <s v="M 6.8 - 22 km WNW of Malango, Solomon Islands"/>
        <s v="M 6.8 - 62 km SSW of Yonakuni, Japan"/>
        <s v="M 6.5 - 3 km NW of Hanamaki, Japan"/>
        <s v="M 7.8 - Southern Qinghai, China"/>
        <s v="M 7.0 - 40 km S of Kimbe, Papua New Guinea"/>
        <s v="M 7.5 - 155 km E of Kendari, Indonesia"/>
        <s v="M 7.0 - 69 km SSE of Inarajan Village, Guam"/>
        <s v="M 6.5 - 108 km WNW of Manokwari, Indonesia"/>
        <s v="M 6.6 - 74 km S of Kokhanok, Alaska"/>
        <s v="M 6.5 - 32 km WNW of Skýros, Greece"/>
        <s v="M 7.6 - 51 km SW of Punta de Bombón, Peru"/>
        <s v="M 6.6 - 31 km S of Achanizo, Peru"/>
        <s v="M 6.7 - 34 km WSW of Pacocha, Peru"/>
        <s v="M 8.4 - 6 km SSW of Atico, Peru"/>
        <s v="M 6.7 - 128 km SSE of Panguna, Papua New Guinea"/>
        <s v="M 6.8 - 16 km SSW of Kure, Japan"/>
        <s v="M 6.5 - 41 km SSW of Ambon, Indonesia"/>
        <s v="M 6.8 - 7 km SSE of Longbranch, Washington"/>
        <s v="M 7.1 - 137 km WNW of Ternate, Indonesia"/>
        <s v="M 7.4 - 102 km SSE of Bengkulu, Indonesia"/>
        <s v="M 6.6 - 5 km S of Cojutepeque, El Salvador"/>
        <s v="M 7.7 - 17 km NW of Bhach?u, India"/>
        <s v="M 6.9 - 59 km WSW of Bengkulu, Indonesia"/>
        <s v="M 7.7 - 28 km SSW of Puerto El Triunfo, El Salvador"/>
        <s v="M 6.9 - 47 km S of Old Harbor, Alaska"/>
        <s v="M 7.1 - 16 km NE of Port-Olry, Vanuatu"/>
        <s v="M 6.8 - Mindanao, Philippines"/>
        <s v="M 7.5 - 21 km SE of Lukatan, Philippines"/>
        <s v="M 6.5 - 52 km ENE of Kokopo, Papua New Guinea"/>
        <s v="M 7.0 - 37 km E of Balkanabat, Turkmenistan"/>
        <s v="M 6.5 - 23 km SSE of Badamdar, Azerbaijan"/>
        <s v="M 6.8 - 15 km SSE of Baku, Azerbaijan"/>
        <s v="M 6.8 - 112 km SSW of Kokopo, Papua New Guinea"/>
        <s v="M 6.6 - 131 km SE of Kokopo, Papua New Guinea"/>
        <s v="M 7.8 - 138 km SSW of Kokopo, Papua New Guinea"/>
        <s v="M 6.5 - 118 km ESE of Kokopo, Papua New Guinea"/>
        <s v="M 7.8 - 135 km SE of Kokopo, Papua New Guinea"/>
        <s v="M 8.0 - 24 km N of Rabaul, Papua New Guinea"/>
        <s v="M 6.5 - 10 km SW of Juradó, Colombia"/>
        <s v="M 7.0 - 191 km ESE of Kokopo, Papua New Guinea"/>
        <s v="M 6.8 - 29 km SW of Labuan, Indonesia"/>
        <s v="M 6.7 - 8 km ESE of Matsue, Japan"/>
        <s v="M 7.0 - 29 km WNW of Luganville, Vanuatu"/>
        <s v="M 6.5 - 15 km W of Nkove, Tanzania"/>
        <s v="M 6.8 - 98 km WSW of Ambon, Indonesia"/>
        <s v="M 6.5 - 24 km NNW of El Habillal, Mexico"/>
        <s v="M 6.8 - 35 km SSE of Uglegorsk, Russia"/>
        <s v="M 6.6 - 161 km SSE of Lata, Solomon Islands"/>
        <s v="M 6.5 - 94 km SSE of Shimoda, Japan"/>
        <s v="M 6.6 - 227 km SE of Kandrian, Papua New Guinea"/>
        <s v="M 6.5 - 24 km SSW of Larsen Bay, Alaska"/>
        <s v="M 6.5 - 12 km ENE of Selfoss, Iceland"/>
        <s v="M 7.9 - South Indian Ocean"/>
        <s v="M 6.5 - 25 km E of Selfoss, Iceland"/>
        <s v="M 6.7 - 98 km SSW of Bengkulu, Indonesia"/>
        <s v="M 6.7 - 95 km S of Bengkulu, Indonesia"/>
        <s v="M 7.9 - 103 km S of Bengkulu, Indonesia"/>
        <s v="M 7.2 - 75 km N of San Antonio de los Cobres, Argentina"/>
        <s v="M 7.6 - 89 km E of Luwuk, Indonesia"/>
        <s v="M 6.6 - 62 km SSW of Ialibu, Papua New Guinea"/>
        <s v="M 6.6 - 87 km ESE of Kimbe, Papua New Guinea"/>
        <s v="M 6.8 - 84 km S of Shikotan, Russia"/>
        <s v="M 7.2 - 117 km SSW of Hihifo, Tonga"/>
        <s v="M 6.9 - 50 km WSW of Lata, Solomon Islands"/>
        <s v="M 6.5 - 59 km SSW of Labuan, Indonesia"/>
        <s v="M 7.3 - 14 km WNW of Bolitoc, Philippines"/>
        <s v="M 7.0 - 26 km SSE of Karluk, Alaska"/>
        <s v="M 6.6 - 127 km ESE of Arica, Chile"/>
        <s v="M 7.5 - 92 km ESE of Lakatoro, Vanuatu"/>
        <s v="M 7.0 - 88 km W of Kandrian, Papua New Guinea"/>
        <s v="M 6.9 - 84 km WNW of Kandrian, Papua New Guinea"/>
        <s v="M 7.2 - 8 km S of Düzce, Turkey"/>
        <s v="M 6.5 - 31 km SW of Ashk?sham, Afghanistan"/>
        <s v="M 7.1 - Hector Mine, CA Earthquake"/>
        <s v="M 7.5 - 15 km W of San Baltazar Loxicha, Mexico"/>
        <s v="M 6.5 - 31 km SE of Puli, Taiwan"/>
        <s v="M 7.7 - 21 km S of Puli, Taiwan"/>
        <s v="M 6.6 - 66 km E of Lakatoro, Vanuatu"/>
        <s v="M 6.9 - 42 km S of Quepos, Costa Rica"/>
        <s v="M 7.6 - 4 km ESE of Derince, Turkey"/>
        <s v="M 6.7 - 16 km N of Potrerillos, Honduras"/>
        <s v="M 7.0 - 1 km SE of Texcala, Mexico"/>
        <s v="M 6.6 - 113 km SE of Kokopo, Papua New Guinea"/>
        <s v="M 7.1 - 51 km SSE of Kokopo, Papua New Guinea"/>
        <s v="M 7.1 - 92 km ENE of Kimbe, Papua New Guinea"/>
        <s v="M 6.8 - 132 km WSW of Haveluloto, Tonga"/>
        <s v="M 7.4 - 63 km W of Kimbe, Papua New Guinea"/>
        <s v="M 6.8 - 6 km SE of Camaná, Peru"/>
        <s v="M 6.6 - 9 km NNW of P?palkoti, India"/>
        <s v="M 6.9 - 78 km WSW of Adak, Alaska"/>
        <s v="M 6.9 - 123 km SE of Vilyuchinsk, Russia"/>
        <s v="M 7.1 - 69 km S of Tabiauan, Philippines"/>
        <s v="M 6.6 - 110 km SSE of K?h Sef?d, Iran"/>
        <s v="M 7.3 - 146 km NW of Sola, Vanuatu"/>
        <s v="M 6.6 - 18 km WSW of Nikolski, Alaska"/>
        <s v="M 7.0 - 110 km ESE of Kokopo, Papua New Guinea"/>
        <s v="M 6.8 - 131 km WSW of Haveluloto, Tonga"/>
        <s v="M 7.7 - 264 km ESE of Luwuk, Indonesia"/>
        <s v="M 7.0 - 278 km NE of Lospalos, Timor Leste"/>
        <s v="M 6.7 - 282 km NE of Lospalos, Timor Leste"/>
        <s v="M 6.6 - 8 km WSW of Sumberpucung, Indonesia"/>
        <s v="M 6.6 - 66 km NNW of Coquimbo, Chile"/>
        <s v="M 6.8 - 123 km SSE of Pondaguitan, Philippines"/>
        <s v="M 7.2 - 3 km E of Bahía de Caráquez, Ecuador"/>
        <s v="M 6.7 - 192 km W of Abepura, Indonesia"/>
        <s v="M 7.0 - 50 km WNW of Aitape, Papua New Guinea"/>
        <s v="M 7.0 - 52 km SE of Lata, Solomon Islands"/>
        <s v="M 6.6 - 24 km E of Rust?q, Afghanistan"/>
        <s v="M 6.6 - 25 km NNW of Mizque, Bolivia"/>
        <s v="M 6.7 - 127 km NNW of Palu, Indonesia"/>
        <s v="M 6.6 - 108 km SW of Kokopo, Papua New Guinea"/>
        <s v="M 7.5 - 254 km SSE of Ishigaki, Japan"/>
        <s v="M 6.6 - 43 km NE of San Fernando, Peru"/>
        <s v="M 7.0 - 95 km W of Pariaman, Indonesia"/>
        <s v="M 6.6 - 52 km ESE of Kerman, Iran"/>
        <s v="M 7.1 - 34 km SSE of Antofagasta, Chile"/>
        <s v="M 6.7 - 149 km ENE of Labasa, Fiji"/>
        <s v="M 6.6 - 47 km SSW of Ovalle, Chile"/>
        <s v="M 6.6 - 10 km SSW of San José El Ídolo, Guatemala"/>
        <s v="M 7.2 - 117 km N of Finschhafen, Papua New Guinea"/>
        <s v="M 7.8 - 156 km S of Ust’-Kamchatsk Staryy, Russia"/>
        <s v="M 7.0 - 97 km NW of Gorontalo, Indonesia"/>
        <s v="M 6.6 - 22 km SW of Lithakiá, Greece"/>
        <s v="M 7.0 - 34 km ESE of Port-Olry, Vanuatu"/>
        <s v="M 6.5 - 13 km NNE of San Sebastián, El Salvador"/>
        <s v="M 7.5 - western Xizang"/>
        <s v="M 7.2 - 51 km N of Barranca, Peru"/>
        <s v="M 7.1 - 36 km SW of Monte Patria, Chile"/>
        <s v="M 7.8 - 192 km WSW of Haveluloto, Tonga"/>
        <s v="M 6.5 - 18 km E of Talisay, Philippines"/>
        <s v="M 6.8 - 24 km SW of Roncesvalles, Colombia"/>
        <s v="M 6.6 - 64 km NNE of Angoram, Papua New Guinea"/>
        <s v="M 6.9 - 4 km ENE of El Ciruelo, Mexico"/>
        <s v="M 7.0 - 26 km WSW of Carúpano, Venezuela"/>
        <s v="M 6.8 - 52 km WSW of Coquimbo, Chile"/>
        <s v="M 6.5 - 5 km ENE of Churumuco de Morelos, Mexico"/>
        <s v="M 6.8 - 99 km S of Isangel, Vanuatu"/>
        <s v="M 6.5 - 51 km S of Jurm, Afghanistan"/>
        <s v="M 7.3 - 58 km E of Q?’en, Iran"/>
        <s v="M 6.5 - 49 km N of Yigo Village, Guam"/>
        <s v="M 6.7 - 18 km WSW of Scarborough, Trinidad and Tobago"/>
        <s v="M 7.7 - 171 km NNW of Sola, Vanuatu"/>
        <s v="M 6.5 - 49 km W of Finschhafen, Papua New Guinea"/>
        <s v="M 6.9 - 121 km E of Kinablangan, Philippines"/>
        <s v="M 7.1 - 29 km ESE of Harnai, Pakistan"/>
        <s v="M 6.5 - Turkmenistan-Iran border region"/>
        <s v="M 7.2 - 46 km WNW of El Habillal, Mexico"/>
        <s v="M 6.5 - 131 km W of Iwanai, Japan"/>
        <s v="M 6.7 - 17 km SW of Miyazaki, Japan"/>
        <s v="M 6.9 - 130 km ENE of Thang, India"/>
        <s v="M 7.7 - 60 km SW of Changuillo, Peru"/>
        <s v="M 6.7 - 5 km SE of Miyazaki, Japan"/>
        <s v="M 6.6 - 20 km SSE of Nishinoomote, Japan"/>
        <s v="M 6.8 - 90 km S of Panguna, Papua New Guinea"/>
        <s v="M 6.8 - 36 km SW of Paphos, Cyprus"/>
        <s v="M 6.6 - 24 km NE of Cortes, Philippines"/>
        <s v="M 6.6 - 22 km NNE of Cortes, Philippines"/>
        <s v="M 6.8 - 78 km E of Hengchun, Taiwan"/>
        <s v="M 6.9 - 62 km WSW of Kirakira, Solomon Islands"/>
        <s v="M 7.0 - 220 km NNE of Palu, Indonesia"/>
        <s v="M 6.6 - 217 km NNE of Palu, Indonesia"/>
        <s v="M 6.8 - 26 km NNE of Coyuquilla Norte, Mexico"/>
        <s v="M 7.9 - 169 km NNE of Maumere, Indonesia"/>
        <s v="M 7.1 - 8 km NNE of Palapag, Philippines"/>
        <s v="M 7.3 - 46 km SSW of Adak, Alaska"/>
        <s v="M 7.9 - 77 km WSW of Adak, Alaska"/>
        <s v="M 6.7 - 63 km NW of Sola, Vanuatu"/>
        <s v="M 7.2 - 58 km WSW of Panguna, Papua New Guinea"/>
        <s v="M 6.6 - 44 km SE of Antofagasta, Chile"/>
        <s v="M 6.7 - 44 km NNE of Port-Olry, Vanuatu"/>
        <s v="M 6.7 - 30 km WSW of Villa El Carmen, Nicaragua"/>
        <s v="M 6.6 - 39 km WSW of Masachapa, Nicaragua"/>
        <s v="M 7.1 - 24 km SSW of Santa María Chico Ometepec, Mexico"/>
        <s v="M 7.5 - 123 km WSW of Puerto Santa, Peru"/>
        <s v="M 6.5 - 32 km NNE of Biak, Indonesia"/>
        <s v="M 6.5 - 67 km NNW of Insrom, Indonesia"/>
        <s v="M 8.1 - 101 km ENE of Biak, Indonesia"/>
        <s v="M 6.7 - 123 km E of Namie, Japan"/>
        <s v="M 7.2 - 158 km E of Kuril’sk, Russia"/>
        <s v="M 6.6 - 47 km N of Lijiang, China"/>
        <s v="M 6.6 - 106 km NE of Yelizovo, Russia"/>
        <s v="M 7.9 - 181 km N of Palu, Indonesia"/>
        <s v="M 7.1 - 297 km NE of Lospalos, Timor Leste"/>
        <s v="M 6.5 - 130 km SSW of Abepura, Indonesia"/>
        <s v="M 7.9 - 128 km ESE of Kuril’sk, Russia"/>
        <s v="M 7.2 - 27 km SSE of Nuwaybi‘a, Egypt"/>
        <s v="M 6.7 - 73 km WSW of Vallenar, Chile"/>
        <s v="M 7.2 - 13 km NW of Ocozocoautla de Espinosa, Mexico"/>
        <s v="M 6.8 - 71 km ESE of Naze, Japan"/>
        <s v="M 7.1 - 83 km SE of Naze, Japan"/>
        <s v="M 8.0 - 5 km E of El Colomo, Mexico"/>
        <s v="M 6.8 - 5 km ENE of Sungai Penuh, Indonesia"/>
        <s v="M 6.5 - 50 km SE of Sucúa, Ecuador"/>
        <s v="M 7.0 - 45 km SE of Sucúa, Ecuador"/>
        <s v="M 6.5 - 81 km W of Paramonga, Peru"/>
        <s v="M 7.4 - 5 km N of Azoyú, Mexico"/>
        <s v="M 6.6 - 95 km SW of Etchoropo, Mexico"/>
        <s v="M 6.6 - 7 km WSW of Neira, Colombia"/>
        <s v="M 7.2 - 139 km WNW of Panguna, Papua New Guinea"/>
        <s v="M 6.6 - 205 km SE of Kokopo, Papua New Guinea"/>
        <s v="M 7.7 - 155 km WNW of Panguna, Papua New Guinea"/>
        <s v="M 6.7 - 99 km WSW of Kokopo, Papua New Guinea"/>
        <s v="M 8.0 - 36 km NNE of Antofagasta, Chile"/>
        <s v="M 6.8 - 158 km W of Jinghong, China"/>
        <s v="M 6.6 - 0 km ESE of Isangel, Vanuatu"/>
        <s v="M 6.5 - 8 km WNW of Galaxídhion, Greece"/>
        <s v="M 7.1 - 85 km S of Tungor, Russia"/>
        <s v="M 7.7 - 249 km E of Vao, New Caledonia"/>
        <s v="M 6.9 - 27 km NNW of Maubara, Timor Leste"/>
        <s v="M 6.6 - 10 km W of Aianí, Greece"/>
        <s v="M 7.1 - 14 km NE of Cabatuan, Philippines"/>
        <m/>
      </sharedItems>
    </cacheField>
    <cacheField name="magnitude" numFmtId="0">
      <sharedItems containsString="0" containsBlank="1" containsNumber="1">
        <n v="6.5"/>
        <n v="6.6"/>
        <n v="7.2"/>
        <n v="7.3"/>
        <n v="6.9"/>
        <n v="7.1"/>
        <n v="7.7"/>
        <n v="7.6"/>
        <n v="6.7"/>
        <n v="7.0"/>
        <n v="6.8"/>
        <n v="7.5"/>
        <n v="7.8"/>
        <n v="8.1"/>
        <n v="8.2"/>
        <n v="7.4"/>
        <n v="8.0"/>
        <n v="7.9"/>
        <n v="8.3"/>
        <n v="8.6"/>
        <n v="9.1"/>
        <n v="8.8"/>
        <n v="8.4"/>
        <n v="8.16"/>
        <n v="8.09"/>
        <m/>
      </sharedItems>
    </cacheField>
    <cacheField name="date_time">
      <sharedItems containsDate="1" containsBlank="1" containsMixedTypes="1">
        <s v="16/08/2023 12:47"/>
        <s v="19/07/2023 00:22"/>
        <s v="17/07/2023 03:05"/>
        <s v="16/07/2023 06:48"/>
        <d v="2023-10-07T20:28:00Z"/>
        <d v="2023-02-07T10:27:00Z"/>
        <s v="15/06/2023 18:06"/>
        <s v="25/05/2023 03:05"/>
        <s v="20/05/2023 01:51"/>
        <s v="19/05/2023 02:57"/>
        <d v="2023-10-05T16:02:00Z"/>
        <s v="28/04/2023 03:13"/>
        <s v="24/04/2023 20:00"/>
        <s v="24/04/2023 00:41"/>
        <s v="18/04/2023 04:31"/>
        <s v="14/04/2023 09:55"/>
        <d v="2023-03-04T03:06:00Z"/>
        <d v="2023-02-04T18:04:00Z"/>
        <s v="22/03/2023 16:00"/>
        <s v="21/03/2023 16:47"/>
        <s v="18/03/2023 17:12"/>
        <s v="16/03/2023 00:56"/>
        <d v="2023-04-03T06:41:00Z"/>
        <d v="2023-02-03T18:04:00Z"/>
        <d v="2023-01-03T05:36:00Z"/>
        <s v="23/02/2023 00:37"/>
        <d v="2023-06-02T10:24:00Z"/>
        <d v="2023-06-02T01:28:00Z"/>
        <d v="2023-06-02T01:17:00Z"/>
        <s v="20/01/2023 22:09"/>
        <s v="18/01/2023 06:06"/>
        <d v="2023-09-01T17:47:00Z"/>
        <d v="2023-08-01T12:32:00Z"/>
        <d v="2022-04-12T19:24:00Z"/>
        <s v="22/11/2022 02:03"/>
        <s v="18/11/2022 13:37"/>
        <d v="2022-12-11T07:09:00Z"/>
        <d v="2022-11-11T10:48:00Z"/>
        <d v="2022-09-11T10:14:00Z"/>
        <d v="2022-09-11T09:51:00Z"/>
        <d v="2022-09-11T09:38:00Z"/>
        <s v="20/10/2022 11:57"/>
        <s v="22/09/2022 06:16"/>
        <s v="19/09/2022 18:05"/>
        <s v="18/09/2022 06:44"/>
        <s v="17/09/2022 13:41"/>
        <s v="14/09/2022 11:04"/>
        <d v="2022-10-09T23:47:00Z"/>
        <d v="2022-05-09T04:52:00Z"/>
        <s v="14/08/2022 13:44"/>
        <s v="27/07/2022 00:43"/>
        <d v="2022-08-06T00:55:00Z"/>
        <s v="26/05/2022 12:02"/>
        <s v="19/05/2022 10:13"/>
        <d v="2022-10-05T23:06:00Z"/>
        <s v="21/04/2022 07:42"/>
        <s v="31/03/2022 05:44"/>
        <s v="30/03/2022 20:56"/>
        <s v="22/03/2022 17:41"/>
        <s v="16/03/2022 14:36"/>
        <s v="13/03/2022 21:09"/>
        <d v="2022-02-03T12:52:00Z"/>
        <s v="16/02/2022 20:21"/>
        <d v="2022-03-02T15:58:00Z"/>
        <s v="29/01/2022 02:46"/>
        <s v="14/01/2022 09:05"/>
        <d v="2022-11-01T12:39:00Z"/>
        <d v="2022-11-01T11:35:00Z"/>
        <d v="2022-11-01T01:07:00Z"/>
        <d v="2022-07-01T17:45:00Z"/>
        <s v="29/12/2021 18:25"/>
        <s v="14/12/2021 03:20"/>
        <s v="28/11/2021 10:52"/>
        <d v="2021-10-11T15:45:00Z"/>
        <d v="2021-11-10T09:10:00Z"/>
        <d v="2021-09-10T10:58:00Z"/>
        <d v="2021-02-10T06:29:00Z"/>
        <s v="22/09/2021 09:57"/>
        <d v="2021-08-09T01:47:00Z"/>
        <s v="22/08/2021 21:33"/>
        <s v="22/08/2021 00:45"/>
        <s v="18/08/2021 10:10"/>
        <s v="16/08/2021 11:10"/>
        <s v="14/08/2021 12:29"/>
        <s v="14/08/2021 11:57"/>
        <d v="2021-12-08T18:35:00Z"/>
        <d v="2021-12-08T18:32:00Z"/>
        <d v="2021-11-08T17:46:00Z"/>
        <s v="29/07/2021 06:15"/>
        <s v="23/07/2021 20:48"/>
        <s v="21/07/2021 21:15"/>
        <s v="20/06/2021 17:05"/>
        <s v="21/05/2021 22:13"/>
        <s v="21/05/2021 18:04"/>
        <s v="14/05/2021 06:33"/>
        <d v="2021-12-05T14:05:00Z"/>
        <d v="2021-01-05T01:27:00Z"/>
        <s v="25/04/2021 22:28"/>
        <s v="24/04/2021 00:23"/>
        <s v="20/03/2021 09:09"/>
        <s v="16/03/2021 18:38"/>
        <d v="2021-04-03T23:12:00Z"/>
        <d v="2021-04-03T19:28:00Z"/>
        <d v="2021-04-03T17:41:00Z"/>
        <d v="2021-04-03T13:27:00Z"/>
        <s v="13/02/2021 14:07"/>
        <d v="2021-10-02T13:19:00Z"/>
        <s v="23/01/2021 23:36"/>
        <s v="21/01/2021 12:23"/>
        <d v="2021-11-01T21:32:00Z"/>
        <s v="27/12/2020 21:39"/>
        <s v="30/10/2020 11:51"/>
        <s v="19/10/2020 20:54"/>
        <s v="18/09/2020 21:43"/>
        <d v="2020-01-09T21:09:00Z"/>
        <d v="2020-01-09T04:09:00Z"/>
        <s v="30/08/2020 21:20"/>
        <s v="21/08/2020 04:09"/>
        <s v="18/08/2020 22:29"/>
        <s v="18/08/2020 22:23"/>
        <s v="18/08/2020 00:03"/>
        <s v="22/07/2020 06:12"/>
        <s v="17/07/2020 02:50"/>
        <d v="2020-06-07T22:54:00Z"/>
        <s v="23/06/2020 15:29"/>
        <s v="18/06/2020 12:49"/>
        <s v="13/06/2020 15:51"/>
        <d v="2020-03-06T07:35:00Z"/>
        <s v="15/05/2020 11:03"/>
        <d v="2020-12-05T22:41:00Z"/>
        <d v="2020-06-05T13:53:00Z"/>
        <d v="2020-02-05T12:51:00Z"/>
        <s v="31/03/2020 23:52"/>
        <s v="25/03/2020 02:49"/>
        <s v="13/02/2020 10:33"/>
        <s v="28/01/2020 19:10"/>
        <s v="24/01/2020 17:55"/>
        <s v="15/12/2019 06:11"/>
        <s v="14/11/2019 16:17"/>
        <d v="2019-08-11T10:44:00Z"/>
        <d v="2019-04-11T22:43:00Z"/>
        <s v="31/10/2019 01:11"/>
        <s v="29/10/2019 01:04"/>
        <s v="29/09/2019 15:57"/>
        <s v="25/09/2019 23:46"/>
        <d v="2019-01-09T15:54:00Z"/>
        <s v="27/08/2019 23:55"/>
        <d v="2019-02-08T12:03:00Z"/>
        <d v="2019-01-08T18:28:00Z"/>
        <s v="31/07/2019 15:02"/>
        <s v="14/07/2019 09:10"/>
        <s v="14/07/2019 05:39"/>
        <d v="2019-07-07T15:08:00Z"/>
        <d v="2019-06-07T03:19:00Z"/>
        <s v="24/06/2019 02:53"/>
        <s v="15/06/2019 22:55"/>
        <s v="30/05/2019 09:03"/>
        <s v="26/05/2019 07:41"/>
        <s v="14/05/2019 12:58"/>
        <d v="2019-06-05T21:19:00Z"/>
        <d v="2019-12-04T11:40:00Z"/>
        <d v="2019-09-04T17:53:00Z"/>
        <d v="2019-01-03T08:50:00Z"/>
        <s v="22/02/2019 10:17"/>
        <d v="2019-01-02T16:14:00Z"/>
        <s v="22/01/2019 19:01"/>
        <s v="20/01/2019 01:32"/>
        <s v="15/01/2019 18:06"/>
        <d v="2019-06-01T17:27:00Z"/>
        <d v="2019-05-01T19:25:00Z"/>
        <s v="29/12/2018 03:39"/>
        <s v="20/12/2018 17:01"/>
        <d v="2018-11-12T02:26:00Z"/>
        <d v="2018-05-12T06:43:00Z"/>
        <d v="2018-05-12T04:18:00Z"/>
        <s v="30/11/2018 17:29"/>
        <s v="18/11/2018 20:25"/>
        <d v="2018-09-11T01:49:00Z"/>
        <s v="25/10/2018 22:54"/>
        <s v="22/10/2018 06:22"/>
        <s v="22/10/2018 06:16"/>
        <s v="22/10/2018 05:39"/>
        <s v="16/10/2018 01:03"/>
        <s v="13/10/2018 11:10"/>
        <d v="2018-10-10T23:16:00Z"/>
        <d v="2018-10-10T20:48:00Z"/>
        <s v="30/09/2018 10:52"/>
        <s v="28/09/2018 10:02"/>
        <s v="16/09/2018 21:11"/>
        <d v="2018-10-09T04:19:00Z"/>
        <d v="2018-09-09T19:31:00Z"/>
        <d v="2018-06-09T15:49:00Z"/>
        <d v="2018-05-09T18:07:00Z"/>
        <s v="29/08/2018 03:51"/>
        <s v="24/08/2018 09:04"/>
        <s v="21/08/2018 22:32"/>
        <s v="21/08/2018 21:31"/>
        <s v="19/08/2018 14:56"/>
        <s v="19/08/2018 00:19"/>
        <s v="17/08/2018 15:35"/>
        <s v="15/08/2018 21:56"/>
        <d v="2018-05-08T11:46:00Z"/>
        <d v="2018-04-05T22:32:00Z"/>
        <d v="2018-02-04T13:40:00Z"/>
        <s v="29/03/2018 21:25"/>
        <s v="26/03/2018 09:51"/>
        <d v="2018-08-03T17:39:00Z"/>
        <d v="2018-06-03T14:13:00Z"/>
        <s v="25/02/2018 17:44"/>
        <s v="16/02/2018 23:39"/>
        <s v="23/01/2018 09:31"/>
        <s v="14/01/2018 09:18"/>
        <d v="2018-10-01T02:51:00Z"/>
        <s v="15/12/2017 16:47"/>
        <s v="13/12/2017 18:03"/>
        <s v="19/11/2017 22:43"/>
        <s v="19/11/2017 15:09"/>
        <s v="13/11/2017 02:28"/>
        <d v="2017-12-11T18:18:00Z"/>
        <d v="2017-07-11T21:26:00Z"/>
        <d v="2017-04-11T09:00:00Z"/>
        <d v="2017-01-11T02:23:00Z"/>
        <s v="31/10/2017 00:42"/>
        <s v="24/10/2017 10:47"/>
        <d v="2017-08-10T22:34:00Z"/>
        <s v="19/09/2017 18:14"/>
        <d v="2017-08-09T04:49:00Z"/>
        <d v="2017-08-08T13:19:00Z"/>
        <s v="20/07/2017 22:31"/>
        <s v="17/07/2017 23:34"/>
        <d v="2017-11-07T07:00:00Z"/>
        <d v="2017-06-07T08:03:00Z"/>
        <s v="22/06/2017 12:31"/>
        <s v="14/06/2017 07:29"/>
        <d v="2017-02-06T22:24:00Z"/>
        <s v="29/05/2017 14:35"/>
        <d v="2017-10-05T23:23:00Z"/>
        <d v="2017-09-05T13:52:00Z"/>
        <s v="28/04/2017 20:23"/>
        <s v="24/04/2017 21:38"/>
        <d v="2017-03-04T17:40:00Z"/>
        <s v="29/03/2017 04:09"/>
        <s v="24/02/2017 17:28"/>
        <s v="21/02/2017 14:09"/>
        <d v="2017-10-02T14:03:00Z"/>
        <s v="22/01/2017 04:30"/>
        <s v="19/01/2017 23:04"/>
        <d v="2017-10-01T06:13:00Z"/>
        <d v="2017-03-01T21:52:00Z"/>
        <s v="25/12/2016 14:22"/>
        <s v="21/12/2016 00:17"/>
        <s v="17/12/2016 10:51"/>
        <d v="2016-09-12T19:10:00Z"/>
        <d v="2016-08-12T21:56:00Z"/>
        <d v="2016-08-12T17:38:00Z"/>
        <d v="2016-08-12T14:49:00Z"/>
        <d v="2016-06-12T22:03:00Z"/>
        <s v="25/11/2016 14:24"/>
        <s v="24/11/2016 18:43"/>
        <s v="21/11/2016 20:59"/>
        <s v="14/11/2016 00:34"/>
        <s v="13/11/2016 11:32"/>
        <s v="13/11/2016 11:02"/>
        <s v="30/10/2016 06:40"/>
        <s v="19/10/2016 00:26"/>
        <s v="17/10/2016 06:14"/>
        <s v="24/09/2016 21:28"/>
        <d v="2016-01-09T16:37:00Z"/>
        <s v="31/08/2016 03:11"/>
        <s v="24/08/2016 10:34"/>
        <d v="2016-12-08T01:26:00Z"/>
        <s v="29/07/2016 21:18"/>
        <d v="2016-01-06T22:56:00Z"/>
        <s v="28/05/2016 09:46"/>
        <s v="28/05/2016 05:38"/>
        <s v="18/05/2016 16:46"/>
        <s v="18/05/2016 07:57"/>
        <s v="28/04/2016 19:33"/>
        <s v="16/04/2016 23:58"/>
        <s v="15/04/2016 16:25"/>
        <s v="13/04/2016 13:55"/>
        <d v="2016-10-04T10:28:00Z"/>
        <d v="2016-07-04T03:32:00Z"/>
        <d v="2016-06-04T06:58:00Z"/>
        <d v="2016-03-04T08:23:00Z"/>
        <d v="2016-02-03T12:49:00Z"/>
        <s v="30/01/2016 03:25"/>
        <s v="24/01/2016 10:30"/>
        <s v="21/01/2016 18:06"/>
        <s v="14/01/2016 03:25"/>
        <d v="2016-11-01T16:38:00Z"/>
        <d v="2016-03-01T23:05:00Z"/>
        <s v="17/12/2015 19:49"/>
        <d v="2015-09-12T10:21:00Z"/>
        <d v="2015-07-12T07:50:00Z"/>
        <s v="26/11/2015 05:45"/>
        <s v="24/11/2015 22:50"/>
        <s v="24/11/2015 22:45"/>
        <s v="18/11/2015 18:31"/>
        <s v="17/11/2015 07:10"/>
        <s v="13/11/2015 20:51"/>
        <d v="2015-11-11T02:46:00Z"/>
        <d v="2015-11-11T01:54:00Z"/>
        <d v="2015-08-11T16:47:00Z"/>
        <d v="2015-07-11T07:31:00Z"/>
        <d v="2015-04-11T03:44:00Z"/>
        <s v="26/10/2015 09:09"/>
        <s v="20/10/2015 21:52"/>
        <s v="24/09/2015 15:53"/>
        <s v="21/09/2015 17:40"/>
        <s v="17/09/2015 04:10"/>
        <s v="17/09/2015 03:55"/>
        <s v="16/09/2015 23:18"/>
        <s v="16/09/2015 22:54"/>
        <s v="13/09/2015 08:14"/>
        <d v="2015-12-08T18:49:00Z"/>
        <d v="2015-10-08T04:12:00Z"/>
        <s v="27/07/2015 21:41"/>
        <s v="27/07/2015 04:49"/>
        <s v="18/07/2015 02:27"/>
        <s v="16/07/2015 15:16"/>
        <d v="2015-10-07T04:12:00Z"/>
        <s v="23/06/2015 12:18"/>
        <s v="30/05/2015 11:23"/>
        <s v="29/05/2015 07:00"/>
        <s v="22/05/2015 23:59"/>
        <s v="22/05/2015 21:45"/>
        <s v="20/05/2015 22:48"/>
        <d v="2015-12-05T21:12:00Z"/>
        <d v="2015-12-05T07:05:00Z"/>
        <d v="2015-07-05T07:10:00Z"/>
        <d v="2015-05-05T01:44:00Z"/>
        <d v="2015-01-05T08:06:00Z"/>
        <s v="30/04/2015 10:45"/>
        <s v="26/04/2015 07:09"/>
        <s v="25/04/2015 06:45"/>
        <s v="25/04/2015 06:11"/>
        <s v="17/04/2015 15:52"/>
        <s v="30/03/2015 08:48"/>
        <s v="29/03/2015 23:48"/>
        <s v="27/02/2015 13:45"/>
        <s v="16/02/2015 23:06"/>
        <d v="2015-11-02T18:57:00Z"/>
        <s v="23/01/2015 03:47"/>
        <d v="2015-07-01T05:07:00Z"/>
        <d v="2014-08-12T08:54:00Z"/>
        <d v="2014-07-12T01:22:00Z"/>
        <d v="2014-02-12T05:11:00Z"/>
        <s v="26/11/2014 14:33"/>
        <s v="21/11/2014 10:10"/>
        <s v="16/11/2014 22:33"/>
        <s v="15/11/2014 02:31"/>
        <d v="2014-07-11T03:33:00Z"/>
        <d v="2014-01-11T18:57:00Z"/>
        <s v="14/10/2014 03:51"/>
        <s v="17/09/2014 06:14"/>
        <s v="24/08/2014 23:21"/>
        <d v="2014-03-08T00:22:00Z"/>
        <s v="21/07/2014 14:54"/>
        <d v="2014-11-07T19:22:00Z"/>
        <d v="2014-07-07T11:23:00Z"/>
        <d v="2014-04-07T15:00:00Z"/>
        <s v="29/06/2014 17:15"/>
        <s v="29/06/2014 07:52"/>
        <s v="23/06/2014 20:53"/>
        <s v="23/06/2014 20:06"/>
        <s v="23/06/2014 19:21"/>
        <s v="23/06/2014 19:19"/>
        <s v="24/05/2014 09:25"/>
        <s v="13/05/2014 06:35"/>
        <d v="2014-01-05T06:36:00Z"/>
        <s v="24/04/2014 03:10"/>
        <s v="19/04/2014 13:28"/>
        <s v="19/04/2014 01:04"/>
        <s v="18/04/2014 14:27"/>
        <s v="13/04/2014 13:24"/>
        <s v="13/04/2014 12:36"/>
        <d v="2014-12-04T20:14:00Z"/>
        <d v="2014-11-04T20:29:00Z"/>
        <d v="2014-11-04T08:16:00Z"/>
        <d v="2014-11-04T07:07:00Z"/>
        <d v="2014-03-04T02:43:00Z"/>
        <d v="2014-03-04T01:58:00Z"/>
        <d v="2014-01-04T23:57:00Z"/>
        <d v="2014-01-04T23:46:00Z"/>
        <s v="16/03/2014 21:16"/>
        <d v="2014-10-03T05:18:00Z"/>
        <d v="2014-02-03T20:11:00Z"/>
        <s v="18/02/2014 09:27"/>
        <d v="2014-12-02T09:19:00Z"/>
        <d v="2014-07-02T08:40:00Z"/>
        <d v="2014-02-02T09:26:00Z"/>
        <d v="2014-01-01T16:03:00Z"/>
        <s v="23/11/2013 07:48"/>
        <s v="17/11/2013 09:04"/>
        <s v="16/11/2013 03:34"/>
        <s v="31/10/2013 23:03"/>
        <s v="25/10/2013 17:10"/>
        <s v="19/10/2013 17:54"/>
        <s v="16/10/2013 10:30"/>
        <s v="15/10/2013 00:12"/>
        <d v="2013-12-10T13:11:00Z"/>
        <d v="2013-01-10T03:38:00Z"/>
        <s v="30/09/2013 05:55"/>
        <s v="28/09/2013 07:34"/>
        <s v="25/09/2013 16:42"/>
        <s v="24/09/2013 11:29"/>
        <d v="2013-04-09T02:32:00Z"/>
        <d v="2013-04-09T00:18:00Z"/>
        <d v="2013-01-09T11:52:00Z"/>
        <s v="30/08/2013 16:25"/>
        <s v="16/08/2013 02:31"/>
        <s v="13/08/2013 15:43"/>
        <s v="21/07/2013 05:09"/>
        <s v="15/07/2013 14:03"/>
        <d v="2013-07-07T20:30:00Z"/>
        <d v="2013-07-07T18:35:00Z"/>
        <s v="24/06/2013 22:04"/>
        <s v="15/06/2013 17:34"/>
        <s v="13/06/2013 16:47"/>
        <s v="24/05/2013 14:56"/>
        <s v="24/05/2013 05:44"/>
        <s v="23/05/2013 17:19"/>
        <s v="14/05/2013 00:32"/>
        <s v="23/04/2013 23:14"/>
        <s v="20/04/2013 00:02"/>
        <s v="19/04/2013 03:05"/>
        <s v="16/04/2013 22:55"/>
        <s v="16/04/2013 10:44"/>
        <s v="14/04/2013 01:32"/>
        <d v="2013-06-04T04:42:00Z"/>
        <d v="2013-10-03T22:51:00Z"/>
        <d v="2013-01-03T13:20:00Z"/>
        <s v="28/02/2013 14:05"/>
        <s v="14/02/2013 13:13"/>
        <d v="2013-09-02T21:02:00Z"/>
        <d v="2013-09-02T14:16:00Z"/>
        <d v="2013-08-02T15:26:00Z"/>
        <d v="2013-08-02T11:12:00Z"/>
        <d v="2013-07-02T18:59:00Z"/>
        <d v="2013-06-02T01:54:00Z"/>
        <d v="2013-06-02T01:23:00Z"/>
        <d v="2013-06-02T01:12:00Z"/>
        <d v="2013-02-02T14:17:00Z"/>
        <s v="30/01/2013 20:15"/>
        <d v="2013-05-01T08:58:00Z"/>
        <s v="21/12/2012 22:28"/>
        <d v="2012-10-12T16:53:00Z"/>
        <d v="2012-07-12T08:18:00Z"/>
        <d v="2012-11-11T22:14:00Z"/>
        <d v="2012-11-11T01:12:00Z"/>
        <d v="2012-07-11T16:35:00Z"/>
        <s v="28/10/2012 03:04"/>
        <s v="24/10/2012 00:45"/>
        <d v="2012-12-10T00:31:00Z"/>
        <s v="30/09/2012 16:31"/>
        <d v="2012-05-09T14:42:00Z"/>
        <s v="31/08/2012 12:47"/>
        <s v="27/08/2012 04:37"/>
        <s v="26/08/2012 15:05"/>
        <s v="14/08/2012 02:59"/>
        <s v="28/07/2012 20:03"/>
        <s v="28/04/2012 10:08"/>
        <s v="21/04/2012 01:16"/>
        <s v="17/04/2012 07:13"/>
        <s v="17/04/2012 03:50"/>
        <d v="2012-12-04T07:15:00Z"/>
        <d v="2012-11-04T22:55:00Z"/>
        <d v="2012-11-04T10:43:00Z"/>
        <d v="2012-11-04T08:38:00Z"/>
        <s v="25/03/2012 22:37"/>
        <s v="21/03/2012 22:15"/>
        <s v="20/03/2012 18:02"/>
        <s v="26/02/2012 06:17"/>
        <d v="2012-06-02T03:49:00Z"/>
        <d v="2012-02-02T13:34:00Z"/>
        <d v="2012-10-01T18:36:00Z"/>
        <s v="27/12/2011 15:21"/>
        <s v="14/12/2011 05:04"/>
        <d v="2011-11-12T01:47:00Z"/>
        <s v="28/10/2011 18:54"/>
        <s v="23/10/2011 10:41"/>
        <s v="14/10/2011 03:35"/>
        <s v="18/09/2011 12:40"/>
        <s v="16/09/2011 19:26"/>
        <d v="2011-05-09T17:55:00Z"/>
        <d v="2011-03-09T22:55:00Z"/>
        <s v="24/08/2011 17:46"/>
        <s v="20/08/2011 18:19"/>
        <s v="20/08/2011 17:13"/>
        <s v="20/08/2011 16:55"/>
        <s v="31/07/2011 23:38"/>
        <d v="2011-06-07T19:03:00Z"/>
        <s v="22/06/2011 21:50"/>
        <d v="2011-10-05T08:55:00Z"/>
        <s v="23/04/2011 04:16"/>
        <d v="2011-11-04T08:16:00Z"/>
        <d v="2011-07-04T14:32:00Z"/>
        <d v="2011-07-04T13:11:00Z"/>
        <s v="24/03/2011 13:55"/>
        <d v="2011-11-03T11:36:00Z"/>
        <d v="2011-11-03T08:19:00Z"/>
        <d v="2011-11-03T06:25:00Z"/>
        <d v="2011-11-03T06:15:00Z"/>
        <d v="2011-11-03T05:46:00Z"/>
        <d v="2011-09-03T02:45:00Z"/>
        <s v="14/02/2011 03:40"/>
        <d v="2011-11-02T20:05:00Z"/>
        <s v="18/01/2011 20:23"/>
        <s v="13/01/2011 16:16"/>
        <d v="2011-02-01T20:20:00Z"/>
        <s v="25/12/2010 13:16"/>
        <s v="20/12/2010 18:41"/>
        <d v="2010-02-12T03:12:00Z"/>
        <s v="25/10/2010 14:42"/>
        <s v="21/10/2010 17:53"/>
        <s v="29/09/2010 17:11"/>
        <d v="2010-03-09T16:35:00Z"/>
        <d v="2010-12-08T11:54:00Z"/>
        <d v="2010-10-08T05:23:00Z"/>
        <d v="2010-04-08T22:01:00Z"/>
        <d v="2010-04-08T07:15:00Z"/>
        <s v="23/07/2010 22:51"/>
        <s v="18/07/2010 13:34"/>
        <s v="18/07/2010 13:04"/>
        <s v="14/07/2010 08:32"/>
        <s v="26/06/2010 05:30"/>
        <s v="16/06/2010 03:58"/>
        <s v="16/06/2010 03:16"/>
        <d v="2010-12-06T19:26:00Z"/>
        <s v="27/05/2010 17:14"/>
        <d v="2010-09-05T05:59:00Z"/>
        <s v="13/04/2010 23:49"/>
        <d v="2010-11-04T09:40:00Z"/>
        <d v="2010-06-04T22:15:00Z"/>
        <d v="2010-04-04T22:40:00Z"/>
        <s v="30/03/2010 16:54"/>
        <s v="16/03/2010 02:21"/>
        <s v="14/03/2010 08:08"/>
        <d v="2010-11-03T14:55:00Z"/>
        <d v="2010-11-03T14:39:00Z"/>
        <d v="2010-05-03T16:07:00Z"/>
        <d v="2010-05-03T11:47:00Z"/>
        <d v="2010-04-03T14:02:00Z"/>
        <s v="27/02/2010 08:01"/>
        <s v="27/02/2010 06:34"/>
        <s v="26/02/2010 20:31"/>
        <d v="2010-12-01T21:53:00Z"/>
        <d v="2010-10-01T00:27:00Z"/>
        <d v="2010-05-01T12:15:00Z"/>
        <d v="2010-03-01T22:36:00Z"/>
        <d v="2010-03-01T21:48:00Z"/>
        <s v="13/11/2009 03:05"/>
        <d v="2009-09-11T10:44:00Z"/>
        <d v="2009-08-11T19:41:00Z"/>
        <s v="30/10/2009 07:03"/>
        <s v="24/10/2009 14:40"/>
        <d v="2009-08-10T08:28:00Z"/>
        <d v="2009-07-10T23:13:00Z"/>
        <d v="2009-07-10T22:18:00Z"/>
        <d v="2009-07-10T22:03:00Z"/>
        <d v="2009-01-10T01:52:00Z"/>
        <s v="30/09/2009 10:16"/>
        <s v="29/09/2009 17:48"/>
        <d v="2009-02-09T07:55:00Z"/>
        <s v="16/08/2009 07:38"/>
        <d v="2009-12-08T22:48:00Z"/>
        <d v="2009-10-08T19:55:00Z"/>
        <d v="2009-09-08T10:55:00Z"/>
        <d v="2009-03-08T17:59:00Z"/>
        <s v="15/07/2009 09:22"/>
        <s v="23/06/2009 14:19"/>
        <s v="28/05/2009 08:24"/>
        <s v="19/03/2009 18:17"/>
        <d v="2009-11-02T17:34:00Z"/>
        <d v="2009-03-01T22:33:00Z"/>
        <d v="2009-03-01T20:23:00Z"/>
        <d v="2009-03-01T19:43:00Z"/>
        <s v="16/11/2008 17:02"/>
        <s v="16/10/2008 19:41"/>
        <d v="2008-05-10T15:52:00Z"/>
        <d v="2008-11-09T00:20:00Z"/>
        <d v="2008-11-09T00:00:00Z"/>
        <d v="2008-08-09T18:52:00Z"/>
        <s v="25/08/2008 13:21"/>
        <s v="23/07/2008 15:26"/>
        <s v="19/07/2008 02:39"/>
        <s v="27/06/2008 11:40"/>
        <s v="13/06/2008 23:43"/>
        <d v="2008-12-05T06:28:00Z"/>
        <d v="2008-07-05T16:45:00Z"/>
        <d v="2008-09-04T12:46:00Z"/>
        <s v="20/03/2008 22:32"/>
        <d v="2008-03-03T14:11:00Z"/>
        <s v="25/02/2008 21:02"/>
        <s v="25/02/2008 18:06"/>
        <s v="25/02/2008 08:36"/>
        <s v="24/02/2008 14:46"/>
        <s v="20/02/2008 08:08"/>
        <s v="14/02/2008 12:08"/>
        <s v="14/02/2008 10:09"/>
        <d v="2008-12-02T12:50:00Z"/>
        <s v="20/12/2007 07:55"/>
        <s v="16/12/2007 08:09"/>
        <s v="29/11/2007 19:00"/>
        <s v="27/11/2007 11:49"/>
        <s v="25/11/2007 19:53"/>
        <s v="25/11/2007 16:02"/>
        <s v="22/11/2007 08:48"/>
        <s v="16/11/2007 03:13"/>
        <s v="15/11/2007 15:05"/>
        <s v="14/11/2007 15:40"/>
        <s v="24/10/2007 21:02"/>
        <s v="15/10/2007 12:29"/>
        <s v="26/09/2007 12:36"/>
        <s v="20/09/2007 08:31"/>
        <s v="13/09/2007 03:35"/>
        <s v="13/09/2007 02:30"/>
        <d v="2007-12-09T23:49:00Z"/>
        <d v="2007-12-09T11:10:00Z"/>
        <d v="2007-10-09T01:49:00Z"/>
        <d v="2007-02-09T01:05:00Z"/>
        <s v="16/08/2007 08:39"/>
        <s v="15/08/2007 23:40"/>
        <d v="2007-08-08T17:05:00Z"/>
        <d v="2007-01-08T17:08:00Z"/>
        <s v="26/07/2007 05:40"/>
        <s v="16/07/2007 14:17"/>
        <s v="16/07/2007 01:13"/>
        <s v="13/06/2007 19:29"/>
        <d v="2007-01-04T21:11:00Z"/>
        <d v="2007-01-04T20:47:00Z"/>
        <d v="2007-01-04T20:39:00Z"/>
        <s v="25/03/2007 00:41"/>
        <s v="25/03/2007 00:40"/>
        <s v="20/02/2007 08:04"/>
        <s v="21/01/2007 11:27"/>
        <s v="13/01/2007 04:23"/>
        <s v="26/12/2006 12:34"/>
        <s v="26/12/2006 12:26"/>
        <s v="15/11/2006 11:14"/>
        <d v="2006-07-11T17:38:00Z"/>
        <s v="20/10/2006 10:48"/>
        <s v="17/10/2006 01:25"/>
        <s v="15/10/2006 17:07"/>
        <s v="28/09/2006 06:22"/>
        <d v="2006-01-09T10:18:00Z"/>
        <s v="24/08/2006 21:50"/>
        <d v="2006-07-08T22:18:00Z"/>
        <s v="17/07/2006 08:19"/>
        <s v="28/05/2006 03:12"/>
        <s v="22/05/2006 11:12"/>
        <s v="16/05/2006 15:28"/>
        <d v="2006-03-05T15:26:00Z"/>
        <s v="30/04/2006 21:40"/>
        <s v="30/04/2006 19:17"/>
        <s v="29/04/2006 16:58"/>
        <s v="20/04/2006 23:25"/>
        <d v="2006-07-04T08:30:00Z"/>
        <s v="14/03/2006 06:57"/>
        <s v="22/02/2006 22:19"/>
        <d v="2006-08-01T11:34:00Z"/>
        <d v="2006-04-01T08:32:00Z"/>
        <d v="2005-12-12T21:47:00Z"/>
        <d v="2005-05-12T12:19:00Z"/>
        <d v="2005-02-12T13:13:00Z"/>
        <s v="19/11/2005 14:10"/>
        <s v="17/11/2005 19:26"/>
        <d v="2005-08-10T03:50:00Z"/>
        <s v="29/09/2005 15:50"/>
        <s v="26/09/2005 01:55"/>
        <d v="2005-09-09T07:26:00Z"/>
        <s v="16/08/2005 02:46"/>
        <s v="24/07/2005 15:42"/>
        <d v="2005-05-07T01:52:00Z"/>
        <d v="2005-02-07T02:16:00Z"/>
        <s v="15/06/2005 02:50"/>
        <s v="13/06/2005 22:44"/>
        <s v="19/05/2005 01:54"/>
        <s v="14/05/2005 05:05"/>
        <d v="2005-10-04T11:14:00Z"/>
        <d v="2005-10-04T10:29:00Z"/>
        <s v="28/03/2005 16:09"/>
        <s v="20/03/2005 01:53"/>
        <d v="2005-02-03T10:42:00Z"/>
        <s v="26/02/2005 12:56"/>
        <s v="19/02/2005 00:04"/>
        <s v="15/02/2005 14:42"/>
        <d v="2005-08-02T14:48:00Z"/>
        <d v="2005-05-02T12:23:00Z"/>
        <s v="19/01/2005 06:11"/>
        <s v="26/12/2004 09:20"/>
        <s v="26/12/2004 04:21"/>
        <s v="26/12/2004 00:58"/>
        <s v="23/12/2004 14:59"/>
        <s v="14/12/2004 23:20"/>
        <d v="2004-06-12T14:15:00Z"/>
        <s v="28/11/2004 18:32"/>
        <s v="26/11/2004 02:25"/>
        <s v="22/11/2004 20:26"/>
        <s v="15/11/2004 09:06"/>
        <d v="2004-11-11T21:26:00Z"/>
        <d v="2004-11-11T17:34:00Z"/>
        <d v="2004-02-11T10:02:00Z"/>
        <s v="23/10/2004 08:56"/>
        <s v="15/10/2004 04:08"/>
        <d v="2004-09-10T21:26:00Z"/>
        <d v="2004-08-10T14:36:00Z"/>
        <d v="2004-08-10T08:27:00Z"/>
        <d v="2004-06-09T23:29:00Z"/>
        <d v="2004-05-09T14:57:00Z"/>
        <d v="2004-05-09T10:07:00Z"/>
        <s v="28/08/2004 13:41"/>
        <s v="28/07/2004 03:56"/>
        <d v="2004-10-06T15:19:00Z"/>
        <d v="2004-03-05T04:36:00Z"/>
        <s v="23/04/2004 01:50"/>
        <d v="2004-09-04T15:23:00Z"/>
        <d v="2004-05-04T21:24:00Z"/>
        <d v="2004-08-02T08:58:00Z"/>
        <d v="2004-07-02T02:42:00Z"/>
        <d v="2004-05-02T21:05:00Z"/>
        <s v="28/01/2004 22:15"/>
        <s v="27/12/2003 16:00"/>
        <s v="26/12/2003 01:56"/>
        <s v="25/12/2003 07:11"/>
        <s v="22/12/2003 19:15"/>
        <d v="2003-10-12T04:38:00Z"/>
        <s v="25/11/2003 20:19"/>
        <s v="18/11/2003 17:14"/>
        <d v="2003-06-11T10:38:00Z"/>
        <s v="31/10/2003 01:06"/>
        <d v="2003-08-10T09:06:00Z"/>
        <d v="2003-01-10T01:03:00Z"/>
        <s v="29/09/2003 02:36"/>
        <s v="27/09/2003 11:33"/>
        <s v="25/09/2003 21:08"/>
        <s v="25/09/2003 19:50"/>
        <s v="21/09/2003 18:16"/>
        <s v="21/08/2003 12:12"/>
        <d v="2003-04-08T04:37:00Z"/>
        <s v="15/07/2003 18:46"/>
        <s v="20/06/2003 13:30"/>
        <s v="16/06/2003 22:08"/>
        <d v="2003-07-06T00:32:00Z"/>
        <s v="26/05/2003 19:23"/>
        <s v="26/05/2003 09:24"/>
        <s v="21/05/2003 18:44"/>
        <s v="25/03/2003 02:53"/>
        <d v="2003-11-03T07:27:00Z"/>
        <s v="22/01/2003 02:06"/>
        <s v="21/01/2003 02:46"/>
        <s v="20/01/2003 08:43"/>
        <d v="2003-10-01T13:11:00Z"/>
        <d v="2002-12-12T08:30:00Z"/>
        <d v="2002-03-11T22:12:00Z"/>
        <d v="2002-02-11T01:26:00Z"/>
        <s v="23/10/2002 11:27"/>
        <d v="2002-10-10T12:28:00Z"/>
        <d v="2002-10-10T10:50:00Z"/>
        <s v="13/09/2002 22:28"/>
        <d v="2002-08-09T18:44:00Z"/>
        <s v="14/08/2002 13:57"/>
        <s v="31/07/2002 00:16"/>
        <s v="22/06/2002 02:58"/>
        <s v="18/06/2002 13:56"/>
        <s v="17/06/2002 21:26"/>
        <s v="26/04/2002 16:06"/>
        <s v="18/04/2002 16:08"/>
        <s v="18/04/2002 05:02"/>
        <s v="31/03/2002 06:52"/>
        <s v="28/03/2002 04:56"/>
        <d v="2002-05-03T21:16:00Z"/>
        <d v="2002-03-03T12:08:00Z"/>
        <d v="2002-05-02T13:27:00Z"/>
        <d v="2002-03-02T07:11:00Z"/>
        <d v="2002-10-01T11:14:00Z"/>
        <d v="2002-03-01T10:17:00Z"/>
        <d v="2002-02-01T17:22:00Z"/>
        <s v="23/12/2001 22:52"/>
        <s v="18/12/2001 04:02"/>
        <d v="2001-02-12T13:01:00Z"/>
        <s v="14/11/2001 09:26"/>
        <s v="31/10/2001 09:10"/>
        <s v="19/10/2001 03:28"/>
        <d v="2001-12-10T15:02:00Z"/>
        <d v="2001-11-09T14:56:00Z"/>
        <s v="28/07/2001 07:32"/>
        <s v="26/07/2001 00:21"/>
        <d v="2001-07-07T09:38:00Z"/>
        <d v="2001-05-07T13:53:00Z"/>
        <s v="26/06/2001 04:18"/>
        <s v="23/06/2001 20:33"/>
        <s v="19/04/2001 21:43"/>
        <s v="24/03/2001 06:27"/>
        <s v="19/03/2001 05:52"/>
        <s v="28/02/2001 18:54"/>
        <s v="24/02/2001 07:23"/>
        <s v="13/02/2001 19:28"/>
        <s v="13/02/2001 14:22"/>
        <s v="26/01/2001 03:16"/>
        <s v="16/01/2001 13:25"/>
        <s v="13/01/2001 17:33"/>
        <d v="2001-10-01T16:02:00Z"/>
        <d v="2001-09-01T16:49:00Z"/>
        <d v="2001-01-01T08:54:00Z"/>
        <d v="2001-01-01T06:57:00Z"/>
        <d v="2000-06-12T22:57:00Z"/>
        <d v="2000-06-12T17:11:00Z"/>
        <s v="25/11/2000 18:10"/>
        <s v="25/11/2000 18:09"/>
        <s v="18/11/2000 06:54"/>
        <s v="18/11/2000 02:05"/>
        <s v="17/11/2000 21:01"/>
        <s v="16/11/2000 07:45"/>
        <s v="16/11/2000 07:42"/>
        <s v="16/11/2000 04:54"/>
        <d v="2000-08-11T06:59:00Z"/>
        <s v="29/10/2000 08:37"/>
        <s v="25/10/2000 09:32"/>
        <d v="2000-06-10T04:30:00Z"/>
        <d v="2000-04-10T16:58:00Z"/>
        <d v="2000-02-10T02:25:00Z"/>
        <s v="28/08/2000 15:05"/>
        <d v="2000-09-08T11:41:00Z"/>
        <d v="2000-04-08T21:13:00Z"/>
        <d v="2000-03-08T01:09:00Z"/>
        <s v="30/07/2000 12:25"/>
        <s v="16/07/2000 03:57"/>
        <d v="2000-11-07T01:32:00Z"/>
        <s v="21/06/2000 00:51"/>
        <s v="18/06/2000 14:44"/>
        <s v="17/06/2000 15:40"/>
        <d v="2000-07-06T23:45:00Z"/>
        <d v="2000-04-06T16:39:00Z"/>
        <d v="2000-04-06T16:28:00Z"/>
        <d v="2000-12-05T18:43:00Z"/>
        <d v="2000-04-05T04:21:00Z"/>
        <d v="2000-03-03T22:22:00Z"/>
        <d v="2000-06-02T11:33:00Z"/>
        <s v="28/01/2000 14:21"/>
        <d v="2000-08-01T16:47:00Z"/>
        <s v="29/12/1999 13:29"/>
        <s v="21/12/1999 14:14"/>
        <d v="1999-11-12T18:03:00Z"/>
        <d v="1999-06-12T23:12:00Z"/>
        <s v="30/11/1999 04:01"/>
        <s v="26/11/1999 13:21"/>
        <s v="19/11/1999 13:56"/>
        <s v="17/11/1999 03:27"/>
        <d v="1999-12-11T16:57:00Z"/>
        <d v="1999-08-11T16:45:00Z"/>
        <s v="16/10/1999 09:46"/>
        <s v="30/09/1999 16:31"/>
        <s v="25/09/1999 23:52"/>
        <s v="20/09/1999 17:47"/>
        <s v="22/08/1999 12:40"/>
        <s v="20/08/1999 10:02"/>
        <s v="17/08/1999 00:01"/>
        <d v="1999-11-07T14:14:00Z"/>
        <s v="15/06/1999 20:42"/>
        <s v="17/05/1999 10:07"/>
        <s v="16/05/1999 00:51"/>
        <d v="1999-10-05T20:33:00Z"/>
        <s v="13/04/1999 10:38"/>
        <d v="1999-05-04T11:08:00Z"/>
        <d v="1999-03-04T06:17:00Z"/>
        <s v="28/03/1999 19:05"/>
        <s v="20/03/1999 10:47"/>
        <d v="1999-08-03T12:25:00Z"/>
        <d v="1999-04-03T08:52:00Z"/>
        <d v="1999-04-03T05:38:00Z"/>
        <d v="1999-06-02T21:47:00Z"/>
        <s v="28/01/1999 08:10"/>
        <s v="19/01/1999 03:35"/>
        <s v="27/12/1998 00:38"/>
        <s v="29/11/1998 14:10"/>
        <d v="1998-09-11T05:38:00Z"/>
        <d v="1998-09-11T05:30:00Z"/>
        <s v="28/09/1998 13:34"/>
        <d v="1998-03-09T17:37:00Z"/>
        <d v="1998-02-09T08:37:00Z"/>
        <d v="1998-04-08T18:59:00Z"/>
        <s v="29/07/1998 18:00"/>
        <s v="17/07/1998 08:49"/>
        <s v="16/07/1998 11:56"/>
        <s v="30/05/1998 06:22"/>
        <s v="22/05/1998 04:48"/>
        <s v="21/05/1998 05:34"/>
        <s v="13/05/1998 23:02"/>
        <d v="1998-03-05T23:30:00Z"/>
        <d v="1998-03-04T22:01:00Z"/>
        <d v="1998-01-04T17:56:00Z"/>
        <s v="14/03/1998 19:40"/>
        <s v="30/01/1998 12:16"/>
        <d v="1998-12-01T16:36:00Z"/>
        <d v="1998-12-01T10:14:00Z"/>
        <d v="1998-10-01T08:20:00Z"/>
        <s v="22/12/1997 02:05"/>
        <d v="1997-05-12T11:26:00Z"/>
        <s v="25/11/1997 12:14"/>
        <s v="18/11/1997 13:07"/>
        <s v="15/11/1997 18:59"/>
        <d v="1997-09-11T22:56:00Z"/>
        <d v="1997-08-11T10:02:00Z"/>
        <s v="28/10/1997 06:15"/>
        <s v="15/10/1997 01:03"/>
        <s v="14/10/1997 09:53"/>
        <d v="1997-06-10T12:30:00Z"/>
        <d v="1997-02-09T12:13:00Z"/>
        <s v="29/08/1997 08:14"/>
        <s v="19/07/1997 14:22"/>
        <d v="1997-09-07T19:24:00Z"/>
        <d v="1997-06-07T09:54:00Z"/>
        <s v="22/05/1997 07:50"/>
        <s v="21/05/1997 14:10"/>
        <s v="13/05/1997 14:13"/>
        <d v="1997-10-05T07:57:00Z"/>
        <s v="23/04/1997 19:44"/>
        <s v="22/04/1997 09:31"/>
        <s v="21/04/1997 12:02"/>
        <d v="1997-05-04T12:23:00Z"/>
        <d v="1997-11-03T19:22:00Z"/>
        <s v="27/02/1997 21:08"/>
        <d v="1997-04-02T10:37:00Z"/>
        <d v="1997-11-01T20:28:00Z"/>
        <s v="22/12/1996 14:53"/>
        <d v="1996-02-12T22:17:00Z"/>
        <s v="19/11/1996 10:44"/>
        <d v="1996-12-11T16:59:00Z"/>
        <s v="19/10/1996 14:44"/>
        <s v="18/10/1996 10:50"/>
        <s v="14/10/1996 23:26"/>
        <d v="1996-09-10T13:10:00Z"/>
        <s v="20/09/1996 04:11"/>
        <s v="20/09/1996 04:10"/>
        <d v="1996-05-09T23:42:00Z"/>
        <d v="1996-02-08T12:55:00Z"/>
        <s v="22/07/1996 14:19"/>
        <s v="16/07/1996 10:07"/>
        <s v="15/07/1996 21:23"/>
        <s v="17/06/1996 11:22"/>
        <d v="1996-11-06T18:22:00Z"/>
        <d v="1996-10-06T15:24:00Z"/>
        <d v="1996-10-06T04:03:00Z"/>
        <d v="1996-10-06T01:04:00Z"/>
        <s v="29/04/1996 14:40"/>
        <s v="19/04/1996 00:19"/>
        <s v="17/03/1996 14:48"/>
        <d v="1996-03-03T16:37:00Z"/>
        <d v="1996-03-03T14:55:00Z"/>
        <s v="25/02/1996 03:08"/>
        <s v="21/02/1996 12:51"/>
        <s v="17/02/1996 20:18"/>
        <s v="17/02/1996 14:21"/>
        <s v="17/02/1996 05:59"/>
        <s v="16/02/1996 15:22"/>
        <d v="1996-07-02T21:36:00Z"/>
        <d v="1996-03-02T11:14:00Z"/>
        <d v="1996-01-01T09:57:00Z"/>
        <d v="1996-01-01T08:05:00Z"/>
        <s v="25/12/1995 04:43"/>
        <s v="19/12/1995 23:28"/>
        <d v="1995-03-12T18:01:00Z"/>
        <s v="22/11/1995 04:15"/>
        <d v="1995-01-11T00:35:00Z"/>
        <s v="21/10/1995 02:38"/>
        <s v="19/10/1995 02:41"/>
        <s v="18/10/1995 10:37"/>
        <d v="1995-09-10T15:35:00Z"/>
        <d v="1995-06-10T18:09:00Z"/>
        <d v="1995-03-10T12:44:00Z"/>
        <d v="1995-03-10T01:51:00Z"/>
        <s v="23/09/1995 22:31"/>
        <s v="14/09/1995 14:04"/>
        <s v="28/08/1995 10:46"/>
        <s v="19/08/1995 21:43"/>
        <s v="16/08/1995 23:10"/>
        <s v="16/08/1995 16:24"/>
        <s v="16/08/1995 10:27"/>
        <s v="14/08/1995 04:37"/>
        <s v="30/07/1995 05:11"/>
        <d v="1995-11-07T21:46:00Z"/>
        <s v="29/06/1995 12:24"/>
        <s v="15/06/1995 00:15"/>
        <s v="27/05/1995 13:03"/>
        <s v="16/05/1995 20:12"/>
        <s v="14/05/1995 11:33"/>
        <s v="13/05/1995 08:47"/>
        <d v="1995-05-05T03:53:00Z"/>
        <m/>
      </sharedItems>
    </cacheField>
    <cacheField name="cdi" numFmtId="0">
      <sharedItems containsString="0" containsBlank="1" containsNumber="1" containsInteger="1">
        <n v="7.0"/>
        <n v="8.0"/>
        <n v="6.0"/>
        <n v="0.0"/>
        <n v="5.0"/>
        <n v="4.0"/>
        <n v="3.0"/>
        <n v="9.0"/>
        <n v="1.0"/>
        <n v="2.0"/>
        <m/>
      </sharedItems>
    </cacheField>
    <cacheField name="mmi" numFmtId="0">
      <sharedItems containsString="0" containsBlank="1" containsNumber="1" containsInteger="1">
        <n v="4.0"/>
        <n v="6.0"/>
        <n v="5.0"/>
        <n v="2.0"/>
        <n v="7.0"/>
        <n v="3.0"/>
        <n v="9.0"/>
        <n v="8.0"/>
        <n v="1.0"/>
        <n v="10.0"/>
        <m/>
      </sharedItems>
    </cacheField>
    <cacheField name="alert" numFmtId="0">
      <sharedItems containsBlank="1">
        <s v="green"/>
        <s v="yellow"/>
        <m/>
        <s v="orange"/>
        <s v="red"/>
      </sharedItems>
    </cacheField>
    <cacheField name="tsunami" numFmtId="0">
      <sharedItems containsString="0" containsBlank="1" containsNumber="1" containsInteger="1">
        <n v="0.0"/>
        <n v="1.0"/>
        <m/>
      </sharedItems>
    </cacheField>
    <cacheField name="sig" numFmtId="0">
      <sharedItems containsString="0" containsBlank="1" containsNumber="1" containsInteger="1">
        <n v="657.0"/>
        <n v="775.0"/>
        <n v="899.0"/>
        <n v="860.0"/>
        <n v="820.0"/>
        <n v="802.0"/>
        <n v="741.0"/>
        <n v="804.0"/>
        <n v="733.0"/>
        <n v="777.0"/>
        <n v="927.0"/>
        <n v="907.0"/>
        <n v="670.0"/>
        <n v="838.0"/>
        <n v="691.0"/>
        <n v="818.0"/>
        <n v="655.0"/>
        <n v="781.0"/>
        <n v="656.0"/>
        <n v="1350.0"/>
        <n v="1159.0"/>
        <n v="756.0"/>
        <n v="735.0"/>
        <n v="653.0"/>
        <n v="652.0"/>
        <n v="737.0"/>
        <n v="1411.0"/>
        <n v="800.0"/>
        <n v="2910.0"/>
        <n v="718.0"/>
        <n v="957.0"/>
        <n v="768.0"/>
        <n v="720.0"/>
        <n v="755.0"/>
        <n v="833.0"/>
        <n v="711.0"/>
        <n v="797.0"/>
        <n v="1179.0"/>
        <n v="1799.0"/>
        <n v="887.0"/>
        <n v="761.0"/>
        <n v="965.0"/>
        <n v="1043.0"/>
        <n v="672.0"/>
        <n v="1351.0"/>
        <n v="876.0"/>
        <n v="762.0"/>
        <n v="763.0"/>
        <n v="738.0"/>
        <n v="806.0"/>
        <n v="2397.0"/>
        <n v="708.0"/>
        <n v="712.0"/>
        <n v="690.0"/>
        <n v="651.0"/>
        <n v="785.0"/>
        <n v="650.0"/>
        <n v="674.0"/>
        <n v="730.0"/>
        <n v="976.0"/>
        <n v="1012.0"/>
        <n v="921.0"/>
        <n v="854.0"/>
        <n v="1094.0"/>
        <n v="688.0"/>
        <n v="995.0"/>
        <n v="740.0"/>
        <n v="826.0"/>
        <n v="684.0"/>
        <n v="2504.0"/>
        <n v="776.0"/>
        <n v="734.0"/>
        <n v="2331.0"/>
        <n v="1009.0"/>
        <n v="868.0"/>
        <n v="846.0"/>
        <n v="1237.0"/>
        <n v="1252.0"/>
        <n v="935.0"/>
        <n v="830.0"/>
        <n v="1025.0"/>
        <n v="698.0"/>
        <n v="694.0"/>
        <n v="919.0"/>
        <n v="1052.0"/>
        <n v="1021.0"/>
        <n v="843.0"/>
        <n v="932.0"/>
        <n v="1612.0"/>
        <n v="918.0"/>
        <n v="739.0"/>
        <n v="1527.0"/>
        <n v="1165.0"/>
        <n v="732.0"/>
        <n v="824.0"/>
        <n v="749.0"/>
        <n v="716.0"/>
        <n v="784.0"/>
        <n v="1111.0"/>
        <n v="1494.0"/>
        <n v="873.0"/>
        <n v="835.0"/>
        <n v="1320.0"/>
        <n v="671.0"/>
        <n v="678.0"/>
        <n v="1410.0"/>
        <n v="879.0"/>
        <n v="770.0"/>
        <n v="1812.0"/>
        <n v="1247.0"/>
        <n v="825.0"/>
        <n v="799.0"/>
        <n v="673.0"/>
        <n v="780.0"/>
        <n v="844.0"/>
        <n v="875.0"/>
        <n v="947.0"/>
        <n v="809.0"/>
        <n v="791.0"/>
        <n v="747.0"/>
        <n v="1646.0"/>
        <n v="952.0"/>
        <n v="886.0"/>
        <n v="1890.0"/>
        <n v="929.0"/>
        <n v="717.0"/>
        <n v="869.0"/>
        <n v="1145.0"/>
        <n v="909.0"/>
        <n v="1600.0"/>
        <n v="715.0"/>
        <n v="803.0"/>
        <n v="822.0"/>
        <n v="871.0"/>
        <n v="1790.0"/>
        <n v="693.0"/>
        <n v="954.0"/>
        <n v="669.0"/>
        <n v="758.0"/>
        <n v="2026.0"/>
        <n v="979.0"/>
        <n v="1075.0"/>
        <n v="1570.0"/>
        <n v="1206.0"/>
        <n v="1050.0"/>
        <n v="743.0"/>
        <n v="1704.0"/>
        <n v="1392.0"/>
        <n v="696.0"/>
        <n v="719.0"/>
        <n v="697.0"/>
        <n v="943.0"/>
        <n v="1384.0"/>
        <n v="1870.0"/>
        <n v="1623.0"/>
        <n v="998.0"/>
        <n v="771.0"/>
        <n v="676.0"/>
        <n v="1153.0"/>
        <n v="2790.0"/>
        <n v="661.0"/>
        <n v="727.0"/>
        <n v="1686.0"/>
        <n v="707.0"/>
        <n v="1064.0"/>
        <n v="704.0"/>
        <n v="1034.0"/>
        <n v="1188.0"/>
        <n v="713.0"/>
        <n v="814.0"/>
        <n v="1642.0"/>
        <n v="1297.0"/>
        <n v="987.0"/>
        <n v="654.0"/>
        <n v="849.0"/>
        <n v="742.0"/>
        <n v="1152.0"/>
        <n v="726.0"/>
        <n v="972.0"/>
        <n v="961.0"/>
        <n v="1120.0"/>
        <n v="731.0"/>
        <n v="855.0"/>
        <n v="1144.0"/>
        <n v="664.0"/>
        <n v="1545.0"/>
        <n v="2840.0"/>
        <n v="677.0"/>
        <n v="897.0"/>
        <n v="981.0"/>
        <n v="971.0"/>
        <n v="798.0"/>
        <n v="744.0"/>
        <n v="1163.0"/>
        <n v="2074.0"/>
        <n v="903.0"/>
        <n v="692.0"/>
        <n v="948.0"/>
        <n v="1496.0"/>
        <n v="1515.0"/>
        <n v="765.0"/>
        <n v="827.0"/>
        <n v="896.0"/>
        <n v="1018.0"/>
        <n v="702.0"/>
        <n v="675.0"/>
        <n v="841.0"/>
        <n v="1448.0"/>
        <n v="1960.0"/>
        <n v="759.0"/>
        <n v="686.0"/>
        <n v="1151.0"/>
        <n v="831.0"/>
        <n v="1563.0"/>
        <n v="714.0"/>
        <n v="1016.0"/>
        <n v="2820.0"/>
        <n v="872.0"/>
        <n v="760.0"/>
        <n v="700.0"/>
        <n v="709.0"/>
        <n v="779.0"/>
        <n v="982.0"/>
        <n v="724.0"/>
        <n v="706.0"/>
        <n v="1079.0"/>
        <n v="963.0"/>
        <n v="951.0"/>
        <n v="865.0"/>
        <n v="1017.0"/>
        <n v="842.0"/>
        <n v="889.0"/>
        <n v="1057.0"/>
        <n v="1332.0"/>
        <n v="1211.0"/>
        <n v="668.0"/>
        <n v="681.0"/>
        <n v="912.0"/>
        <n v="723.0"/>
        <n v="1092.0"/>
        <n v="1005.0"/>
        <n v="2015.0"/>
        <n v="679.0"/>
        <n v="710.0"/>
        <n v="1115.0"/>
        <n v="2083.0"/>
        <n v="1421.0"/>
        <n v="736.0"/>
        <n v="904.0"/>
        <n v="754.0"/>
        <n v="993.0"/>
        <n v="1425.0"/>
        <n v="1014.0"/>
        <n v="795.0"/>
        <n v="1455.0"/>
        <n v="1726.0"/>
        <n v="745.0"/>
        <n v="1221.0"/>
        <n v="1555.0"/>
        <n v="994.0"/>
        <n v="941.0"/>
        <n v="1000.0"/>
        <n v="1171.0"/>
        <n v="1213.0"/>
        <n v="2048.0"/>
        <n v="1752.0"/>
        <n v="1551.0"/>
        <n v="793.0"/>
        <n v="834.0"/>
        <n v="1400.0"/>
        <n v="847.0"/>
        <n v="1096.0"/>
        <n v="1562.0"/>
        <n v="915.0"/>
        <n v="913.0"/>
        <n v="787.0"/>
        <n v="813.0"/>
        <n v="893.0"/>
        <n v="1114.0"/>
        <n v="1154.0"/>
        <n v="931.0"/>
        <n v="1140.0"/>
        <n v="2184.0"/>
        <n v="988.0"/>
        <n v="1449.0"/>
        <n v="1054.0"/>
        <n v="946.0"/>
        <n v="772.0"/>
        <n v="1245.0"/>
        <n v="945.0"/>
        <n v="850.0"/>
        <n v="757.0"/>
        <n v="659.0"/>
        <n v="902.0"/>
        <n v="753.0"/>
        <n v="773.0"/>
        <n v="936.0"/>
        <n v="701.0"/>
        <n v="856.0"/>
        <n v="810.0"/>
        <n v="874.0"/>
        <n v="1280.0"/>
        <n v="1991.0"/>
        <n v="1180.0"/>
        <n v="1360.0"/>
        <n v="916.0"/>
        <n v="1639.0"/>
        <n v="1055.0"/>
        <n v="1175.0"/>
        <n v="703.0"/>
        <n v="1248.0"/>
        <n v="1202.0"/>
        <n v="1560.0"/>
        <n v="848.0"/>
        <n v="1046.0"/>
        <n v="840.0"/>
        <n v="680.0"/>
        <n v="888.0"/>
        <n v="910.0"/>
        <n v="832.0"/>
        <n v="914.0"/>
        <n v="808.0"/>
        <n v="1542.0"/>
        <n v="722.0"/>
        <n v="790.0"/>
        <n v="1133.0"/>
        <n v="1086.0"/>
        <n v="1385.0"/>
        <n v="782.0"/>
        <n v="1023.0"/>
        <n v="1481.0"/>
        <n v="1013.0"/>
        <n v="1026.0"/>
        <n v="891.0"/>
        <n v="934.0"/>
        <n v="721.0"/>
        <n v="683.0"/>
        <n v="1267.0"/>
        <n v="1104.0"/>
        <n v="1318.0"/>
        <n v="1020.0"/>
        <n v="1138.0"/>
        <n v="805.0"/>
        <n v="1274.0"/>
        <n v="858.0"/>
        <n v="870.0"/>
        <n v="705.0"/>
        <n v="665.0"/>
        <n v="1390.0"/>
        <n v="1024.0"/>
        <n v="1750.0"/>
        <n v="1441.0"/>
        <n v="985.0"/>
        <n v="960.0"/>
        <n v="1576.0"/>
        <n v="1007.0"/>
        <m/>
      </sharedItems>
    </cacheField>
    <cacheField name="net" numFmtId="0">
      <sharedItems containsBlank="1">
        <s v="us"/>
        <s v="at"/>
        <s v="pt"/>
        <s v="ak"/>
        <s v="nn"/>
        <s v="ci"/>
        <s v="hv"/>
        <s v="nc"/>
        <s v="official"/>
        <s v="duputel"/>
        <s v="uw"/>
        <m/>
      </sharedItems>
    </cacheField>
    <cacheField name="nst" numFmtId="0">
      <sharedItems containsString="0" containsBlank="1" containsNumber="1" containsInteger="1">
        <n v="114.0"/>
        <n v="92.0"/>
        <n v="70.0"/>
        <n v="173.0"/>
        <n v="79.0"/>
        <n v="95.0"/>
        <n v="136.0"/>
        <n v="85.0"/>
        <n v="50.0"/>
        <n v="98.0"/>
        <n v="277.0"/>
        <n v="111.0"/>
        <n v="52.0"/>
        <n v="126.0"/>
        <n v="166.0"/>
        <n v="131.0"/>
        <n v="104.0"/>
        <n v="105.0"/>
        <n v="97.0"/>
        <n v="134.0"/>
        <n v="152.0"/>
        <n v="116.0"/>
        <n v="108.0"/>
        <n v="66.0"/>
        <n v="115.0"/>
        <n v="128.0"/>
        <n v="135.0"/>
        <n v="118.0"/>
        <n v="60.0"/>
        <n v="130.0"/>
        <n v="117.0"/>
        <n v="99.0"/>
        <n v="147.0"/>
        <n v="149.0"/>
        <n v="142.0"/>
        <n v="145.0"/>
        <n v="175.0"/>
        <n v="271.0"/>
        <n v="215.0"/>
        <n v="178.0"/>
        <n v="192.0"/>
        <n v="272.0"/>
        <n v="141.0"/>
        <n v="68.0"/>
        <n v="236.0"/>
        <n v="144.0"/>
        <n v="127.0"/>
        <n v="162.0"/>
        <n v="0.0"/>
        <n v="23.0"/>
        <n v="20.0"/>
        <n v="27.0"/>
        <n v="77.0"/>
        <n v="63.0"/>
        <n v="112.0"/>
        <n v="229.0"/>
        <n v="398.0"/>
        <n v="139.0"/>
        <n v="698.0"/>
        <n v="515.0"/>
        <n v="217.0"/>
        <n v="385.0"/>
        <n v="626.0"/>
        <n v="264.0"/>
        <n v="548.0"/>
        <n v="770.0"/>
        <n v="445.0"/>
        <n v="506.0"/>
        <n v="491.0"/>
        <n v="640.0"/>
        <n v="317.0"/>
        <n v="480.0"/>
        <n v="531.0"/>
        <n v="697.0"/>
        <n v="421.0"/>
        <n v="562.0"/>
        <n v="334.0"/>
        <n v="400.0"/>
        <n v="387.0"/>
        <n v="550.0"/>
        <n v="460.0"/>
        <n v="686.0"/>
        <n v="596.0"/>
        <n v="521.0"/>
        <n v="517.0"/>
        <n v="918.0"/>
        <n v="598.0"/>
        <n v="391.0"/>
        <n v="751.0"/>
        <n v="807.0"/>
        <n v="691.0"/>
        <n v="291.0"/>
        <n v="934.0"/>
        <n v="703.0"/>
        <n v="682.0"/>
        <n v="417.0"/>
        <n v="497.0"/>
        <n v="862.0"/>
        <n v="576.0"/>
        <n v="529.0"/>
        <n v="370.0"/>
        <n v="597.0"/>
        <n v="518.0"/>
        <n v="474.0"/>
        <n v="599.0"/>
        <n v="341.0"/>
        <n v="499.0"/>
        <n v="553.0"/>
        <n v="672.0"/>
        <n v="572.0"/>
        <n v="573.0"/>
        <n v="443.0"/>
        <n v="545.0"/>
        <n v="485.0"/>
        <n v="578.0"/>
        <n v="693.0"/>
        <n v="423.0"/>
        <n v="383.0"/>
        <n v="667.0"/>
        <n v="447.0"/>
        <n v="406.0"/>
        <n v="471.0"/>
        <n v="564.0"/>
        <n v="322.0"/>
        <n v="280.0"/>
        <n v="567.0"/>
        <n v="592.0"/>
        <n v="519.0"/>
        <n v="586.0"/>
        <n v="446.0"/>
        <n v="335.0"/>
        <n v="668.0"/>
        <n v="369.0"/>
        <n v="507.0"/>
        <n v="163.0"/>
        <n v="541.0"/>
        <n v="358.0"/>
        <n v="382.0"/>
        <n v="372.0"/>
        <n v="397.0"/>
        <n v="409.0"/>
        <n v="279.0"/>
        <n v="306.0"/>
        <n v="379.0"/>
        <n v="352.0"/>
        <n v="365.0"/>
        <n v="405.0"/>
        <n v="396.0"/>
        <n v="403.0"/>
        <n v="340.0"/>
        <n v="456.0"/>
        <n v="295.0"/>
        <n v="392.0"/>
        <n v="309.0"/>
        <n v="307.0"/>
        <n v="514.0"/>
        <n v="327.0"/>
        <n v="611.0"/>
        <n v="410.0"/>
        <n v="399.0"/>
        <n v="10.0"/>
        <n v="413.0"/>
        <n v="312.0"/>
        <n v="415.0"/>
        <n v="401.0"/>
        <n v="255.0"/>
        <n v="426.0"/>
        <n v="454.0"/>
        <n v="487.0"/>
        <n v="500.0"/>
        <n v="51.0"/>
        <n v="338.0"/>
        <n v="377.0"/>
        <n v="282.0"/>
        <n v="390.0"/>
        <n v="430.0"/>
        <n v="305.0"/>
        <n v="424.0"/>
        <n v="174.0"/>
        <n v="314.0"/>
        <n v="195.0"/>
        <n v="283.0"/>
        <n v="498.0"/>
        <n v="520.0"/>
        <n v="336.0"/>
        <n v="303.0"/>
        <n v="243.0"/>
        <n v="434.0"/>
        <n v="269.0"/>
        <n v="464.0"/>
        <n v="504.0"/>
        <n v="432.0"/>
        <n v="344.0"/>
        <n v="288.0"/>
        <n v="481.0"/>
        <n v="463.0"/>
        <n v="325.0"/>
        <n v="633.0"/>
        <n v="577.0"/>
        <n v="630.0"/>
        <n v="654.0"/>
        <n v="774.0"/>
        <n v="486.0"/>
        <n v="532.0"/>
        <n v="544.0"/>
        <n v="543.0"/>
        <n v="505.0"/>
        <n v="429.0"/>
        <n v="607.0"/>
        <n v="650.0"/>
        <n v="645.0"/>
        <n v="461.0"/>
        <n v="663.0"/>
        <n v="353.0"/>
        <n v="649.0"/>
        <n v="285.0"/>
        <n v="610.0"/>
        <n v="494.0"/>
        <n v="348.0"/>
        <n v="503.0"/>
        <n v="537.0"/>
        <n v="411.0"/>
        <n v="653.0"/>
        <n v="625.0"/>
        <n v="228.0"/>
        <n v="374.0"/>
        <n v="664.0"/>
        <n v="782.0"/>
        <n v="468.0"/>
        <n v="251.0"/>
        <n v="439.0"/>
        <n v="493.0"/>
        <n v="253.0"/>
        <n v="570.0"/>
        <n v="606.0"/>
        <n v="466.0"/>
        <n v="744.0"/>
        <n v="444.0"/>
        <n v="533.0"/>
        <n v="43.0"/>
        <n v="702.0"/>
        <n v="459.0"/>
        <n v="700.0"/>
        <n v="551.0"/>
        <n v="357.0"/>
        <n v="477.0"/>
        <n v="701.0"/>
        <n v="579.0"/>
        <n v="247.0"/>
        <n v="412.0"/>
        <n v="769.0"/>
        <n v="323.0"/>
        <n v="561.0"/>
        <n v="509.0"/>
        <n v="724.0"/>
        <n v="402.0"/>
        <n v="696.0"/>
        <n v="502.0"/>
        <n v="636.0"/>
        <n v="420.0"/>
        <n v="714.0"/>
        <n v="635.0"/>
        <n v="695.0"/>
        <n v="478.0"/>
        <n v="656.0"/>
        <n v="510.0"/>
        <n v="569.0"/>
        <n v="371.0"/>
        <n v="286.0"/>
        <n v="457.0"/>
        <n v="225.0"/>
        <n v="601.0"/>
        <n v="331.0"/>
        <n v="639.0"/>
        <n v="759.0"/>
        <n v="929.0"/>
        <n v="585.0"/>
        <n v="708.0"/>
        <n v="301.0"/>
        <n v="233.0"/>
        <n v="441.0"/>
        <n v="526.0"/>
        <n v="594.0"/>
        <n v="643.0"/>
        <n v="349.0"/>
        <n v="798.0"/>
        <n v="386.0"/>
        <n v="728.0"/>
        <n v="256.0"/>
        <n v="367.0"/>
        <n v="235.0"/>
        <n v="552.0"/>
        <n v="65.0"/>
        <n v="384.0"/>
        <n v="475.0"/>
        <n v="568.0"/>
        <n v="556.0"/>
        <n v="428.0"/>
        <n v="315.0"/>
        <n v="156.0"/>
        <n v="733.0"/>
        <n v="419.0"/>
        <n v="473.0"/>
        <n v="690.0"/>
        <n v="534.0"/>
        <n v="431.0"/>
        <n v="316.0"/>
        <n v="453.0"/>
        <n v="418.0"/>
        <n v="250.0"/>
        <n v="375.0"/>
        <n v="646.0"/>
        <n v="260.0"/>
        <n v="555.0"/>
        <n v="257.0"/>
        <n v="462.0"/>
        <n v="292.0"/>
        <n v="321.0"/>
        <n v="138.0"/>
        <n v="482.0"/>
        <n v="333.0"/>
        <n v="427.0"/>
        <n v="605.0"/>
        <n v="368.0"/>
        <n v="254.0"/>
        <n v="234.0"/>
        <n v="483.0"/>
        <n v="324.0"/>
        <n v="422.0"/>
        <n v="206.0"/>
        <n v="67.0"/>
        <n v="221.0"/>
        <n v="273.0"/>
        <n v="472.0"/>
        <n v="64.0"/>
        <n v="495.0"/>
        <n v="268.0"/>
        <n v="267.0"/>
        <n v="346.0"/>
        <n v="71.0"/>
        <n v="294.0"/>
        <n v="593.0"/>
        <n v="218.0"/>
        <n v="351.0"/>
        <n v="73.0"/>
        <m/>
      </sharedItems>
    </cacheField>
    <cacheField name="dmin" numFmtId="0">
      <sharedItems containsString="0" containsBlank="1" containsNumber="1">
        <n v="7.177"/>
        <n v="0.679"/>
        <n v="1.634"/>
        <n v="0.907"/>
        <n v="0.879451"/>
        <n v="2.454"/>
        <n v="1.179"/>
        <n v="2.59"/>
        <n v="2.163"/>
        <n v="2.812"/>
        <n v="3.111"/>
        <n v="3.631"/>
        <n v="5.123"/>
        <n v="2.282"/>
        <n v="0.708"/>
        <n v="4.719"/>
        <n v="1.881"/>
        <n v="0.266"/>
        <n v="6.45"/>
        <n v="1.622"/>
        <n v="2.53"/>
        <n v="0.709"/>
        <n v="1.789"/>
        <n v="0.784"/>
        <n v="5.483"/>
        <n v="2.739"/>
        <n v="1.783"/>
        <n v="0.85"/>
        <n v="0.218"/>
        <n v="1.919"/>
        <n v="5.129"/>
        <n v="1.974"/>
        <n v="1.575"/>
        <n v="6.096"/>
        <n v="2.587"/>
        <n v="0.509"/>
        <n v="2.229"/>
        <n v="3.125"/>
        <n v="1.865"/>
        <n v="4.998"/>
        <n v="4.578"/>
        <n v="4.678"/>
        <n v="1.151"/>
        <n v="2.137"/>
        <n v="1.153"/>
        <n v="0.401"/>
        <n v="0.43"/>
        <n v="2.977"/>
        <n v="3.158"/>
        <n v="8.454"/>
        <n v="5.293"/>
        <n v="5.276"/>
        <n v="1.999"/>
        <n v="2.494"/>
        <n v="0.371"/>
        <n v="1.505"/>
        <n v="0.914"/>
        <n v="2.705"/>
        <n v="2.697"/>
        <n v="0.289"/>
        <n v="2.936"/>
        <n v="2.188"/>
        <n v="0.827"/>
        <n v="5.78"/>
        <n v="3.026"/>
        <n v="1.088"/>
        <n v="2.418"/>
        <n v="1.61607"/>
        <n v="0.0"/>
        <n v="0.507"/>
        <n v="0.936943"/>
        <n v="0.92"/>
        <n v="1.168"/>
        <n v="2.685"/>
        <n v="3.713"/>
        <n v="1.025"/>
        <n v="4.951"/>
        <n v="3.259"/>
        <n v="4.778"/>
        <n v="4.493"/>
        <n v="0.993"/>
        <n v="0.07"/>
        <n v="9.799"/>
        <n v="8.865"/>
        <n v="0.579"/>
        <n v="8.363"/>
        <n v="1.178"/>
        <n v="1.173"/>
        <n v="7.463"/>
        <n v="7.227"/>
        <n v="1.273"/>
        <n v="0.875"/>
        <n v="8.139"/>
        <n v="1.395"/>
        <n v="7.994"/>
        <n v="4.518"/>
        <n v="4.655"/>
        <n v="1.487"/>
        <n v="10.669"/>
        <n v="2.619"/>
        <n v="5.931"/>
        <n v="10.405"/>
        <n v="2.378"/>
        <n v="3.183"/>
        <n v="11.764"/>
        <n v="0.739"/>
        <n v="0.437"/>
        <n v="0.918"/>
        <n v="3.085"/>
        <n v="7.989"/>
        <n v="1.55"/>
        <n v="2.821"/>
        <n v="2.043"/>
        <n v="1.319"/>
        <n v="1.518"/>
        <n v="0.23"/>
        <n v="11.255"/>
        <n v="0.388"/>
        <n v="0.312"/>
        <n v="15.394"/>
        <n v="2.267"/>
        <n v="1.716"/>
        <n v="1.816"/>
        <n v="5.128"/>
        <n v="0.621"/>
        <n v="1.671"/>
        <n v="1.458"/>
        <n v="0.151"/>
        <n v="4.035"/>
        <n v="2.015"/>
        <n v="1.164"/>
        <n v="0.357"/>
        <n v="3.403"/>
        <n v="1.921"/>
        <n v="1.293"/>
        <n v="0.885"/>
        <n v="4.109"/>
        <n v="4.501"/>
        <n v="1.657"/>
        <n v="0.87"/>
        <n v="0.546"/>
        <n v="1.271"/>
        <n v="4.765"/>
        <n v="5.086"/>
        <n v="0.428"/>
        <n v="0.646"/>
        <n v="1.269"/>
        <n v="3.909"/>
        <n v="4.121"/>
        <n v="12.896"/>
        <n v="2.839"/>
        <n v="0.817"/>
        <n v="6.024"/>
        <n v="1.504"/>
        <n v="2.978"/>
        <n v="1.205"/>
        <n v="0.04616"/>
        <n v="2.629"/>
        <n v="1.402"/>
        <n v="1.193"/>
        <n v="3.18"/>
        <n v="0.453"/>
        <n v="2.514"/>
        <n v="0.791"/>
        <n v="7.568"/>
        <n v="2.501"/>
        <n v="2.045"/>
        <n v="7.527"/>
        <n v="0.173"/>
        <n v="7.818"/>
        <n v="1.596"/>
        <n v="1.181"/>
        <n v="1.769"/>
        <n v="4.126"/>
        <n v="7.043"/>
        <n v="2.679"/>
        <n v="2.405"/>
        <n v="2.879"/>
        <n v="7.853"/>
        <n v="2.268"/>
        <n v="1.692"/>
        <n v="1.611"/>
        <n v="2.109"/>
        <n v="3.923"/>
        <n v="1.778"/>
        <n v="3.745"/>
        <n v="1.649"/>
        <n v="5.139"/>
        <n v="2.785"/>
        <n v="1.638"/>
        <n v="1.431"/>
        <n v="1.13"/>
        <n v="2.548"/>
        <n v="3.77"/>
        <n v="4.797"/>
        <n v="1.822"/>
        <n v="2.453"/>
        <n v="3.63"/>
        <n v="2.719"/>
        <n v="0.576"/>
        <n v="2.271"/>
        <n v="0.11"/>
        <n v="5.32"/>
        <n v="1.507"/>
        <n v="1.049"/>
        <n v="5.457"/>
        <n v="5.48"/>
        <n v="0.142"/>
        <n v="2.585"/>
        <n v="4.29"/>
        <n v="4.581"/>
        <n v="2.365"/>
        <n v="17.654"/>
        <n v="0.617"/>
        <n v="0.529"/>
        <n v="0.225"/>
        <n v="0.284"/>
        <n v="4.449"/>
        <n v="4.852"/>
        <n v="0.788"/>
        <n v="1.062"/>
        <n v="1.154"/>
        <n v="0.984"/>
        <n v="0.944"/>
        <n v="11.411"/>
        <n v="0.913"/>
        <n v="3.564"/>
        <n v="3.773"/>
        <n v="4.139"/>
        <n v="1.065"/>
        <n v="0.247"/>
        <n v="2.308"/>
        <n v="2.353"/>
        <n v="6.489"/>
        <n v="7.495"/>
        <n v="1.636"/>
        <n v="0.356"/>
        <n v="2.36"/>
        <n v="4.591"/>
        <n v="6.012"/>
        <n v="4.242"/>
        <n v="2.822"/>
        <n v="3.625"/>
        <n v="1.64"/>
        <n v="3.813"/>
        <n v="2.495"/>
        <n v="0.355"/>
        <n v="3.38"/>
        <n v="1.389"/>
        <n v="1.747"/>
        <n v="1.937"/>
        <n v="1.836"/>
        <n v="1.405"/>
        <n v="0.778"/>
        <n v="1.697"/>
        <n v="1.796"/>
        <n v="0.671"/>
        <n v="0.283"/>
        <n v="0.135"/>
        <n v="0.481"/>
        <n v="0.174"/>
        <n v="2.022"/>
        <n v="3.727"/>
        <n v="4.051"/>
        <n v="0.698"/>
        <n v="0.803"/>
        <n v="1.802"/>
        <n v="4.823"/>
        <n v="3.294"/>
        <n v="2.435"/>
        <n v="5.803"/>
        <n v="5.485"/>
        <n v="1.192"/>
        <n v="1.352"/>
        <n v="0.616"/>
        <n v="1.44"/>
        <n v="0.349"/>
        <n v="3.001"/>
        <n v="0.789"/>
        <n v="6.787"/>
        <n v="6.697"/>
        <n v="1.166"/>
        <n v="7.009"/>
        <n v="0.958"/>
        <n v="2.413"/>
        <n v="0.281"/>
        <n v="3.144"/>
        <n v="1.794"/>
        <n v="0.41"/>
        <n v="2.979"/>
        <n v="1.116"/>
        <n v="2.033"/>
        <n v="2.852"/>
        <n v="3.287"/>
        <n v="1.599"/>
        <n v="1.444"/>
        <n v="0.821"/>
        <n v="2.792"/>
        <n v="0.258"/>
        <n v="1.53"/>
        <n v="0.622"/>
        <n v="0.592"/>
        <n v="2.486"/>
        <n v="1.064"/>
        <n v="0.853"/>
        <n v="0.749"/>
        <n v="0.903"/>
        <n v="0.684"/>
        <n v="1.256"/>
        <n v="1.872"/>
        <n v="6.278"/>
        <n v="0.444"/>
        <n v="5.205"/>
        <n v="1.218"/>
        <n v="1.529"/>
        <n v="2.277"/>
        <n v="1.675"/>
        <n v="3.619"/>
        <n v="4.024"/>
        <n v="4.395"/>
        <n v="1.422"/>
        <n v="0.677"/>
        <n v="3.835"/>
        <n v="1.295"/>
        <n v="1.074"/>
        <n v="1.239"/>
        <n v="0.727"/>
        <n v="1.857"/>
        <n v="3.702"/>
        <n v="4.629"/>
        <n v="0.666"/>
        <n v="1.362"/>
        <n v="1.925"/>
        <n v="2.11"/>
        <n v="2.019"/>
        <n v="4.318"/>
        <n v="2.485"/>
        <n v="3.246"/>
        <n v="2.6"/>
        <n v="1.421"/>
        <n v="1.549"/>
        <n v="1.079"/>
        <n v="1.397"/>
        <n v="3.557"/>
        <n v="4.415"/>
        <n v="1.078"/>
        <n v="0.46"/>
        <n v="4.107"/>
        <n v="6.393"/>
        <n v="3.934"/>
        <n v="2.421"/>
        <n v="0.263"/>
        <n v="2.124"/>
        <n v="6.713"/>
        <n v="4.838"/>
        <n v="0.133"/>
        <n v="0.748"/>
        <n v="0.751"/>
        <n v="0.402"/>
        <n v="3.121"/>
        <n v="3.34"/>
        <n v="3.82"/>
        <n v="3.803"/>
        <n v="2.25"/>
        <n v="2.666"/>
        <n v="2.885"/>
        <n v="2.828"/>
        <n v="0.761"/>
        <n v="3.787"/>
        <n v="3.729"/>
        <n v="1.029"/>
        <n v="0.828"/>
        <n v="0.609"/>
        <n v="1.008"/>
        <n v="0.6568"/>
        <n v="1.001"/>
        <n v="1.635"/>
        <n v="7.496"/>
        <n v="0.409"/>
        <n v="3.651"/>
        <n v="3.997"/>
        <n v="5.194"/>
        <n v="8.05"/>
        <n v="8.284"/>
        <n v="0.636"/>
        <n v="3.968"/>
        <n v="1.98"/>
        <n v="5.79"/>
        <n v="1.984"/>
        <n v="2.958"/>
        <n v="1.709"/>
        <n v="7.359"/>
        <n v="4.446"/>
        <n v="7.241"/>
        <n v="0.735"/>
        <n v="3.276"/>
        <n v="3.097"/>
        <n v="0.624"/>
        <n v="3.741"/>
        <n v="0.5137"/>
        <n v="0.3225"/>
        <n v="0.04685"/>
        <m/>
      </sharedItems>
    </cacheField>
    <cacheField name="gap" numFmtId="0">
      <sharedItems containsString="0" containsBlank="1" containsNumber="1">
        <n v="25.0"/>
        <n v="40.0"/>
        <n v="28.0"/>
        <n v="36.0"/>
        <n v="172.8"/>
        <n v="37.0"/>
        <n v="23.0"/>
        <n v="24.0"/>
        <n v="129.0"/>
        <n v="56.0"/>
        <n v="15.0"/>
        <n v="17.0"/>
        <n v="50.0"/>
        <n v="58.0"/>
        <n v="10.0"/>
        <n v="31.0"/>
        <n v="30.0"/>
        <n v="33.0"/>
        <n v="13.0"/>
        <n v="22.0"/>
        <n v="18.0"/>
        <n v="45.0"/>
        <n v="20.0"/>
        <n v="44.0"/>
        <n v="32.0"/>
        <n v="61.0"/>
        <n v="21.0"/>
        <n v="26.0"/>
        <n v="34.0"/>
        <n v="27.0"/>
        <n v="92.0"/>
        <n v="69.0"/>
        <n v="54.0"/>
        <n v="12.0"/>
        <n v="94.0"/>
        <n v="42.0"/>
        <n v="29.0"/>
        <n v="43.0"/>
        <n v="46.0"/>
        <n v="57.0"/>
        <n v="108.0"/>
        <n v="208.8"/>
        <n v="49.0"/>
        <n v="126.0"/>
        <n v="205.2"/>
        <n v="19.0"/>
        <n v="0.0"/>
        <n v="114.0"/>
        <n v="48.0"/>
        <n v="78.0"/>
        <n v="38.0"/>
        <n v="66.0"/>
        <n v="9.0"/>
        <n v="35.0"/>
        <n v="11.0"/>
        <n v="16.0"/>
        <n v="14.0"/>
        <n v="60.0"/>
        <n v="55.79"/>
        <n v="39.0"/>
        <n v="98.0"/>
        <n v="68.0"/>
        <n v="63.0"/>
        <n v="210.0"/>
        <n v="82.0"/>
        <n v="55.0"/>
        <n v="74.0"/>
        <n v="41.0"/>
        <n v="62.0"/>
        <n v="123.0"/>
        <n v="8.0"/>
        <n v="51.0"/>
        <n v="119.0"/>
        <n v="229.0"/>
        <n v="53.0"/>
        <n v="25.2"/>
        <n v="16.6"/>
        <n v="12.6"/>
        <n v="10.1"/>
        <n v="26.6"/>
        <n v="11.5"/>
        <n v="11.4"/>
        <n v="14.2"/>
        <n v="20.7"/>
        <n v="15.3"/>
        <n v="23.7"/>
        <n v="16.5"/>
        <n v="17.5"/>
        <n v="26.5"/>
        <n v="18.4"/>
        <n v="20.9"/>
        <n v="19.3"/>
        <n v="13.7"/>
        <n v="8.7"/>
        <n v="14.8"/>
        <n v="57.3"/>
        <n v="25.5"/>
        <n v="42.7"/>
        <n v="34.4"/>
        <n v="17.7"/>
        <n v="15.5"/>
        <n v="34.3"/>
        <n v="10.2"/>
        <n v="14.6"/>
        <n v="13.8"/>
        <n v="11.7"/>
        <n v="15.7"/>
        <n v="15.4"/>
        <n v="26.9"/>
        <n v="95.9"/>
        <n v="54.1"/>
        <n v="14.9"/>
        <n v="15.2"/>
        <n v="37.9"/>
        <n v="13.4"/>
        <n v="11.1"/>
        <n v="17.6"/>
        <n v="10.6"/>
        <n v="38.6"/>
        <n v="46.5"/>
        <n v="19.7"/>
        <n v="10.9"/>
        <n v="12.3"/>
        <n v="33.5"/>
        <n v="24.9"/>
        <n v="12.5"/>
        <n v="37.2"/>
        <n v="18.2"/>
        <n v="9.5"/>
        <n v="18.7"/>
        <n v="10.8"/>
        <n v="48.4"/>
        <n v="17.4"/>
        <n v="33.9"/>
        <n v="34.7"/>
        <n v="25.3"/>
        <n v="13.3"/>
        <n v="30.1"/>
        <n v="24.3"/>
        <n v="18.5"/>
        <n v="50.3"/>
        <n v="15.1"/>
        <n v="15.8"/>
        <n v="12.4"/>
        <n v="20.2"/>
        <n v="12.7"/>
        <n v="52.8"/>
        <n v="18.1"/>
        <n v="18.6"/>
        <n v="20.6"/>
        <n v="12.1"/>
        <n v="19.2"/>
        <n v="239.0"/>
        <n v="16.7"/>
        <n v="17.1"/>
        <n v="23.2"/>
        <n v="27.8"/>
        <n v="17.8"/>
        <n v="22.7"/>
        <n v="220.0"/>
        <n v="20.4"/>
        <n v="21.4"/>
        <n v="30.2"/>
        <n v="20.3"/>
        <n v="20.8"/>
        <n v="16.3"/>
        <n v="14.1"/>
        <n v="16.8"/>
        <n v="27.2"/>
        <n v="21.1"/>
        <n v="22.6"/>
        <n v="29.8"/>
        <n v="33.7"/>
        <n v="28.6"/>
        <n v="22.3"/>
        <n v="22.2"/>
        <n v="11.3"/>
        <n v="25.9"/>
        <n v="28.3"/>
        <n v="16.4"/>
        <n v="30.7"/>
        <n v="30.6"/>
        <n v="27.6"/>
        <n v="18.8"/>
        <n v="30.3"/>
        <n v="27.5"/>
        <n v="15.9"/>
        <n v="40.1"/>
        <n v="22.4"/>
        <n v="23.9"/>
        <n v="23.1"/>
        <n v="26.2"/>
        <n v="29.1"/>
        <n v="32.3"/>
        <n v="21.3"/>
        <n v="12.8"/>
        <n v="25.7"/>
        <n v="24.1"/>
        <n v="37.7"/>
        <n v="14.7"/>
        <n v="40.3"/>
        <n v="21.6"/>
        <n v="31.6"/>
        <n v="53.4"/>
        <n v="15.6"/>
        <n v="124.0"/>
        <n v="28.4"/>
        <n v="47.4"/>
        <n v="36.8"/>
        <n v="46.3"/>
        <n v="25.6"/>
        <n v="48.2"/>
        <n v="20.5"/>
        <n v="48.8"/>
        <n v="19.6"/>
        <n v="26.4"/>
        <n v="31.4"/>
        <n v="16.1"/>
        <n v="21.2"/>
        <n v="22.1"/>
        <n v="22.9"/>
        <n v="33.8"/>
        <n v="31.8"/>
        <n v="47.3"/>
        <n v="78.5"/>
        <n v="31.9"/>
        <n v="27.9"/>
        <n v="59.3"/>
        <n v="21.8"/>
        <n v="23.6"/>
        <n v="28.8"/>
        <n v="50.2"/>
        <n v="21.5"/>
        <n v="37.3"/>
        <n v="24.7"/>
        <n v="32.2"/>
        <n v="18.3"/>
        <n v="31.2"/>
        <n v="46.9"/>
        <n v="29.9"/>
        <n v="33.3"/>
        <n v="42.5"/>
        <n v="46.6"/>
        <n v="44.8"/>
        <n v="71.0"/>
        <n v="27.7"/>
        <n v="25.1"/>
        <n v="45.9"/>
        <n v="61.2"/>
        <n v="55.4"/>
        <n v="24.5"/>
        <n v="71.3"/>
        <n v="78.8"/>
        <n v="39.1"/>
        <n v="26.7"/>
        <n v="19.1"/>
        <n v="19.4"/>
        <n v="28.7"/>
        <n v="38.4"/>
        <m/>
      </sharedItems>
    </cacheField>
    <cacheField name="magType" numFmtId="0">
      <sharedItems containsBlank="1">
        <s v="mww"/>
        <s v="Mi"/>
        <s v="mwc"/>
        <s v="mwb"/>
        <s v="ml"/>
        <s v="mw"/>
        <s v="ms"/>
        <s v="mb"/>
        <s v="md"/>
        <m/>
      </sharedItems>
    </cacheField>
    <cacheField name="depth" numFmtId="0">
      <sharedItems containsString="0" containsBlank="1" containsNumber="1">
        <n v="192.955"/>
        <n v="69.727"/>
        <n v="171.371"/>
        <n v="32.571"/>
        <n v="21.0"/>
        <n v="10.0"/>
        <n v="229.0"/>
        <n v="167.404"/>
        <n v="35.981"/>
        <n v="18.027"/>
        <n v="210.097"/>
        <n v="598.467"/>
        <n v="15.462"/>
        <n v="43.063"/>
        <n v="595.854"/>
        <n v="594.028"/>
        <n v="105.631"/>
        <n v="62.603"/>
        <n v="209.976"/>
        <n v="187.589"/>
        <n v="65.842"/>
        <n v="22.065"/>
        <n v="205.681"/>
        <n v="598.925"/>
        <n v="20.522"/>
        <n v="14.497"/>
        <n v="17.925"/>
        <n v="610.671"/>
        <n v="28.566"/>
        <n v="105.249"/>
        <n v="29.0"/>
        <n v="38.0"/>
        <n v="14.0"/>
        <n v="25.0"/>
        <n v="579.0"/>
        <n v="37.0"/>
        <n v="624.464"/>
        <n v="660.0"/>
        <n v="630.379"/>
        <n v="20.0"/>
        <n v="26.943"/>
        <n v="137.0"/>
        <n v="116.0"/>
        <n v="12.0"/>
        <n v="30.0"/>
        <n v="33.729"/>
        <n v="622.73"/>
        <n v="236.0"/>
        <n v="220.0"/>
        <n v="27.0"/>
        <n v="24.0"/>
        <n v="41.0"/>
        <n v="28.0"/>
        <n v="535.0"/>
        <n v="110.0"/>
        <n v="8.0"/>
        <n v="33.0"/>
        <n v="19.0"/>
        <n v="13.0"/>
        <n v="165.49"/>
        <n v="14.27"/>
        <n v="126.0"/>
        <n v="51.6"/>
        <n v="527.0"/>
        <n v="6.0"/>
        <n v="7.0"/>
        <n v="93.0"/>
        <n v="16.7"/>
        <n v="33.3"/>
        <n v="20.74"/>
        <n v="22.79"/>
        <n v="47.23"/>
        <n v="55.14"/>
        <n v="46.66"/>
        <n v="35.0"/>
        <n v="11.0"/>
        <n v="43.0"/>
        <n v="246.0"/>
        <n v="301.0"/>
        <n v="13.23"/>
        <n v="28.93"/>
        <n v="43.98"/>
        <n v="15.0"/>
        <n v="80.0"/>
        <n v="28.37"/>
        <n v="16.0"/>
        <n v="624.0"/>
        <n v="26.0"/>
        <n v="22.0"/>
        <n v="73.0"/>
        <n v="533.76"/>
        <n v="165.0"/>
        <n v="112.0"/>
        <n v="2.7"/>
        <n v="107.0"/>
        <n v="96.0"/>
        <n v="12.06"/>
        <n v="57.8"/>
        <n v="143.0"/>
        <n v="14.86"/>
        <n v="18.0"/>
        <n v="577.0"/>
        <n v="12.26"/>
        <n v="591.0"/>
        <n v="49.0"/>
        <n v="181.0"/>
        <n v="18.98"/>
        <n v="212.0"/>
        <n v="46.0"/>
        <n v="57.92"/>
        <n v="122.57"/>
        <n v="146.0"/>
        <n v="15.46"/>
        <n v="267.0"/>
        <n v="145.0"/>
        <n v="66.0"/>
        <n v="63.0"/>
        <n v="43.21"/>
        <n v="570.41"/>
        <n v="60.21"/>
        <n v="16.56"/>
        <n v="133.0"/>
        <n v="46.7"/>
        <n v="540.0"/>
        <n v="17.0"/>
        <n v="461.0"/>
        <n v="39.0"/>
        <n v="550.0"/>
        <n v="576.0"/>
        <n v="115.0"/>
        <n v="68.0"/>
        <n v="670.81"/>
        <n v="21.43"/>
        <n v="630.0"/>
        <n v="9.0"/>
        <n v="146.82"/>
        <n v="600.0"/>
        <n v="529.0"/>
        <n v="33.93"/>
        <n v="34.0"/>
        <n v="5.81"/>
        <n v="559.0"/>
        <n v="40.0"/>
        <n v="22.86"/>
        <n v="20.49"/>
        <n v="25.21"/>
        <n v="14.06"/>
        <n v="90.0"/>
        <n v="19.36"/>
        <n v="110.57"/>
        <n v="553.81"/>
        <n v="119.0"/>
        <n v="48.0"/>
        <n v="47.39"/>
        <n v="38.12"/>
        <n v="5.0"/>
        <n v="169.0"/>
        <n v="414.5"/>
        <n v="595.98"/>
        <n v="135.0"/>
        <n v="36.0"/>
        <n v="627.17"/>
        <n v="152.0"/>
        <n v="94.54"/>
        <n v="19.73"/>
        <n v="8.45"/>
        <n v="15.11"/>
        <n v="614.0"/>
        <n v="42.0"/>
        <n v="596.4"/>
        <n v="476.0"/>
        <n v="82.0"/>
        <n v="16.37"/>
        <n v="196.0"/>
        <n v="50.0"/>
        <n v="78.0"/>
        <n v="405.69"/>
        <n v="29.95"/>
        <n v="20.59"/>
        <n v="136.0"/>
        <n v="27.59"/>
        <n v="177.0"/>
        <n v="125.6"/>
        <n v="55.0"/>
        <n v="85.0"/>
        <n v="602.75"/>
        <n v="620.56"/>
        <n v="606.21"/>
        <n v="12.59"/>
        <n v="231.0"/>
        <n v="23.0"/>
        <n v="28.41"/>
        <n v="22.44"/>
        <n v="6.43"/>
        <n v="460.0"/>
        <n v="664.0"/>
        <n v="72.6"/>
        <n v="11.19"/>
        <n v="44.0"/>
        <n v="31.0"/>
        <n v="22.91"/>
        <n v="8.22"/>
        <n v="552.06"/>
        <n v="223.0"/>
        <n v="219.96"/>
        <n v="45.0"/>
        <n v="53.19"/>
        <n v="434.0"/>
        <n v="130.0"/>
        <n v="101.0"/>
        <n v="615.42"/>
        <n v="53.0"/>
        <n v="109.0"/>
        <n v="26.59"/>
        <n v="106.0"/>
        <n v="43.37"/>
        <n v="22.56"/>
        <n v="60.53"/>
        <n v="22.4"/>
        <n v="24.07"/>
        <n v="28.42"/>
        <n v="16.441"/>
        <n v="14.83"/>
        <n v="122.0"/>
        <n v="44.26"/>
        <n v="187.0"/>
        <n v="371.0"/>
        <n v="9.97"/>
        <n v="9.45"/>
        <n v="19.04"/>
        <n v="573.0"/>
        <n v="41.54"/>
        <n v="402.0"/>
        <n v="8.2"/>
        <n v="56.0"/>
        <n v="385.5"/>
        <n v="598.1"/>
        <n v="173.7"/>
        <n v="602.2"/>
        <n v="8.8"/>
        <n v="8.7"/>
        <n v="200.7"/>
        <n v="155.0"/>
        <n v="13.7"/>
        <n v="170.0"/>
        <n v="91.1"/>
        <n v="583.2"/>
        <n v="134.7"/>
        <n v="198.0"/>
        <n v="25.1"/>
        <n v="40.7"/>
        <n v="118.0"/>
        <n v="59.0"/>
        <n v="91.0"/>
        <n v="185.1"/>
        <n v="147.0"/>
        <n v="32.0"/>
        <n v="79.0"/>
        <n v="166.2"/>
        <n v="25.7"/>
        <n v="6.8"/>
        <n v="18.6"/>
        <n v="42.6"/>
        <n v="20.1"/>
        <n v="206.7"/>
        <n v="578.0"/>
        <n v="10.5"/>
        <n v="9.987"/>
        <n v="176.0"/>
        <n v="22.9"/>
        <n v="28.737"/>
        <n v="15.4"/>
        <n v="595.0"/>
        <n v="31.1"/>
        <n v="81.0"/>
        <n v="292.0"/>
        <n v="64.0"/>
        <n v="204.8"/>
        <n v="27.4"/>
        <n v="108.0"/>
        <n v="25.5"/>
        <n v="7.8"/>
        <n v="83.0"/>
        <n v="156.0"/>
        <n v="122.9"/>
        <n v="28.9"/>
        <n v="40.5"/>
        <n v="280.0"/>
        <n v="120.0"/>
        <n v="350.4"/>
        <n v="38.182"/>
        <n v="150.0"/>
        <n v="60.5"/>
        <n v="30.1"/>
        <n v="224.6"/>
        <n v="115.6"/>
        <n v="201.7"/>
        <n v="39.7"/>
        <n v="206.3"/>
        <n v="525.0"/>
        <n v="27.8"/>
        <n v="16.1"/>
        <n v="39.2"/>
        <n v="94.0"/>
        <n v="105.0"/>
        <n v="13.4"/>
        <n v="188.6"/>
        <n v="65.8"/>
        <n v="228.4"/>
        <n v="187.1"/>
        <n v="16.6"/>
        <n v="17.4"/>
        <n v="8.382"/>
        <n v="113.7"/>
        <n v="174.8"/>
        <n v="40.2"/>
        <n v="71.9"/>
        <n v="4.2"/>
        <n v="54.0"/>
        <n v="85.7"/>
        <n v="62.0"/>
        <n v="24.9"/>
        <n v="32.8"/>
        <n v="125.1"/>
        <n v="225.6"/>
        <n v="123.8"/>
        <n v="131.8"/>
        <n v="51.798"/>
        <n v="60.0"/>
        <n v="36.4"/>
        <n v="103.0"/>
        <n v="50.4"/>
        <n v="45.8"/>
        <n v="42.9"/>
        <n v="225.0"/>
        <n v="61.1"/>
        <n v="183.4"/>
        <n v="43.6"/>
        <n v="128.1"/>
        <n v="47.5"/>
        <n v="13.73"/>
        <n v="60.6"/>
        <n v="70.0"/>
        <n v="73.7"/>
        <n v="138.0"/>
        <n v="164.2"/>
        <n v="87.2"/>
        <n v="56.6"/>
        <n v="90.1"/>
        <n v="67.2"/>
        <n v="114.1"/>
        <n v="144.3"/>
        <n v="151.6"/>
        <n v="110.2"/>
        <n v="61.4"/>
        <n v="164.6"/>
        <n v="55.7"/>
        <n v="23.4"/>
        <n v="34.8"/>
        <n v="179.3"/>
        <n v="123.1"/>
        <n v="176.4"/>
        <n v="58.0"/>
        <n v="167.3"/>
        <n v="105.6"/>
        <n v="198.7"/>
        <n v="22.8"/>
        <n v="19.9"/>
        <n v="57.0"/>
        <n v="100.8"/>
        <n v="69.1"/>
        <n v="226.5"/>
        <n v="49.2"/>
        <n v="18.3"/>
        <n v="587.3"/>
        <n v="26.3"/>
        <n v="200.1"/>
        <n v="49.5"/>
        <n v="164.4"/>
        <n v="21.1"/>
        <n v="31.9"/>
        <n v="19.2"/>
        <n v="40.8"/>
        <n v="11.1"/>
        <n v="141.9"/>
        <n v="63.4"/>
        <n v="159.3"/>
        <n v="19.7"/>
        <n v="28.4"/>
        <n v="24.4"/>
        <n v="59.9"/>
        <n v="12.2"/>
        <n v="119.6"/>
        <n v="18.7"/>
        <n v="127.9"/>
        <n v="45.6"/>
        <n v="12.5"/>
        <n v="139.4"/>
        <n v="14.2"/>
        <n v="20.2"/>
        <n v="11.2"/>
        <m/>
      </sharedItems>
    </cacheField>
    <cacheField name="latitude" numFmtId="0">
      <sharedItems containsString="0" containsBlank="1" containsNumber="1">
        <n v="-13.8814"/>
        <n v="12.814"/>
        <n v="-38.1911"/>
        <n v="54.3844"/>
        <n v="54.49"/>
        <n v="20.0196"/>
        <n v="-17.853"/>
        <n v="-22.9824"/>
        <n v="8.8894"/>
        <n v="-23.0622"/>
        <n v="-23.2286"/>
        <n v="-15.6002"/>
        <n v="-25.2657"/>
        <n v="-0.781"/>
        <n v="-30.0249"/>
        <n v="-22.2844"/>
        <n v="-6.0255"/>
        <n v="52.7772"/>
        <n v="-4.2924"/>
        <n v="-23.4797"/>
        <n v="36.5227"/>
        <n v="-2.851"/>
        <n v="-30.1147"/>
        <n v="-29.4748"/>
        <n v="-15.3597"/>
        <n v="-4.8138"/>
        <n v="38.0726"/>
        <n v="38.0235"/>
        <n v="37.4135"/>
        <n v="37.2012"/>
        <n v="-26.7209"/>
        <n v="2.7401"/>
        <n v="-7.0852"/>
        <n v="-14.9383"/>
        <n v="-15.3983"/>
        <n v="-9.7963"/>
        <n v="-4.9559"/>
        <n v="-20.0508"/>
        <n v="-19.2918"/>
        <n v="-25.5948"/>
        <n v="-26.0442"/>
        <n v="-25.9678"/>
        <n v="7.6712"/>
        <n v="18.33"/>
        <n v="18.3667"/>
        <n v="23.1444"/>
        <n v="23.029"/>
        <n v="-21.2077"/>
        <n v="-6.2237"/>
        <n v="29.7263"/>
        <n v="-32.6922"/>
        <n v="17.5978"/>
        <n v="-9.0618"/>
        <n v="-14.8628"/>
        <n v="-54.1325"/>
        <n v="-23.6141"/>
        <n v="11.5538"/>
        <n v="-22.5732"/>
        <n v="-22.72"/>
        <n v="23.3421"/>
        <n v="37.7015"/>
        <n v="-0.6831"/>
        <n v="-30.0528"/>
        <n v="-23.7852"/>
        <n v="-4.455"/>
        <n v="-29.535"/>
        <n v="-6.9291"/>
        <n v="52.502"/>
        <n v="52.6252"/>
        <n v="52.48"/>
        <n v="52.6563"/>
        <n v="35.1456"/>
        <n v="37.8167"/>
        <n v="-7.5924"/>
        <n v="-7.6033"/>
        <n v="-4.4898"/>
        <n v="23.5414"/>
        <n v="56.2581"/>
        <n v="-21.1704"/>
        <n v="-21.1036"/>
        <n v="12.1598"/>
        <n v="16.9502"/>
        <n v="-60.3026"/>
        <n v="-60.1023"/>
        <n v="-14.892"/>
        <n v="-58.3814"/>
        <n v="18.3521"/>
        <n v="55.2364"/>
        <n v="55.2657"/>
        <n v="-58.4157"/>
        <n v="-57.5959"/>
        <n v="6.4547"/>
        <n v="55.4742"/>
        <n v="55.3154"/>
        <n v="13.6989"/>
        <n v="7.5904"/>
        <n v="-30.2144"/>
        <n v="-16.4796"/>
        <n v="34.5861"/>
        <n v="0.1684"/>
        <n v="-17.2495"/>
        <n v="38.2296"/>
        <n v="-21.6857"/>
        <n v="-18.9204"/>
        <n v="38.4752"/>
        <n v="54.7018"/>
        <n v="-28.4792"/>
        <n v="-29.7466"/>
        <n v="-29.6131"/>
        <n v="-37.596"/>
        <n v="37.6856"/>
        <n v="-23.2787"/>
        <n v="-61.8484"/>
        <n v="5.0074"/>
        <n v="51.2407"/>
        <n v="-39.3264"/>
        <n v="37.8973"/>
        <n v="54.662"/>
        <n v="0.9604"/>
        <n v="-27.9285"/>
        <n v="-28.013"/>
        <n v="0.8696"/>
        <n v="-6.6704"/>
        <n v="-4.2791"/>
        <n v="-4.3724"/>
        <n v="12.0065"/>
        <n v="55.1079"/>
        <n v="-7.847"/>
        <n v="-5.6368"/>
        <n v="15.9163"/>
        <n v="-33.2938"/>
        <n v="28.9386"/>
        <n v="-23.2966"/>
        <n v="38.1689"/>
        <n v="-12.0662"/>
        <n v="-6.7762"/>
        <n v="34.1818"/>
        <n v="44.4646"/>
        <n v="48.9638"/>
        <n v="45.6161"/>
        <n v="19.4193"/>
        <n v="38.4312"/>
        <n v="6.6969"/>
        <n v="1.6213"/>
        <n v="-21.9449"/>
        <n v="-18.5747"/>
        <n v="6.9098"/>
        <n v="6.7567"/>
        <n v="-35.4758"/>
        <n v="-3.4528"/>
        <n v="-20.3641"/>
        <n v="-60.2152"/>
        <n v="-7.2822"/>
        <n v="-34.2364"/>
        <n v="-16.1985"/>
        <n v="-0.5858"/>
        <n v="-18.2242"/>
        <n v="0.5126"/>
        <n v="35.7695"/>
        <n v="-6.4078"/>
        <n v="-30.6441"/>
        <n v="13.1994"/>
        <n v="-5.8119"/>
        <n v="-4.051"/>
        <n v="-6.9746"/>
        <n v="-1.8146"/>
        <n v="-58.6262"/>
        <n v="-14.7131"/>
        <n v="-2.1862"/>
        <n v="14.6802"/>
        <n v="-43.1219"/>
        <n v="-30.0404"/>
        <n v="-13.336"/>
        <n v="2.258"/>
        <n v="-8.144"/>
        <n v="5.8983"/>
        <n v="55.0999"/>
        <n v="-58.5446"/>
        <n v="-22.0629"/>
        <n v="-21.9496"/>
        <n v="61.3464"/>
        <n v="-17.8735"/>
        <n v="71.6312"/>
        <n v="37.5203"/>
        <n v="49.297"/>
        <n v="49.3346"/>
        <n v="49.2586"/>
        <n v="-21.7427"/>
        <n v="52.8549"/>
        <n v="49.2902"/>
        <n v="-5.7012"/>
        <n v="-18.3604"/>
        <n v="-0.2559"/>
        <n v="-25.415"/>
        <n v="-31.7447"/>
        <n v="-10.0207"/>
        <n v="-18.4743"/>
        <n v="42.6861"/>
        <n v="-22.0295"/>
        <n v="-11.0355"/>
        <n v="-16.0315"/>
        <n v="10.7731"/>
        <n v="-8.319"/>
        <n v="-18.1125"/>
        <n v="-7.3718"/>
        <n v="51.4234"/>
        <n v="-8.2581"/>
        <n v="19.3182"/>
        <n v="-20.6588"/>
        <n v="-5.5321"/>
        <n v="-5.5024"/>
        <n v="-4.3762"/>
        <n v="-6.3043"/>
        <n v="-6.0699"/>
        <n v="16.3855"/>
        <n v="56.0039"/>
        <n v="-15.7675"/>
        <n v="17.4825"/>
        <n v="-7.4921"/>
        <n v="-54.2189"/>
        <n v="-21.3246"/>
        <n v="-21.5027"/>
        <n v="9.5147"/>
        <n v="34.9109"/>
        <n v="-4.2433"/>
        <n v="-15.3197"/>
        <n v="-21.6484"/>
        <n v="-21.6971"/>
        <n v="-7.2168"/>
        <n v="52.3909"/>
        <n v="18.5499"/>
        <n v="15.0222"/>
        <n v="33.1926"/>
        <n v="36.9293"/>
        <n v="54.4434"/>
        <n v="-49.4837"/>
        <n v="11.1269"/>
        <n v="13.7174"/>
        <n v="14.9091"/>
        <n v="54.0312"/>
        <n v="-1.2923"/>
        <n v="-56.414"/>
        <n v="-14.5884"/>
        <n v="5.5043"/>
        <n v="-33.0375"/>
        <n v="-22.6784"/>
        <n v="56.9401"/>
        <n v="-23.2593"/>
        <n v="-19.2814"/>
        <n v="9.9071"/>
        <n v="-6.2464"/>
        <n v="-10.3506"/>
        <n v="4.4782"/>
        <n v="-19.3733"/>
        <n v="-43.4064"/>
        <n v="-7.5082"/>
        <n v="-4.5049"/>
        <n v="-10.749"/>
        <n v="-10.8416"/>
        <n v="-10.6812"/>
        <n v="40.4535"/>
        <n v="5.2834"/>
        <n v="39.2732"/>
        <n v="11.9097"/>
        <n v="37.3931"/>
        <n v="-42.6058"/>
        <n v="-42.3205"/>
        <n v="-42.7373"/>
        <n v="42.8621"/>
        <n v="-4.8626"/>
        <n v="-6.0033"/>
        <n v="-19.7819"/>
        <n v="-37.3586"/>
        <n v="-3.6849"/>
        <n v="20.9228"/>
        <n v="-22.4765"/>
        <n v="18.5429"/>
        <n v="-2.0967"/>
        <n v="-56.2409"/>
        <n v="-21.9724"/>
        <n v="0.4947"/>
        <n v="0.4261"/>
        <n v="-16.0429"/>
        <n v="0.3819"/>
        <n v="32.7906"/>
        <n v="23.0944"/>
        <n v="36.4725"/>
        <n v="-13.9805"/>
        <n v="-14.0683"/>
        <n v="-14.3235"/>
        <n v="-4.9521"/>
        <n v="53.9776"/>
        <n v="59.6204"/>
        <n v="18.8239"/>
        <n v="41.9723"/>
        <n v="3.8965"/>
        <n v="24.8036"/>
        <n v="15.8015"/>
        <n v="-4.1064"/>
        <n v="38.2107"/>
        <n v="-9.1825"/>
        <n v="-10.0598"/>
        <n v="-10.5372"/>
        <n v="-8.8994"/>
        <n v="38.67"/>
        <n v="31.0009"/>
        <n v="-29.5097"/>
        <n v="-29.5067"/>
        <n v="6.8431"/>
        <n v="-30.8796"/>
        <n v="-8.3381"/>
        <n v="36.5244"/>
        <n v="-14.8595"/>
        <n v="-0.6212"/>
        <n v="-31.7275"/>
        <n v="-31.5173"/>
        <n v="-31.4244"/>
        <n v="-31.5622"/>
        <n v="-31.5729"/>
        <n v="24.913"/>
        <n v="-9.3293"/>
        <n v="-9.3438"/>
        <n v="-2.6286"/>
        <n v="52.376"/>
        <n v="-10.4012"/>
        <n v="13.8672"/>
        <n v="-9.307"/>
        <n v="27.7375"/>
        <n v="27.8386"/>
        <n v="56.594"/>
        <n v="-11.1093"/>
        <n v="-11.0559"/>
        <n v="-10.8759"/>
        <n v="38.9056"/>
        <n v="27.8087"/>
        <n v="-7.2175"/>
        <n v="-5.4624"/>
        <n v="-5.2005"/>
        <n v="-5.375"/>
        <n v="27.7711"/>
        <n v="28.2244"/>
        <n v="28.2305"/>
        <n v="-15.8815"/>
        <n v="-15.4994"/>
        <n v="-4.7294"/>
        <n v="-7.2968"/>
        <n v="39.8558"/>
        <n v="-23.1125"/>
        <n v="-17.0309"/>
        <n v="5.9045"/>
        <n v="7.9401"/>
        <n v="-6.5108"/>
        <n v="6.1572"/>
        <n v="1.9604"/>
        <n v="2.2999"/>
        <n v="-37.6478"/>
        <n v="1.8929"/>
        <n v="-5.9873"/>
        <n v="-19.6903"/>
        <n v="12.5262"/>
        <n v="13.7641"/>
        <n v="-14.598"/>
        <n v="0.8295"/>
        <n v="-19.8015"/>
        <n v="37.0052"/>
        <n v="14.724"/>
        <n v="-6.2304"/>
        <n v="-14.9831"/>
        <n v="-55.4703"/>
        <n v="51.8486"/>
        <n v="-29.9414"/>
        <n v="-29.9379"/>
        <n v="-29.9772"/>
        <n v="40.2893"/>
        <n v="7.2096"/>
        <n v="-21.4542"/>
        <n v="49.6388"/>
        <n v="-6.7547"/>
        <n v="-6.6558"/>
        <n v="17.397"/>
        <n v="-11.1284"/>
        <n v="-11.4633"/>
        <n v="-11.2701"/>
        <n v="11.642"/>
        <n v="-6.7878"/>
        <n v="-6.5858"/>
        <n v="-20.5709"/>
        <n v="-20.3113"/>
        <n v="-19.8927"/>
        <n v="-19.6097"/>
        <n v="-19.9807"/>
        <n v="40.8287"/>
        <n v="27.4312"/>
        <n v="14.6682"/>
        <n v="35.9053"/>
        <n v="-15.0691"/>
        <n v="-32.9076"/>
        <n v="-13.8633"/>
        <n v="-17.1171"/>
        <n v="-60.2738"/>
        <n v="-60.2627"/>
        <n v="-30.2921"/>
        <n v="37.1557"/>
        <n v="26.0913"/>
        <n v="-6.4456"/>
        <n v="9.8796"/>
        <n v="35.5142"/>
        <n v="53.1995"/>
        <n v="-30.9255"/>
        <n v="27.1825"/>
        <n v="-15.8385"/>
        <n v="26.951"/>
        <n v="51.5573"/>
        <n v="29.9377"/>
        <n v="-7.44"/>
        <n v="51.537"/>
        <n v="-41.734"/>
        <n v="5.7732"/>
        <n v="-41.704"/>
        <n v="-60.857"/>
        <n v="-6.029"/>
        <n v="-3.917"/>
        <n v="10.701"/>
        <n v="11.763"/>
        <n v="-10.004"/>
        <n v="52.235"/>
        <n v="54.892"/>
        <n v="-23.009"/>
        <n v="18.728"/>
        <n v="-3.898"/>
        <n v="30.308"/>
        <n v="46.221"/>
        <n v="-3.214"/>
        <n v="28.033"/>
        <n v="-6.475"/>
        <n v="-3.517"/>
        <n v="-6.598"/>
        <n v="50.958"/>
        <n v="50.954"/>
        <n v="67.631"/>
        <n v="-10.994"/>
        <n v="1.135"/>
        <n v="-10.928"/>
        <n v="-10.838"/>
        <n v="-10.997"/>
        <n v="-10.499"/>
        <n v="-11.183"/>
        <n v="-10.799"/>
        <n v="42.77"/>
        <n v="-28.094"/>
        <n v="55.228"/>
        <n v="-14.344"/>
        <n v="-6.533"/>
        <n v="37.89"/>
        <n v="14.129"/>
        <n v="23.005"/>
        <n v="13.988"/>
        <n v="52.788"/>
        <n v="10.086"/>
        <n v="-4.892"/>
        <n v="1.929"/>
        <n v="10.085"/>
        <n v="10.811"/>
        <n v="12.139"/>
        <n v="2.19"/>
        <n v="49.8"/>
        <n v="-4.651"/>
        <n v="-18.685"/>
        <n v="-1.617"/>
        <n v="-5.462"/>
        <n v="-32.625"/>
        <n v="28.696"/>
        <n v="18.229"/>
        <n v="0.802"/>
        <n v="2.327"/>
        <n v="-35.2"/>
        <n v="-6.242"/>
        <n v="16.493"/>
        <n v="51.708"/>
        <n v="9.999"/>
        <n v="-17.827"/>
        <n v="2.433"/>
        <n v="51.842"/>
        <n v="-7.551"/>
        <n v="17.986"/>
        <n v="-14.438"/>
        <n v="38.721"/>
        <n v="-6.57"/>
        <n v="27.73"/>
        <n v="40.273"/>
        <n v="2.965"/>
        <n v="-20.671"/>
        <n v="-7.641"/>
        <n v="-18.311"/>
        <n v="-18.308"/>
        <n v="-18.365"/>
        <n v="-3.518"/>
        <n v="-29.539"/>
        <n v="39.955"/>
        <n v="-20.244"/>
        <n v="-10.375"/>
        <n v="37.001"/>
        <n v="38.276"/>
        <n v="17.208"/>
        <n v="20.687"/>
        <n v="39.241"/>
        <n v="36.166"/>
        <n v="38.058"/>
        <n v="36.281"/>
        <n v="38.297"/>
        <n v="38.435"/>
        <n v="-35.38"/>
        <n v="-36.422"/>
        <n v="28.777"/>
        <n v="-20.628"/>
        <n v="-38.355"/>
        <n v="-19.702"/>
        <n v="28.412"/>
        <n v="-6.001"/>
        <n v="-3.487"/>
        <n v="24.696"/>
        <n v="-4.963"/>
        <n v="-43.522"/>
        <n v="-1.266"/>
        <n v="-17.541"/>
        <n v="-5.746"/>
        <n v="-5.486"/>
        <n v="6.497"/>
        <n v="-5.931"/>
        <n v="-5.966"/>
        <n v="-38.067"/>
        <n v="-10.627"/>
        <n v="-2.329"/>
        <n v="-2.174"/>
        <n v="7.881"/>
        <n v="-13.698"/>
        <n v="3.748"/>
        <n v="33.165"/>
        <n v="-10.878"/>
        <n v="2.383"/>
        <n v="32.2862"/>
        <n v="13.667"/>
        <n v="-36.217"/>
        <n v="37.745"/>
        <n v="-34.326"/>
        <n v="-34.29"/>
        <n v="-3.762"/>
        <n v="-36.665"/>
        <n v="-13.571"/>
        <n v="-37.773"/>
        <n v="-36.122"/>
        <n v="25.93"/>
        <n v="18.443"/>
        <n v="40.652"/>
        <n v="-9.019"/>
        <n v="-8.783"/>
        <n v="-8.726"/>
        <n v="-19.394"/>
        <n v="-17.239"/>
        <n v="-8.207"/>
        <n v="29.218"/>
        <n v="-6.133"/>
        <n v="-13.298"/>
        <n v="-13.093"/>
        <n v="-12.517"/>
        <n v="-13.006"/>
        <n v="-2.482"/>
        <n v="-0.72"/>
        <n v="-15.489"/>
        <n v="-7.782"/>
        <n v="-1.479"/>
        <n v="32.821"/>
        <n v="14.099"/>
        <n v="33.167"/>
        <n v="29.039"/>
        <n v="-45.762"/>
        <n v="-5.157"/>
        <n v="16.731"/>
        <n v="-23.043"/>
        <n v="3.886"/>
        <n v="-0.691"/>
        <n v="36.419"/>
        <n v="-0.414"/>
        <n v="1.271"/>
        <n v="14.423"/>
        <n v="39.533"/>
        <n v="41.892"/>
        <n v="1.885"/>
        <n v="-13.501"/>
        <n v="30.901"/>
        <n v="39.802"/>
        <n v="37.552"/>
        <n v="37.55"/>
        <n v="11.005"/>
        <n v="39.03"/>
        <n v="31.002"/>
        <n v="36.164"/>
        <n v="-20.071"/>
        <n v="35.49"/>
        <n v="13.351"/>
        <n v="-2.245"/>
        <n v="-2.332"/>
        <n v="-2.486"/>
        <n v="-2.405"/>
        <n v="2.768"/>
        <n v="36.345"/>
        <n v="36.501"/>
        <n v="16.357"/>
        <n v="-39.011"/>
        <n v="-22.954"/>
        <n v="14.944"/>
        <n v="-10.95"/>
        <n v="-8.224"/>
        <n v="-8.292"/>
        <n v="-5.757"/>
        <n v="-2.312"/>
        <n v="-22.925"/>
        <n v="-22.247"/>
        <n v="-3.899"/>
        <n v="-44.796"/>
        <n v="-4.99"/>
        <n v="-1.999"/>
        <n v="-2.13"/>
        <n v="-1.689"/>
        <n v="-2.625"/>
        <n v="-2.52"/>
        <n v="-4.438"/>
        <n v="2.966"/>
        <n v="-11.61"/>
        <n v="-9.834"/>
        <n v="-13.386"/>
        <n v="-5.859"/>
        <n v="-15.595"/>
        <n v="2.872"/>
        <n v="36.808"/>
        <n v="37.535"/>
        <n v="13.554"/>
        <n v="-7.306"/>
        <n v="-7.169"/>
        <n v="-8.466"/>
        <n v="37.336"/>
        <n v="-20.617"/>
        <n v="-1.034"/>
        <n v="1.065"/>
        <n v="46.243"/>
        <n v="21.974"/>
        <n v="21.799"/>
        <n v="46.592"/>
        <n v="-6.482"/>
        <n v="-13.457"/>
        <n v="-5.881"/>
        <n v="19.877"/>
        <n v="-16.592"/>
        <n v="-6.759"/>
        <n v="51.148"/>
        <n v="-15.798"/>
        <n v="-9.284"/>
        <n v="-5.724"/>
        <n v="60.772"/>
        <n v="0.093"/>
        <n v="-20.187"/>
        <n v="-19.99"/>
        <n v="-27.211"/>
        <n v="-27.017"/>
        <n v="60.491"/>
        <n v="60.949"/>
        <n v="-16.527"/>
        <n v="-3.595"/>
        <n v="-21.324"/>
        <n v="36.311"/>
        <n v="28.164"/>
        <n v="36.357"/>
        <n v="-6.224"/>
        <n v="38.089"/>
        <n v="2.164"/>
        <n v="-22.361"/>
        <n v="34.539"/>
        <n v="-5.437"/>
        <n v="-5.678"/>
        <n v="-4.539"/>
        <n v="7.92"/>
        <n v="1.819"/>
        <n v="11.245"/>
        <n v="41.292"/>
        <n v="-19.987"/>
        <n v="1.989"/>
        <n v="0.587"/>
        <n v="-1.714"/>
        <n v="-1.644"/>
        <n v="2.085"/>
        <n v="33.807"/>
        <n v="-6.527"/>
        <n v="2.908"/>
        <n v="-5.562"/>
        <n v="4.756"/>
        <n v="-14.252"/>
        <n v="5.293"/>
        <n v="34.064"/>
        <n v="8.879"/>
        <n v="6.91"/>
        <n v="3.295"/>
        <n v="-49.312"/>
        <n v="18.958"/>
        <n v="42.9"/>
        <n v="43.006"/>
        <n v="-3.609"/>
        <n v="-46.676"/>
        <n v="4.695"/>
        <n v="-8.152"/>
        <n v="-11.128"/>
        <n v="49.277"/>
        <n v="37.226"/>
        <n v="24.53"/>
        <n v="11.422"/>
        <n v="13.925"/>
        <n v="-10.951"/>
        <n v="33.205"/>
        <n v="33.184"/>
        <n v="33.07"/>
        <n v="-35.173"/>
        <n v="-0.443"/>
        <n v="55.682"/>
        <n v="-37.695"/>
        <n v="-9.362"/>
        <n v="-13.174"/>
        <n v="36.512"/>
        <n v="-3.665"/>
        <n v="-4.003"/>
        <n v="-3.615"/>
        <n v="-3.12"/>
        <n v="-22.015"/>
        <n v="28.995"/>
        <n v="8.416"/>
        <n v="35.7005"/>
        <n v="23.039"/>
        <n v="-5.581"/>
        <n v="12.025"/>
        <n v="-19.262"/>
        <n v="37.812"/>
        <n v="42.648"/>
        <n v="50.211"/>
        <n v="42.45"/>
        <n v="50.038"/>
        <n v="41.774"/>
        <n v="41.815"/>
        <n v="19.917"/>
        <n v="-45.104"/>
        <n v="-60.532"/>
        <n v="-3.828"/>
        <n v="-30.608"/>
        <n v="55.492"/>
        <n v="-5.095"/>
        <n v="2.354"/>
        <n v="38.849"/>
        <n v="36.964"/>
        <n v="-8.294"/>
        <n v="-4.694"/>
        <n v="18.77"/>
        <n v="13.626"/>
        <n v="-10.491"/>
        <n v="-5.311"/>
        <n v="-4.786"/>
        <n v="63.5141"/>
        <n v="2.824"/>
        <n v="63.5144"/>
        <n v="-1.511"/>
        <n v="-1.757"/>
        <n v="13.036"/>
        <n v="-3.302"/>
        <n v="14.101"/>
        <n v="7.929"/>
        <n v="35.626"/>
        <n v="-30.805"/>
        <n v="-12.592"/>
        <n v="13.088"/>
        <n v="-27.535"/>
        <n v="16.985"/>
        <n v="24.279"/>
        <n v="-21.663"/>
        <n v="6.033"/>
        <n v="36.502"/>
        <n v="-5.345"/>
        <n v="38.573"/>
        <n v="-3.212"/>
        <n v="-17.664"/>
        <n v="-17.6"/>
        <n v="-9.613"/>
        <n v="23.954"/>
        <n v="39.402"/>
        <n v="35.946"/>
        <n v="-5.912"/>
        <n v="-4.102"/>
        <n v="12.686"/>
        <n v="-0.578"/>
        <n v="58.775"/>
        <n v="39.059"/>
        <n v="-17.543"/>
        <n v="-16.086"/>
        <n v="-17.745"/>
        <n v="-16.265"/>
        <n v="-7.41"/>
        <n v="34.083"/>
        <n v="-4.029"/>
        <n v="47.149"/>
        <n v="-4.68"/>
        <n v="13.671"/>
        <n v="23.419"/>
        <n v="-4.022"/>
        <n v="13.049"/>
        <n v="56.7744"/>
        <n v="-14.928"/>
        <n v="6.631"/>
        <n v="6.898"/>
        <n v="-4.218"/>
        <n v="39.566"/>
        <n v="40.167"/>
        <n v="40.245"/>
        <n v="-5.228"/>
        <n v="-5.097"/>
        <n v="-5.496"/>
        <n v="-4.827"/>
        <n v="-5.233"/>
        <n v="-3.98"/>
        <n v="7.042"/>
        <n v="-4.766"/>
        <n v="-6.549"/>
        <n v="35.456"/>
        <n v="-15.421"/>
        <n v="-7.977"/>
        <n v="-4.11"/>
        <n v="18.198"/>
        <n v="48.786"/>
        <n v="-12.037"/>
        <n v="33.901"/>
        <n v="-7.747"/>
        <n v="57.3546"/>
        <n v="63.98"/>
        <n v="-13.802"/>
        <n v="63.966"/>
        <n v="-4.612"/>
        <n v="-4.646"/>
        <n v="-4.721"/>
        <n v="-23.548"/>
        <n v="-1.105"/>
        <n v="-6.817"/>
        <n v="-5.844"/>
        <n v="43.046"/>
        <n v="-16.925"/>
        <n v="-10.86"/>
        <n v="-6.845"/>
        <n v="15.766"/>
        <n v="57.3424"/>
        <n v="-18.901"/>
        <n v="-16.423"/>
        <n v="-6.351"/>
        <n v="-5.978"/>
        <n v="40.758"/>
        <n v="36.522"/>
        <n v="34.6033"/>
        <n v="16.059"/>
        <n v="23.738"/>
        <n v="23.772"/>
        <n v="-16.117"/>
        <n v="9.044"/>
        <n v="40.748"/>
        <n v="15.782"/>
        <n v="18.386"/>
        <n v="-5.165"/>
        <n v="-4.751"/>
        <n v="-5.159"/>
        <n v="-21.422"/>
        <n v="-5.591"/>
        <n v="-16.66"/>
        <n v="30.512"/>
        <n v="51.587"/>
        <n v="52.056"/>
        <n v="5.397"/>
        <n v="28.343"/>
        <n v="-12.853"/>
        <n v="52.886"/>
        <n v="-4.596"/>
        <n v="-21.632"/>
        <n v="-2.071"/>
        <n v="-6.92"/>
        <n v="-6.954"/>
        <n v="-8.194"/>
        <n v="-29.45"/>
        <n v="5.41"/>
        <n v="-0.593"/>
        <n v="-2.693"/>
        <n v="-2.961"/>
        <n v="-11.04"/>
        <n v="37.106"/>
        <n v="-17.731"/>
        <n v="0.207"/>
        <n v="-5.147"/>
        <n v="22.306"/>
        <n v="-8.148"/>
        <n v="-0.544"/>
        <n v="30.154"/>
        <n v="-23.913"/>
        <n v="-15.848"/>
        <n v="-30.985"/>
        <n v="14.374"/>
        <n v="-5.495"/>
        <n v="54.841"/>
        <n v="1.241"/>
        <n v="37.57"/>
        <n v="-15.145"/>
        <n v="13.849"/>
        <n v="35.069"/>
        <n v="-4.368"/>
        <n v="-30.933"/>
        <n v="-22.101"/>
        <n v="9.79"/>
        <n v="3.849"/>
        <n v="-3.562"/>
        <n v="16.333"/>
        <n v="10.598"/>
        <n v="-30.058"/>
        <n v="18.684"/>
        <n v="-20.438"/>
        <n v="36.411"/>
        <n v="33.825"/>
        <n v="13.986"/>
        <n v="11.112"/>
        <n v="-12.584"/>
        <n v="-6.485"/>
        <n v="7.742"/>
        <n v="29.976"/>
        <n v="37.661"/>
        <n v="18.219"/>
        <n v="43.207"/>
        <n v="31.789"/>
        <n v="35.345"/>
        <n v="-14.993"/>
        <n v="31.885"/>
        <n v="30.568"/>
        <n v="-7.133"/>
        <n v="34.556"/>
        <n v="9.454"/>
        <n v="9.463"/>
        <n v="21.898"/>
        <n v="-10.769"/>
        <n v="1.0"/>
        <n v="1.016"/>
        <n v="17.6"/>
        <n v="-7.137"/>
        <n v="12.614"/>
        <n v="51.478"/>
        <n v="51.564"/>
        <n v="-13.481"/>
        <n v="-6.518"/>
        <n v="-23.944"/>
        <n v="-14.705"/>
        <n v="11.905"/>
        <n v="11.657"/>
        <n v="15.978"/>
        <n v="-9.593"/>
        <n v="-0.917"/>
        <n v="-0.567"/>
        <n v="-0.891"/>
        <n v="37.353"/>
        <n v="45.324"/>
        <n v="27.291"/>
        <n v="53.826"/>
        <n v="0.729"/>
        <n v="-6.903"/>
        <n v="-3.703"/>
        <n v="44.663"/>
        <n v="28.826"/>
        <n v="-28.906"/>
        <n v="16.84"/>
        <n v="28.094"/>
        <n v="27.929"/>
        <n v="19.055"/>
        <n v="-2.045"/>
        <n v="-2.778"/>
        <n v="-2.75"/>
        <n v="-10.68"/>
        <n v="16.779"/>
        <n v="26.092"/>
        <n v="5.139"/>
        <n v="-5.771"/>
        <n v="-5.429"/>
        <n v="-5.799"/>
        <n v="-4.836"/>
        <n v="-23.34"/>
        <n v="21.966"/>
        <n v="-19.544"/>
        <n v="38.401"/>
        <n v="52.629"/>
        <n v="-23.008"/>
        <n v="-8.378"/>
        <n v="40.149"/>
        <n v="12.626"/>
        <m/>
      </sharedItems>
    </cacheField>
    <cacheField name="longitude" numFmtId="0">
      <sharedItems containsString="0" containsBlank="1" containsNumber="1">
        <n v="167.158"/>
        <n v="-88.1265"/>
        <n v="-70.3731"/>
        <n v="-160.699"/>
        <n v="-160.796"/>
        <n v="-61.0955"/>
        <n v="-174.937"/>
        <n v="-177.208"/>
        <n v="-77.1231"/>
        <n v="170.456"/>
        <n v="170.694"/>
        <n v="-174.608"/>
        <n v="178.424"/>
        <n v="98.5339"/>
        <n v="-177.897"/>
        <n v="179.391"/>
        <n v="112.033"/>
        <n v="158.484"/>
        <n v="143.155"/>
        <n v="-66.5108"/>
        <n v="70.9787"/>
        <n v="-79.8001"/>
        <n v="-176.112"/>
        <n v="-178.787"/>
        <n v="166.385"/>
        <n v="149.487"/>
        <n v="73.2077"/>
        <n v="37.203"/>
        <n v="36.8306"/>
        <n v="36.9997"/>
        <n v="-63.0394"/>
        <n v="127.051"/>
        <n v="130.039"/>
        <n v="166.878"/>
        <n v="-172.968"/>
        <n v="159.596"/>
        <n v="100.738"/>
        <n v="-178.346"/>
        <n v="-172.129"/>
        <n v="178.278"/>
        <n v="178.381"/>
        <n v="178.363"/>
        <n v="-82.3396"/>
        <n v="-102.913"/>
        <n v="-103.252"/>
        <n v="121.307"/>
        <n v="121.348"/>
        <n v="170.239"/>
        <n v="146.471"/>
        <n v="102.279"/>
        <n v="-178.959"/>
        <n v="120.809"/>
        <n v="-71.1647"/>
        <n v="-70.3081"/>
        <n v="159.027"/>
        <n v="-66.7236"/>
        <n v="-86.9919"/>
        <n v="170.349"/>
        <n v="170.277"/>
        <n v="121.636"/>
        <n v="141.587"/>
        <n v="98.6034"/>
        <n v="-177.74"/>
        <n v="-179.968"/>
        <n v="-76.9395"/>
        <n v="-176.729"/>
        <n v="105.251"/>
        <n v="-168.08"/>
        <n v="-168.15"/>
        <n v="-167.736"/>
        <n v="-167.917"/>
        <n v="31.9095"/>
        <n v="101.299"/>
        <n v="127.581"/>
        <n v="122.2"/>
        <n v="-76.8461"/>
        <n v="126.48"/>
        <n v="-156.492"/>
        <n v="174.54"/>
        <n v="174.895"/>
        <n v="-87.8542"/>
        <n v="-99.7877"/>
        <n v="-24.9992"/>
        <n v="-24.4608"/>
        <n v="167.085"/>
        <n v="-23.3318"/>
        <n v="-73.4804"/>
        <n v="-157.707"/>
        <n v="-157.68"/>
        <n v="-25.3206"/>
        <n v="-25.1874"/>
        <n v="126.742"/>
        <n v="-157.917"/>
        <n v="-157.829"/>
        <n v="120.713"/>
        <n v="-82.8813"/>
        <n v="-177.773"/>
        <n v="-177.356"/>
        <n v="98.2551"/>
        <n v="96.6475"/>
        <n v="66.3745"/>
        <n v="141.665"/>
        <n v="-177.064"/>
        <n v="-176.235"/>
        <n v="141.607"/>
        <n v="163.208"/>
        <n v="-176.619"/>
        <n v="-177.224"/>
        <n v="-177.842"/>
        <n v="179.544"/>
        <n v="141.992"/>
        <n v="171.489"/>
        <n v="-55.559"/>
        <n v="127.517"/>
        <n v="100.443"/>
        <n v="-74.9067"/>
        <n v="26.7953"/>
        <n v="-159.675"/>
        <n v="-26.8332"/>
        <n v="-71.3937"/>
        <n v="-71.1958"/>
        <n v="-29.7046"/>
        <n v="123.493"/>
        <n v="101.215"/>
        <n v="101.095"/>
        <n v="124.13"/>
        <n v="-158.477"/>
        <n v="147.755"/>
        <n v="110.678"/>
        <n v="-95.9533"/>
        <n v="-177.838"/>
        <n v="128.262"/>
        <n v="-68.4204"/>
        <n v="-117.85"/>
        <n v="166.648"/>
        <n v="129.785"/>
        <n v="25.7101"/>
        <n v="-115.118"/>
        <n v="157.695"/>
        <n v="148.959"/>
        <n v="-78.756"/>
        <n v="39.0609"/>
        <n v="125.174"/>
        <n v="126.416"/>
        <n v="-179.511"/>
        <n v="-175.272"/>
        <n v="125.178"/>
        <n v="125.008"/>
        <n v="-73.163"/>
        <n v="128.37"/>
        <n v="-178.57"/>
        <n v="-26.5801"/>
        <n v="104.791"/>
        <n v="-72.3102"/>
        <n v="167.998"/>
        <n v="128.034"/>
        <n v="120.358"/>
        <n v="126.189"/>
        <n v="-117.599"/>
        <n v="129.169"/>
        <n v="-178.1"/>
        <n v="-89.3056"/>
        <n v="-75.2697"/>
        <n v="152.597"/>
        <n v="146.449"/>
        <n v="122.58"/>
        <n v="-25.304"/>
        <n v="-70.1546"/>
        <n v="-77.0505"/>
        <n v="-92.4527"/>
        <n v="42.3568"/>
        <n v="-71.3815"/>
        <n v="166.875"/>
        <n v="126.758"/>
        <n v="-71.587"/>
        <n v="126.921"/>
        <n v="164.699"/>
        <n v="-26.3856"/>
        <n v="169.733"/>
        <n v="169.427"/>
        <n v="-149.955"/>
        <n v="-178.927"/>
        <n v="-11.2431"/>
        <n v="20.5565"/>
        <n v="-129.724"/>
        <n v="-129.289"/>
        <n v="-129.412"/>
        <n v="169.522"/>
        <n v="153.243"/>
        <n v="156.297"/>
        <n v="151.205"/>
        <n v="-178.063"/>
        <n v="119.846"/>
        <n v="178.199"/>
        <n v="-179.373"/>
        <n v="161.503"/>
        <n v="179.35"/>
        <n v="141.929"/>
        <n v="170.126"/>
        <n v="-70.8284"/>
        <n v="168.143"/>
        <n v="-62.9019"/>
        <n v="116.627"/>
        <n v="-178.153"/>
        <n v="119.802"/>
        <n v="-178.026"/>
        <n v="116.438"/>
        <n v="-155.0"/>
        <n v="-63.0058"/>
        <n v="151.5"/>
        <n v="151.402"/>
        <n v="153.2"/>
        <n v="142.612"/>
        <n v="142.754"/>
        <n v="-97.9787"/>
        <n v="-149.166"/>
        <n v="-74.7092"/>
        <n v="-83.52"/>
        <n v="108.174"/>
        <n v="2.1628"/>
        <n v="168.671"/>
        <n v="168.598"/>
        <n v="-84.4865"/>
        <n v="45.9592"/>
        <n v="143.485"/>
        <n v="-173.168"/>
        <n v="168.859"/>
        <n v="169.148"/>
        <n v="123.074"/>
        <n v="176.769"/>
        <n v="-98.4887"/>
        <n v="-93.8993"/>
        <n v="103.855"/>
        <n v="27.4139"/>
        <n v="168.857"/>
        <n v="164.016"/>
        <n v="124.629"/>
        <n v="-90.9718"/>
        <n v="-92.0092"/>
        <n v="170.92"/>
        <n v="120.431"/>
        <n v="-25.7432"/>
        <n v="167.377"/>
        <n v="125.066"/>
        <n v="-72.0617"/>
        <n v="25.1558"/>
        <n v="162.786"/>
        <n v="-178.804"/>
        <n v="-63.9047"/>
        <n v="125.452"/>
        <n v="155.172"/>
        <n v="161.335"/>
        <n v="122.617"/>
        <n v="176.052"/>
        <n v="-73.9413"/>
        <n v="127.921"/>
        <n v="153.522"/>
        <n v="161.132"/>
        <n v="161.314"/>
        <n v="161.327"/>
        <n v="-126.194"/>
        <n v="96.1678"/>
        <n v="73.9776"/>
        <n v="-88.8968"/>
        <n v="141.387"/>
        <n v="173.254"/>
        <n v="173.669"/>
        <n v="173.054"/>
        <n v="13.0961"/>
        <n v="108.163"/>
        <n v="148.887"/>
        <n v="-178.244"/>
        <n v="179.146"/>
        <n v="152.792"/>
        <n v="94.569"/>
        <n v="173.117"/>
        <n v="145.507"/>
        <n v="100.665"/>
        <n v="-26.9353"/>
        <n v="-178.204"/>
        <n v="-79.616"/>
        <n v="-79.7899"/>
        <n v="167.379"/>
        <n v="-79.9218"/>
        <n v="130.754"/>
        <n v="94.8654"/>
        <n v="71.1311"/>
        <n v="166.594"/>
        <n v="166.624"/>
        <n v="166.855"/>
        <n v="94.3299"/>
        <n v="158.546"/>
        <n v="-153.339"/>
        <n v="-106.934"/>
        <n v="142.781"/>
        <n v="126.862"/>
        <n v="93.6505"/>
        <n v="-93.633"/>
        <n v="129.508"/>
        <n v="72.7797"/>
        <n v="-71.2574"/>
        <n v="-71.0184"/>
        <n v="-70.9437"/>
        <n v="158.422"/>
        <n v="20.6"/>
        <n v="128.873"/>
        <n v="-72.0585"/>
        <n v="-72.0068"/>
        <n v="94.648"/>
        <n v="-71.4519"/>
        <n v="124.875"/>
        <n v="70.3676"/>
        <n v="167.303"/>
        <n v="131.262"/>
        <n v="-71.3792"/>
        <n v="-71.804"/>
        <n v="-71.6876"/>
        <n v="-71.4262"/>
        <n v="-71.6744"/>
        <n v="-109.623"/>
        <n v="157.877"/>
        <n v="158.053"/>
        <n v="138.528"/>
        <n v="-169.446"/>
        <n v="165.141"/>
        <n v="-58.5479"/>
        <n v="158.403"/>
        <n v="139.725"/>
        <n v="140.493"/>
        <n v="-156.43"/>
        <n v="163.215"/>
        <n v="163.696"/>
        <n v="164.169"/>
        <n v="142.032"/>
        <n v="86.0655"/>
        <n v="154.557"/>
        <n v="151.875"/>
        <n v="151.777"/>
        <n v="151.771"/>
        <n v="86.0173"/>
        <n v="84.8216"/>
        <n v="84.7314"/>
        <n v="-178.6"/>
        <n v="-173.029"/>
        <n v="152.562"/>
        <n v="122.535"/>
        <n v="142.881"/>
        <n v="-66.688"/>
        <n v="168.52"/>
        <n v="-82.6576"/>
        <n v="-82.6865"/>
        <n v="154.46"/>
        <n v="123.126"/>
        <n v="126.575"/>
        <n v="127.056"/>
        <n v="179.662"/>
        <n v="126.522"/>
        <n v="148.232"/>
        <n v="-177.759"/>
        <n v="-88.1225"/>
        <n v="144.429"/>
        <n v="-73.5714"/>
        <n v="146.169"/>
        <n v="-178.4"/>
        <n v="142.452"/>
        <n v="-92.4614"/>
        <n v="152.807"/>
        <n v="-175.51"/>
        <n v="-28.3669"/>
        <n v="178.735"/>
        <n v="-177.607"/>
        <n v="-177.516"/>
        <n v="-177.725"/>
        <n v="25.3889"/>
        <n v="-82.3045"/>
        <n v="170.355"/>
        <n v="-127.732"/>
        <n v="155.024"/>
        <n v="155.087"/>
        <n v="-100.972"/>
        <n v="162.052"/>
        <n v="162.051"/>
        <n v="162.148"/>
        <n v="-85.8779"/>
        <n v="154.95"/>
        <n v="155.048"/>
        <n v="-70.4931"/>
        <n v="-70.5756"/>
        <n v="-70.9455"/>
        <n v="-70.7691"/>
        <n v="-70.7022"/>
        <n v="-125.134"/>
        <n v="127.367"/>
        <n v="-58.9272"/>
        <n v="82.5864"/>
        <n v="167.372"/>
        <n v="-177.881"/>
        <n v="167.249"/>
        <n v="-176.545"/>
        <n v="-46.4011"/>
        <n v="-47.0621"/>
        <n v="-71.5215"/>
        <n v="144.661"/>
        <n v="-110.321"/>
        <n v="154.931"/>
        <n v="124.117"/>
        <n v="23.2523"/>
        <n v="152.786"/>
        <n v="-178.323"/>
        <n v="65.5052"/>
        <n v="-74.5112"/>
        <n v="65.5009"/>
        <n v="-174.767"/>
        <n v="138.833"/>
        <n v="128.221"/>
        <n v="-175.23"/>
        <n v="174.152"/>
        <n v="-78.1999"/>
        <n v="174.337"/>
        <n v="-25.07"/>
        <n v="149.706"/>
        <n v="153.927"/>
        <n v="-42.594"/>
        <n v="-86.926"/>
        <n v="107.236"/>
        <n v="151.444"/>
        <n v="153.221"/>
        <n v="-177.232"/>
        <n v="145.288"/>
        <n v="152.127"/>
        <n v="102.888"/>
        <n v="150.788"/>
        <n v="142.542"/>
        <n v="61.996"/>
        <n v="154.607"/>
        <n v="138.476"/>
        <n v="148.174"/>
        <n v="157.408"/>
        <n v="157.283"/>
        <n v="142.508"/>
        <n v="165.741"/>
        <n v="-77.393"/>
        <n v="166.018"/>
        <n v="165.969"/>
        <n v="165.655"/>
        <n v="165.588"/>
        <n v="164.882"/>
        <n v="165.114"/>
        <n v="143.092"/>
        <n v="-70.653"/>
        <n v="-134.859"/>
        <n v="167.286"/>
        <n v="129.825"/>
        <n v="143.949"/>
        <n v="-92.164"/>
        <n v="95.885"/>
        <n v="-91.895"/>
        <n v="-132.101"/>
        <n v="-85.298"/>
        <n v="134.03"/>
        <n v="-76.362"/>
        <n v="-85.315"/>
        <n v="126.638"/>
        <n v="-88.59"/>
        <n v="126.837"/>
        <n v="145.064"/>
        <n v="153.173"/>
        <n v="-174.705"/>
        <n v="134.276"/>
        <n v="147.117"/>
        <n v="-71.365"/>
        <n v="-113.104"/>
        <n v="-102.689"/>
        <n v="92.463"/>
        <n v="93.063"/>
        <n v="-72.217"/>
        <n v="145.955"/>
        <n v="-98.231"/>
        <n v="95.991"/>
        <n v="123.206"/>
        <n v="167.133"/>
        <n v="93.21"/>
        <n v="95.911"/>
        <n v="146.809"/>
        <n v="-99.789"/>
        <n v="-75.966"/>
        <n v="43.508"/>
        <n v="147.881"/>
        <n v="88.155"/>
        <n v="142.779"/>
        <n v="97.893"/>
        <n v="169.716"/>
        <n v="-74.525"/>
        <n v="168.218"/>
        <n v="168.156"/>
        <n v="144.828"/>
        <n v="-176.34"/>
        <n v="142.205"/>
        <n v="168.226"/>
        <n v="161.2"/>
        <n v="140.401"/>
        <n v="141.588"/>
        <n v="-94.338"/>
        <n v="99.822"/>
        <n v="142.463"/>
        <n v="141.562"/>
        <n v="144.59"/>
        <n v="141.111"/>
        <n v="142.373"/>
        <n v="142.842"/>
        <n v="-72.834"/>
        <n v="-72.96"/>
        <n v="63.951"/>
        <n v="168.471"/>
        <n v="-73.326"/>
        <n v="167.947"/>
        <n v="59.18"/>
        <n v="149.977"/>
        <n v="100.082"/>
        <n v="-109.156"/>
        <n v="133.76"/>
        <n v="171.83"/>
        <n v="-77.306"/>
        <n v="168.069"/>
        <n v="150.765"/>
        <n v="146.822"/>
        <n v="123.48"/>
        <n v="150.59"/>
        <n v="150.428"/>
        <n v="-73.31"/>
        <n v="161.447"/>
        <n v="136.484"/>
        <n v="136.543"/>
        <n v="91.936"/>
        <n v="166.643"/>
        <n v="96.018"/>
        <n v="96.548"/>
        <n v="161.116"/>
        <n v="97.048"/>
        <n v="-115.295"/>
        <n v="92.831"/>
        <n v="-73.257"/>
        <n v="141.59"/>
        <n v="-71.799"/>
        <n v="-71.891"/>
        <n v="100.991"/>
        <n v="-73.374"/>
        <n v="167.227"/>
        <n v="-75.048"/>
        <n v="-72.898"/>
        <n v="128.425"/>
        <n v="-72.571"/>
        <n v="-124.692"/>
        <n v="157.551"/>
        <n v="157.354"/>
        <n v="157.487"/>
        <n v="-70.321"/>
        <n v="178.331"/>
        <n v="118.631"/>
        <n v="129.782"/>
        <n v="130.385"/>
        <n v="165.91"/>
        <n v="166.497"/>
        <n v="166.382"/>
        <n v="166.51"/>
        <n v="101.524"/>
        <n v="99.867"/>
        <n v="-172.095"/>
        <n v="107.297"/>
        <n v="99.49"/>
        <n v="140.395"/>
        <n v="92.902"/>
        <n v="137.944"/>
        <n v="-112.903"/>
        <n v="166.562"/>
        <n v="153.782"/>
        <n v="-86.217"/>
        <n v="-174.66"/>
        <n v="126.387"/>
        <n v="133.305"/>
        <n v="70.743"/>
        <n v="132.885"/>
        <n v="122.091"/>
        <n v="-92.364"/>
        <n v="73.824"/>
        <n v="143.754"/>
        <n v="127.363"/>
        <n v="166.967"/>
        <n v="83.52"/>
        <n v="141.464"/>
        <n v="142.214"/>
        <n v="142.714"/>
        <n v="91.824"/>
        <n v="140.881"/>
        <n v="103.322"/>
        <n v="141.526"/>
        <n v="168.892"/>
        <n v="81.467"/>
        <n v="125.63"/>
        <n v="99.808"/>
        <n v="99.891"/>
        <n v="99.972"/>
        <n v="99.931"/>
        <n v="95.964"/>
        <n v="21.863"/>
        <n v="21.67"/>
        <n v="-94.304"/>
        <n v="178.291"/>
        <n v="-70.182"/>
        <n v="-61.274"/>
        <n v="162.149"/>
        <n v="118.467"/>
        <n v="118.37"/>
        <n v="147.098"/>
        <n v="-77.838"/>
        <n v="-70.237"/>
        <n v="-69.89"/>
        <n v="101.02"/>
        <n v="167.553"/>
        <n v="153.5"/>
        <n v="100.141"/>
        <n v="99.627"/>
        <n v="99.668"/>
        <n v="100.841"/>
        <n v="100.139"/>
        <n v="101.367"/>
        <n v="-77.963"/>
        <n v="165.762"/>
        <n v="159.465"/>
        <n v="-76.603"/>
        <n v="107.419"/>
        <n v="167.68"/>
        <n v="127.464"/>
        <n v="134.85"/>
        <n v="138.446"/>
        <n v="-90.618"/>
        <n v="155.741"/>
        <n v="155.777"/>
        <n v="157.043"/>
        <n v="136.588"/>
        <n v="169.357"/>
        <n v="126.976"/>
        <n v="126.282"/>
        <n v="154.524"/>
        <n v="120.493"/>
        <n v="120.547"/>
        <n v="153.266"/>
        <n v="151.195"/>
        <n v="-76.677"/>
        <n v="150.982"/>
        <n v="-155.935"/>
        <n v="-172.033"/>
        <n v="155.512"/>
        <n v="157.522"/>
        <n v="167.789"/>
        <n v="151.133"/>
        <n v="165.743"/>
        <n v="97.05"/>
        <n v="-174.123"/>
        <n v="-173.907"/>
        <n v="-71.056"/>
        <n v="-71.022"/>
        <n v="167.516"/>
        <n v="167.089"/>
        <n v="176.989"/>
        <n v="127.214"/>
        <n v="33.583"/>
        <n v="23.212"/>
        <n v="-112.117"/>
        <n v="71.093"/>
        <n v="29.83"/>
        <n v="142.122"/>
        <n v="96.786"/>
        <n v="-67.895"/>
        <n v="73.588"/>
        <n v="151.84"/>
        <n v="-76.398"/>
        <n v="153.474"/>
        <n v="142.039"/>
        <n v="92.19"/>
        <n v="97.082"/>
        <n v="-86.172"/>
        <n v="-125.953"/>
        <n v="-69.197"/>
        <n v="97.041"/>
        <n v="98.459"/>
        <n v="99.779"/>
        <n v="99.607"/>
        <n v="97.108"/>
        <n v="130.131"/>
        <n v="129.933"/>
        <n v="95.592"/>
        <n v="122.129"/>
        <n v="126.421"/>
        <n v="167.259"/>
        <n v="123.337"/>
        <n v="141.491"/>
        <n v="92.375"/>
        <n v="92.958"/>
        <n v="95.982"/>
        <n v="161.345"/>
        <n v="-81.409"/>
        <n v="145.228"/>
        <n v="145.119"/>
        <n v="135.404"/>
        <n v="164.721"/>
        <n v="-77.508"/>
        <n v="124.868"/>
        <n v="162.208"/>
        <n v="-128.772"/>
        <n v="138.779"/>
        <n v="122.694"/>
        <n v="-86.665"/>
        <n v="120.534"/>
        <n v="162.161"/>
        <n v="137.227"/>
        <n v="137.071"/>
        <n v="136.618"/>
        <n v="-70.525"/>
        <n v="133.091"/>
        <n v="160.003"/>
        <n v="-73.406"/>
        <n v="122.839"/>
        <n v="167.198"/>
        <n v="71.029"/>
        <n v="135.339"/>
        <n v="135.023"/>
        <n v="135.538"/>
        <n v="127.4"/>
        <n v="169.766"/>
        <n v="58.311"/>
        <n v="-82.824"/>
        <n v="-121.101"/>
        <n v="121.362"/>
        <n v="150.88"/>
        <n v="125.416"/>
        <n v="142.619"/>
        <n v="144.57"/>
        <n v="87.721"/>
        <n v="144.38"/>
        <n v="87.813"/>
        <n v="143.593"/>
        <n v="143.91"/>
        <n v="95.672"/>
        <n v="167.144"/>
        <n v="-43.411"/>
        <n v="152.174"/>
        <n v="-71.637"/>
        <n v="159.999"/>
        <n v="152.502"/>
        <n v="128.855"/>
        <n v="141.568"/>
        <n v="3.634"/>
        <n v="120.743"/>
        <n v="153.238"/>
        <n v="-104.104"/>
        <n v="-90.774"/>
        <n v="160.77"/>
        <n v="153.701"/>
        <n v="153.275"/>
        <n v="-147.453"/>
        <n v="96.085"/>
        <n v="-147.912"/>
        <n v="133.973"/>
        <n v="134.297"/>
        <n v="93.068"/>
        <n v="142.945"/>
        <n v="146.199"/>
        <n v="-82.793"/>
        <n v="49.047"/>
        <n v="-71.124"/>
        <n v="166.383"/>
        <n v="144.619"/>
        <n v="-70.586"/>
        <n v="-100.865"/>
        <n v="122.179"/>
        <n v="-68.329"/>
        <n v="124.249"/>
        <n v="70.482"/>
        <n v="151.248"/>
        <n v="31.271"/>
        <n v="142.427"/>
        <n v="168.004"/>
        <n v="167.856"/>
        <n v="159.53"/>
        <n v="122.734"/>
        <n v="141.089"/>
        <n v="90.541"/>
        <n v="150.196"/>
        <n v="123.907"/>
        <n v="144.98"/>
        <n v="133.13"/>
        <n v="-154.701"/>
        <n v="24.244"/>
        <n v="-72.077"/>
        <n v="-73.987"/>
        <n v="-71.649"/>
        <n v="-73.641"/>
        <n v="155.865"/>
        <n v="132.526"/>
        <n v="128.02"/>
        <n v="-122.727"/>
        <n v="126.249"/>
        <n v="102.562"/>
        <n v="-88.938"/>
        <n v="70.232"/>
        <n v="101.776"/>
        <n v="-88.66"/>
        <n v="-153.281"/>
        <n v="167.17"/>
        <n v="126.899"/>
        <n v="126.579"/>
        <n v="152.725"/>
        <n v="54.799"/>
        <n v="49.954"/>
        <n v="49.946"/>
        <n v="153.181"/>
        <n v="151.781"/>
        <n v="153.226"/>
        <n v="153.102"/>
        <n v="152.169"/>
        <n v="-77.829"/>
        <n v="153.945"/>
        <n v="105.63"/>
        <n v="133.134"/>
        <n v="166.91"/>
        <n v="30.709"/>
        <n v="127.394"/>
        <n v="-102.48"/>
        <n v="142.246"/>
        <n v="166.448"/>
        <n v="139.376"/>
        <n v="150.917"/>
        <n v="-154.198"/>
        <n v="-20.758"/>
        <n v="97.453"/>
        <n v="-20.487"/>
        <n v="101.905"/>
        <n v="102.102"/>
        <n v="102.087"/>
        <n v="-66.452"/>
        <n v="123.573"/>
        <n v="143.807"/>
        <n v="150.876"/>
        <n v="146.837"/>
        <n v="-174.248"/>
        <n v="165.354"/>
        <n v="105.555"/>
        <n v="119.74"/>
        <n v="-154.347"/>
        <n v="-69.171"/>
        <n v="168.214"/>
        <n v="148.763"/>
        <n v="148.82"/>
        <n v="31.161"/>
        <n v="71.24"/>
        <n v="-116.265"/>
        <n v="-96.931"/>
        <n v="121.158"/>
        <n v="120.982"/>
        <n v="168.039"/>
        <n v="-84.159"/>
        <n v="29.864"/>
        <n v="-88.33"/>
        <n v="-97.436"/>
        <n v="152.877"/>
        <n v="152.486"/>
        <n v="-176.46"/>
        <n v="149.568"/>
        <n v="-72.662"/>
        <n v="79.403"/>
        <n v="-177.668"/>
        <n v="159.52"/>
        <n v="121.937"/>
        <n v="57.193"/>
        <n v="166.697"/>
        <n v="-169.123"/>
        <n v="153.235"/>
        <n v="-176.376"/>
        <n v="124.891"/>
        <n v="128.946"/>
        <n v="129.022"/>
        <n v="112.413"/>
        <n v="-71.715"/>
        <n v="126.764"/>
        <n v="-80.393"/>
        <n v="138.901"/>
        <n v="141.926"/>
        <n v="166.16"/>
        <n v="70.11"/>
        <n v="-65.431"/>
        <n v="119.584"/>
        <n v="151.714"/>
        <n v="125.308"/>
        <n v="-74.238"/>
        <n v="99.261"/>
        <n v="57.605"/>
        <n v="-70.207"/>
        <n v="-179.376"/>
        <n v="-71.41"/>
        <n v="-91.473"/>
        <n v="147.867"/>
        <n v="162.035"/>
        <n v="122.536"/>
        <n v="20.656"/>
        <n v="167.375"/>
        <n v="-88.808"/>
        <n v="87.325"/>
        <n v="-76.681"/>
        <n v="-71.22"/>
        <n v="-176.772"/>
        <n v="125.779"/>
        <n v="-75.749"/>
        <n v="144.362"/>
        <n v="-98.216"/>
        <n v="-63.486"/>
        <n v="-71.872"/>
        <n v="-101.604"/>
        <n v="169.287"/>
        <n v="70.945"/>
        <n v="59.809"/>
        <n v="144.901"/>
        <n v="-60.892"/>
        <n v="166.676"/>
        <n v="147.408"/>
        <n v="127.647"/>
        <n v="68.208"/>
        <n v="57.291"/>
        <n v="-102.756"/>
        <n v="138.92"/>
        <n v="131.314"/>
        <n v="78.133"/>
        <n v="-75.675"/>
        <n v="131.468"/>
        <n v="131.093"/>
        <n v="155.568"/>
        <n v="32.126"/>
        <n v="126.334"/>
        <n v="126.284"/>
        <n v="121.498"/>
        <n v="161.445"/>
        <n v="120.45"/>
        <n v="120.254"/>
        <n v="-100.965"/>
        <n v="122.589"/>
        <n v="125.154"/>
        <n v="-176.847"/>
        <n v="-177.632"/>
        <n v="167.13"/>
        <n v="154.999"/>
        <n v="-70.093"/>
        <n v="167.297"/>
        <n v="-86.772"/>
        <n v="-86.856"/>
        <n v="-98.07"/>
        <n v="-79.587"/>
        <n v="136.225"/>
        <n v="135.84"/>
        <n v="136.952"/>
        <n v="142.38"/>
        <n v="149.892"/>
        <n v="100.276"/>
        <n v="159.586"/>
        <n v="119.931"/>
        <n v="129.151"/>
        <n v="140.233"/>
        <n v="149.3"/>
        <n v="34.799"/>
        <n v="-71.417"/>
        <n v="-93.469"/>
        <n v="130.148"/>
        <n v="130.175"/>
        <n v="-104.205"/>
        <n v="101.436"/>
        <n v="-77.851"/>
        <n v="-77.881"/>
        <n v="-78.581"/>
        <n v="-98.597"/>
        <n v="-110.284"/>
        <n v="-75.577"/>
        <n v="154.347"/>
        <n v="153.773"/>
        <n v="154.178"/>
        <n v="151.515"/>
        <n v="-70.294"/>
        <n v="99.196"/>
        <n v="22.283"/>
        <n v="142.827"/>
        <n v="169.9"/>
        <n v="125.127"/>
        <n v="21.695"/>
        <n v="125.297"/>
        <m/>
      </sharedItems>
    </cacheField>
    <cacheField name="location" numFmtId="0">
      <sharedItems containsBlank="1">
        <s v="Sola, Vanuatu"/>
        <s v="Intipucá, El Salvador"/>
        <s v="Loncopué, Argentina"/>
        <s v="Sand Point, Alaska"/>
        <s v="Alaska Peninsula"/>
        <s v="Codrington, Antigua and Barbuda"/>
        <s v="Tonga"/>
        <s v="the Fiji Islands"/>
        <s v="Panama-Colombia border region"/>
        <s v="the Loyalty Islands"/>
        <s v="Hihifo, Tonga"/>
        <s v="Teluk Dalam, Indonesia"/>
        <s v="Kermadec Islands, New Zealand"/>
        <s v="Tuban, Indonesia"/>
        <s v="the Kamchatka Peninsula, Russia"/>
        <s v="New Guinea, Papua New Guinea"/>
        <s v="San Antonio de los Cobres, Argentina"/>
        <s v="Jurm, Afghanistan"/>
        <s v="Ecuador"/>
        <s v="Kermadec Islands region"/>
        <s v="Port-Olry, Vanuatu"/>
        <s v="Kimbe, Papua New Guinea"/>
        <s v="Murghob, Tajikistan"/>
        <s v="Ekinözü, Turkey"/>
        <s v="Nurdağı, Turkey"/>
        <s v="Central Turkey"/>
        <m/>
        <s v="Tobelo, Indonesia"/>
        <s v="Pulau Pulau Tanimbar, Indonesia"/>
        <s v="Vanuatu"/>
        <s v="Malango, Solomon Islands"/>
        <s v="Bengkulu, Indonesia"/>
        <s v="Neiafu, Tonga"/>
        <s v="Boca Chica, Panama"/>
        <s v="Aguililla, Mexico"/>
        <s v="Yujing, Taiwan"/>
        <s v="Lugu, Taiwan"/>
        <s v="Isangel, Vanuatu"/>
        <s v="Kainantu, Papua New Guinea"/>
        <s v="Kangding, China"/>
        <s v="the Kermadec Islands"/>
        <s v="Bantay, Philippines"/>
        <s v="Tarauacá, Brazil"/>
        <s v="Azángaro, Peru"/>
        <s v="Masachapa, Nicaragua"/>
        <s v="Tadine, New Caledonia"/>
        <s v="Hualien City, Taiwan"/>
        <s v="Namie, Japan"/>
        <s v="Pariaman, Indonesia"/>
        <s v="Barranca, Peru"/>
        <s v="Labuan, Indonesia"/>
        <s v="Nikolski, Alaska"/>
        <s v="Pólis, Cyprus"/>
        <s v="northern Qinghai, China"/>
        <s v="Lospalos, Timor Leste"/>
        <s v="Flores Sea"/>
        <s v="Hirara, Japan"/>
        <s v="Chignik, Alaska"/>
        <s v="Vanuatu region"/>
        <s v="Jiquilillo, Nicaragua"/>
        <s v="Acapulco, Mexico"/>
        <s v="South Sandwich Islands region"/>
        <s v="Nippes, Haiti"/>
        <s v="Perryville, Alaska"/>
        <s v="Pondaguitan, Philippines"/>
        <s v="Hukay, Philippines"/>
        <s v="Burica, Panama"/>
        <s v="Alo, Wallis and Futuna"/>
        <s v="Southern Qinghai, China"/>
        <s v="Sinabang, Indonesia"/>
        <s v="Mauritius - Reunion region"/>
        <s v="Haveluloto, Tonga"/>
        <s v="Pangai, Tonga"/>
        <s v="Ishinomaki, Japan"/>
        <s v="Ust’-Kamchatsk Staryy, Russia"/>
        <s v="Gisborne, New Zealand"/>
        <s v="South Shetland Islands"/>
        <s v="Turt, Mongolia"/>
        <s v="Corral, Chile"/>
        <s v="Néon Karlovásion, Greece"/>
        <s v="central Mid-Atlantic Ridge"/>
        <s v="Vallenar, Chile"/>
        <s v="Katabu, Indonesia"/>
        <s v="San Pedro, Philippines"/>
        <s v="Popondetta, Papua New Guinea"/>
        <s v="Batang, Indonesia"/>
        <s v="Santa María Xadani, Mexico"/>
        <s v="Naze, Japan"/>
        <s v="San Pedro de Atacama, Chile"/>
        <s v="Monte Cristo Range, NV Earthquake"/>
        <s v="Lata, Solomon Islands"/>
        <s v="Banda Sea"/>
        <s v="Néa Anatolí, Greece"/>
        <s v="Stanley, Idaho"/>
        <s v="Severo-Kuril’sk, Russia"/>
        <s v="Kuril’sk, Russia"/>
        <s v="Lucea, Jamaica"/>
        <s v="Do?anyol, Turkey"/>
        <s v="Magsaysay, Philippines"/>
        <s v="Bitung, Indonesia"/>
        <s v="Ndoi Island, Fiji"/>
        <s v="Kisante, Philippines"/>
        <s v="Columbio, Philippines"/>
        <s v="Constitución, Chile"/>
        <s v="Kairatu, Indonesia"/>
        <s v="Bristol Island, South Sandwich Islands"/>
        <s v="San Antonio, Chile"/>
        <s v="Lakatoro, Vanuatu"/>
        <s v="Laiwui, Indonesia"/>
        <s v="Broome, Australia"/>
        <s v="Kota Ternate, Indonesia"/>
        <s v="Searles Valley, CA"/>
        <s v="Saumlaki, Indonesia"/>
        <s v="L'Esperance Rock, New Zealand"/>
        <s v="La Libertad, El Salvador"/>
        <s v="Navarro, Peru"/>
        <s v="Namatanai, Papua New Guinea"/>
        <s v="Bulolo, Papua New Guinea"/>
        <s v="Luwuk, Indonesia"/>
        <s v="Palora, Ecuador"/>
        <s v="Puerto Madero, Mexico"/>
        <s v="Prince Edward Islands region"/>
        <s v="Coquimbo, Chile"/>
        <s v="Molucca Sea"/>
        <s v="Tarauaca, Brazil"/>
        <s v="Point MacKenzie, Alaska"/>
        <s v="Levuka, Fiji"/>
        <s v="Olonkinbyen, Svalbard and Jan Mayen"/>
        <s v="Lithakiá, Greece"/>
        <s v="Port McNeill, Canada"/>
        <s v="Ozernovskiy, Russia"/>
        <s v="Palu, Indonesia"/>
        <s v="Kirakira, Solomon Islands"/>
        <s v="Chitose, Japan"/>
        <s v="Iñapari, Peru"/>
        <s v="Carúpano, Venezuela"/>
        <s v="Labuan Lombok, Indonesia"/>
        <s v="Labuan Bajo, Indonesia"/>
        <s v="Adak, Alaska"/>
        <s v="Leilani Estates, Hawaii"/>
        <s v="Boyuibe, Bolivia"/>
        <s v="Kokopo, Papua New Guinea"/>
        <s v="Tari, Papua New Guinea"/>
        <s v="Pinotepa de Don Luis, Mexico"/>
        <s v="Chiniak, Alaska"/>
        <s v="Atiquipa, Peru"/>
        <s v="Barra Patuca, Honduras"/>
        <s v="Kawalu, Indonesia"/>
        <s v="Bouvet Island region"/>
        <s v="Parrita, Costa Rica"/>
        <s v="?alabja, Iraq"/>
        <s v="Angoram, Papua New Guinea"/>
        <s v="Maumere, Indonesia"/>
        <s v="Attu Station, Alaska"/>
        <s v="Matzaco, Mexico"/>
        <s v="Chiapas, Mexico"/>
        <s v="Mawu, China"/>
        <s v="Kos, Greece"/>
        <s v="Komandorskiye Ostrova, Russia region"/>
        <s v="Auckland Islands, New Zealand region"/>
        <s v="Lim-oo, Philippines"/>
        <s v="Puerto San José, Guatemala"/>
        <s v="San Pablo, Guatemala"/>
        <s v="Poso, Indonesia"/>
        <s v="Burias, Philippines"/>
        <s v="Valparaíso, Chile"/>
        <s v="Moijabana, Botswana"/>
        <s v="Padilla, Bolivia"/>
        <s v="Mabua, Philippines"/>
        <s v="Panguna, Papua New Guinea"/>
        <s v="Tabiauan, Philippines"/>
        <s v="Nadi, Fiji"/>
        <s v="Quellón, Chile"/>
        <s v="Ferndale, California"/>
        <s v="Reuleuet, Indonesia"/>
        <s v="Puerto El Triunfo, El Salvador"/>
        <s v="Amberley, New Zealand"/>
        <s v="Blenheim, New Zealand"/>
        <s v="Preci, Italy"/>
        <s v="Pamanukan, Indonesia"/>
        <s v="Kandrian, Papua New Guinea"/>
        <s v="Fiji region"/>
        <s v="Rabaul, Papua New Guinea"/>
        <s v="Chauk, Myanmar"/>
        <s v="Pagan region, Northern Mariana Islands"/>
        <s v="Sungai Penuh, Indonesia"/>
        <s v="Rosa Zarate, Ecuador"/>
        <s v="Muisne, Ecuador"/>
        <s v="Norsup, Vanuatu"/>
        <s v="Kumamoto, Japan"/>
        <s v="Mawlaik, Myanmar"/>
        <s v="Ashk?sham, Afghanistan"/>
        <s v="Sumatra, Indonesia"/>
        <s v="Mil’kovo, Russia"/>
        <s v="Pedro Bay, Alaska"/>
        <s v="La Cruz de Loreto, Mexico"/>
        <s v="Shizunai-furukawach?, Japan"/>
        <s v="Sarangani, Philippines"/>
        <s v="Imph?l, India"/>
        <s v="Manuel Ávila Camacho (Ponte Duro), Mexico"/>
        <s v="Amahai, Indonesia"/>
        <s v="Buala, Solomon Islands"/>
        <s v="Lefkáda, Greece"/>
        <s v="Makurazaki, Japan"/>
        <s v="Nicobar Islands, India region"/>
        <s v="Ovalle, Chile"/>
        <s v="Maubara, Timor Leste"/>
        <s v="Hindu Kush region, Afghanistan"/>
        <s v="Sorong, Indonesia"/>
        <s v="Illapel, Chile"/>
        <s v="Topolobampo, Mexico"/>
        <s v="Gizo, Solomon Islands"/>
        <s v="Abepura, Indonesia"/>
        <s v="Fox Islands, Aleutian Islands, Alaska"/>
        <s v="Bathsheba, Barbados"/>
        <s v="Bonin Islands, Japan region"/>
        <s v="Ugashik, Alaska"/>
        <s v="?funato, Japan"/>
        <s v="Nepal"/>
        <s v="Kod?ri??, Nepal"/>
        <s v="Bharatpur, Nepal"/>
        <s v="Miyako, Japan"/>
        <s v="El Aguilar, Argentina"/>
        <s v="Port-Vila, Vanuatu"/>
        <s v="Punta de Burica, Panama"/>
        <s v="Sangay, Philippines"/>
        <s v="Ternate, Indonesia"/>
        <s v="Finschhafen, Papua New Guinea"/>
        <s v="Piti Village, Guam"/>
        <s v="Aniso, Peru"/>
        <s v="Micronesia region"/>
        <s v="Mata-Utu, Wallis and Futuna"/>
        <s v="Rat Islands, Aleutian Islands, Alaska"/>
        <s v="Kamariótissa, Greece"/>
        <s v="Vernon, Canada"/>
        <s v="Coyuquilla Norte, Mexico"/>
        <s v="Belén, Nicaragua"/>
        <s v="Iquique, Chile"/>
        <s v="Indianola, California"/>
        <s v="Nago, Japan"/>
        <s v="Greenland, Barbados"/>
        <s v="Hotan, China"/>
        <s v="Scotia Sea"/>
        <s v="off the east coast of Honshu, Japan"/>
        <s v="Etchoropo, Mexico"/>
        <s v="Sagbayan, Philippines"/>
        <s v="Kíssamos, Greece"/>
        <s v="Okhotsk"/>
        <s v="Khuzdar, Pakistan"/>
        <s v="Bela, Pakistan"/>
        <s v="Atka, Alaska"/>
        <s v="Izu Islands, Japan region"/>
        <s v="Bahía Solano, Colombia"/>
        <s v="northern Mid-Atlantic Ridge"/>
        <s v="Java, Indonesia"/>
        <s v="Vaini, Tonga"/>
        <s v="Linqiong, China"/>
        <s v="Aitape, Papua New Guinea"/>
        <s v="Kh?sh, Iran"/>
        <s v="Belaya Gora, Russia"/>
        <s v="Yacuanquer, Colombia"/>
        <s v="Obihiro, Japan"/>
        <s v="Edna Bay, Alaska"/>
        <s v="Champerico, Guatemala"/>
        <s v="Shwebo, Myanmar"/>
        <s v="Prince Rupert, Canada"/>
        <s v="Costa Rica"/>
        <s v="Tual, Indonesia"/>
        <s v="San Agustín, Colombia"/>
        <s v="Hojancha, Costa Rica"/>
        <s v="Sulangan, Philippines"/>
        <s v="Poronaysk, Russia"/>
        <s v="Manokwari, Indonesia"/>
        <s v="Lae, Papua New Guinea"/>
        <s v="Hacienda La Calera, Chile"/>
        <s v="San Luis, Mexico"/>
        <s v="El Habillal, Mexico"/>
        <s v="off the west coast of northern Sumatra"/>
        <s v="Santiago Llano Grande, Mexico"/>
        <s v="Saryg-Sep, Russia"/>
        <s v="Jimalalud, Philippines"/>
        <s v="Wau, Papua New Guinea"/>
        <s v="Nuevo Balsas, Mexico"/>
        <s v="Santiago, Peru"/>
        <s v="Van, Turkey"/>
        <s v="Mangan, India"/>
        <s v="Kabanjahe, Indonesia"/>
        <s v="Contamana, Peru"/>
        <s v="Wé, New Caledonia"/>
        <s v="Ishikawa, Japan"/>
        <s v="Helio García Alfaro, Mexico"/>
        <s v="Tachilek, Myanmar"/>
        <s v="?tsuchi, Japan"/>
        <s v="Hasaki, Japan"/>
        <s v="Kamaishi, Japan"/>
        <s v="?arai, Japan"/>
        <s v="2011 Great Tohoku Earthquake, Japan"/>
        <s v="Tomé, Chile"/>
        <s v="Dalbandin, Pakistan"/>
        <s v="Carahue, Chile"/>
        <s v="Bam, Iran"/>
        <s v="El Huitusi, Mexico"/>
        <s v="Papua, Indonesia"/>
        <s v="Methven, New Zealand"/>
        <s v="Madang, Papua New Guinea"/>
        <s v="Bantogon, Philippines"/>
        <s v="New Britain region, Papua New Guinea"/>
        <s v="Cañete, Chile"/>
        <s v="Biak, Indonesia"/>
        <s v="Meulaboh, Indonesia"/>
        <s v="Qamdo, China"/>
        <s v="Delta, B.C., MX"/>
        <s v="Bamboo Flat, India"/>
        <s v="Santa Cruz, Chile"/>
        <s v="Talcahuano, Chile"/>
        <s v="Lebu, Chile"/>
        <s v="Quirihue, Chile"/>
        <s v="Katsuren-haebaru, Japan"/>
        <s v="Léogâne, Haiti"/>
        <s v="Ba, Fiji"/>
        <s v="Bima, Indonesia"/>
        <s v="Matavai, Samoa"/>
        <s v="Banjar, Indonesia"/>
        <s v="Padang, Indonesia"/>
        <s v="Tateyama, Japan"/>
        <s v="?yama, Japan"/>
        <s v="Bahía de Kino, Mexico"/>
        <s v="Te Anau, New Zealand"/>
        <s v="Guanaja, Honduras"/>
        <s v="‘Ohonua, Tonga"/>
        <s v="Gorontalo, Indonesia"/>
        <s v="Brisas Barra de Suchiate, Mexico"/>
        <s v="Nookat, Kyrgyzstan"/>
        <s v="Jumla, Nepal"/>
        <s v="Morioka, Japan"/>
        <s v="Mizusawa, Japan"/>
        <s v="Tianpeng, China"/>
        <s v="Philippine Islands region"/>
        <s v="Koróni, Greece"/>
        <s v="Methóni, Greece"/>
        <s v="General Pascual Fentes, Mexico"/>
        <s v="Ant"/>
        <s v="Basse-Pointe, Martinique"/>
        <s v="Dompu, Indonesia"/>
        <s v="Macas, Ecuador"/>
        <s v="Tocopilla, Chile"/>
        <s v="Kepulauan Mentawai region, Indonesia"/>
        <s v="Timbiquí, Colombia"/>
        <s v="San Vicente de Cañete, Peru"/>
        <s v="Rengasdengklok, Indonesia"/>
        <s v="Luganville, Vanuatu"/>
        <s v="Mikuni, Japan"/>
        <s v="Kashiwazaki, Japan"/>
        <s v="Iztapa, Guatemala"/>
        <s v="Nanao, Japan"/>
        <s v="S"/>
        <s v="the Kuril Islands"/>
        <s v="Hengchun, Taiwan"/>
        <s v="Kuril Islands"/>
        <s v="Puako, Hawaii"/>
        <s v="Singaparna, Indonesia"/>
        <s v="Tilichiki, Russia"/>
        <s v="Singkil, Indonesia"/>
        <s v="Copiapó, Chile"/>
        <s v="Lautoka, Fiji"/>
        <s v="Ambon, Indonesia"/>
        <s v="Chipinge, Zimbabwe"/>
        <s v="Kýthira, Greece"/>
        <s v="Kalemie, Democratic Republic"/>
        <s v="Muzaffar?b?d, Pakistan"/>
        <s v="Yurimaguas, Peru"/>
        <s v="San Juan del Sur, Nicaragua"/>
        <s v="Big Lagoon, California"/>
        <s v="Padangsidempuan, Indonesia"/>
        <s v="Maebaru-ch??, Japan"/>
        <s v="Pulau-Pulau Talaud, Indonesia"/>
        <s v="Palimbang, Philippines"/>
        <s v="Katsuura, Japan"/>
        <s v="Sabang, Indonesia"/>
        <s v="2004 Sumatra - Andaman Islands Earthquake"/>
        <s v="Macquarie Island"/>
        <s v="George Town, Cayman Islands"/>
        <s v="Nemuro, Japan"/>
        <s v="Nabire, Indonesia"/>
        <s v="Riverton, New Zealand"/>
        <s v="Pizarro, Colombia"/>
        <s v="Ojiya, Japan"/>
        <s v="Yonakuni, Japan"/>
        <s v="Talisay, Philippines"/>
        <s v="Shing?, Japan"/>
        <s v="Teno, Chile"/>
        <s v="Atlasovo, Russia"/>
        <s v="Naisano Dua, Indonesia"/>
        <s v="Afghanistan-Tajikistan-Pakistan region"/>
        <s v="Progreso, Panama"/>
        <s v="San Simeon, California"/>
        <s v="Can-Avid, Philippines"/>
        <s v="Kushiro, Japan"/>
        <s v="Aktash, Russia"/>
        <s v="Taungdwingyi, Myanmar"/>
        <s v="Dellys, Algeria"/>
        <s v="Ruteng, Indonesia"/>
        <s v="Cuyutlán, Mexico"/>
        <s v="New Ireland region, Papua New Guinea"/>
        <s v="Cantwell, Alaska"/>
        <s v="San Jose Village, Northern Mariana Islands"/>
        <s v="Abhar, Iran"/>
        <s v="Monte Patria, Chile"/>
        <s v="Merizo Village, Guam"/>
        <s v="Nuxco, Mexico"/>
        <s v="Calama, Chile"/>
        <s v="Mindanao, Philippines"/>
        <s v="Sultanda??, Turkey"/>
        <s v="Hanamaki, Japan"/>
        <s v="Kendari, Indonesia"/>
        <s v="Inarajan Village, Guam"/>
        <s v="Kokhanok, Alaska"/>
        <s v="Skýros, Greece"/>
        <s v="Punta de Bombón, Peru"/>
        <s v="Achanizo, Peru"/>
        <s v="Pacocha, Peru"/>
        <s v="Atico, Peru"/>
        <s v="Kure, Japan"/>
        <s v="Longbranch, Washington"/>
        <s v="Cojutepeque, El Salvador"/>
        <s v="Bhach?u, India"/>
        <s v="Old Harbor, Alaska"/>
        <s v="Lukatan, Philippines"/>
        <s v="Balkanabat, Turkmenistan"/>
        <s v="Badamdar, Azerbaijan"/>
        <s v="Baku, Azerbaijan"/>
        <s v="Juradó, Colombia"/>
        <s v="Matsue, Japan"/>
        <s v="Nkove, Tanzania"/>
        <s v="Uglegorsk, Russia"/>
        <s v="Shimoda, Japan"/>
        <s v="Larsen Bay, Alaska"/>
        <s v="Selfoss, Iceland"/>
        <s v="South Indian Ocean"/>
        <s v="Ialibu, Papua New Guinea"/>
        <s v="Shikotan, Russia"/>
        <s v="Bolitoc, Philippines"/>
        <s v="Karluk, Alaska"/>
        <s v="Arica, Chile"/>
        <s v="Düzce, Turkey"/>
        <s v="Hector Mine, CA Earthquake"/>
        <s v="San Baltazar Loxicha, Mexico"/>
        <s v="Puli, Taiwan"/>
        <s v="Quepos, Costa Rica"/>
        <s v="Derince, Turkey"/>
        <s v="Potrerillos, Honduras"/>
        <s v="Texcala, Mexico"/>
        <s v="Camaná, Peru"/>
        <s v="P?palkoti, India"/>
        <s v="Vilyuchinsk, Russia"/>
        <s v="K?h Sef?d, Iran"/>
        <s v="Sumberpucung, Indonesia"/>
        <s v="Bahía de Caráquez, Ecuador"/>
        <s v="Rust?q, Afghanistan"/>
        <s v="Mizque, Bolivia"/>
        <s v="Ishigaki, Japan"/>
        <s v="San Fernando, Peru"/>
        <s v="Kerman, Iran"/>
        <s v="Labasa, Fiji"/>
        <s v="San José El Ídolo, Guatemala"/>
        <s v="San Sebastián, El Salvador"/>
        <s v="western Xizang"/>
        <s v="Roncesvalles, Colombia"/>
        <s v="El Ciruelo, Mexico"/>
        <s v="Churumuco de Morelos, Mexico"/>
        <s v="Q?’en, Iran"/>
        <s v="Yigo Village, Guam"/>
        <s v="Scarborough, Trinidad and Tobago"/>
        <s v="Kinablangan, Philippines"/>
        <s v="Harnai, Pakistan"/>
        <s v="Turkmenistan-Iran border region"/>
        <s v="Iwanai, Japan"/>
        <s v="Miyazaki, Japan"/>
        <s v="Thang, India"/>
        <s v="Changuillo, Peru"/>
        <s v="Nishinoomote, Japan"/>
        <s v="Paphos, Cyprus"/>
        <s v="Cortes, Philippines"/>
        <s v="Palapag, Philippines"/>
        <s v="Villa El Carmen, Nicaragua"/>
        <s v="Santa María Chico Ometepec, Mexico"/>
        <s v="Puerto Santa, Peru"/>
        <s v="Insrom, Indonesia"/>
        <s v="Lijiang, China"/>
        <s v="Yelizovo, Russia"/>
        <s v="Nuwaybi‘a, Egypt"/>
        <s v="Ocozocoautla de Espinosa, Mexico"/>
        <s v="El Colomo, Mexico"/>
        <s v="Sucúa, Ecuador"/>
        <s v="Paramonga, Peru"/>
        <s v="Azoyú, Mexico"/>
        <s v="Neira, Colombia"/>
        <s v="Jinghong, China"/>
        <s v="Galaxídhion, Greece"/>
        <s v="Tungor, Russia"/>
        <s v="Vao, New Caledonia"/>
        <s v="Aianí, Greece"/>
        <s v="Cabatuan, Philippines"/>
      </sharedItems>
    </cacheField>
    <cacheField name="continent" numFmtId="0">
      <sharedItems containsBlank="1">
        <m/>
        <s v="South America"/>
        <s v="Asia"/>
        <s v="Oceania"/>
        <s v="North America"/>
        <s v="Europe"/>
        <s v="Africa"/>
      </sharedItems>
    </cacheField>
    <cacheField name="country" numFmtId="0">
      <sharedItems containsBlank="1">
        <s v="Vanuatu"/>
        <m/>
        <s v="Argentina"/>
        <s v="Colombia"/>
        <s v="Indonesia"/>
        <s v="Russian Federation (the)"/>
        <s v="Papua New Guinea"/>
        <s v="Afghanistan"/>
        <s v="Ecuador"/>
        <s v="Tajikistan"/>
        <s v="Turkiye"/>
        <s v="Solomon Islands"/>
        <s v="Fiji"/>
        <s v="Panama"/>
        <s v="Mexico"/>
        <s v="Taiwan"/>
        <s v="People's Republic of China"/>
        <s v="Philippines"/>
        <s v="Brazil"/>
        <s v="Peru"/>
        <s v="United States of America"/>
        <s v="Antarctica"/>
        <s v="Haiti"/>
        <s v="Japan"/>
        <s v="Mongolia"/>
        <s v="Greece"/>
        <s v="Chile"/>
        <s v="Russia"/>
        <s v="Turkey"/>
        <s v="United Kingdom of Great Britain and Northern Ireland (the)"/>
        <s v="South Georgia and the South Sandwich Islands"/>
        <s v="Venezuela"/>
        <s v="Bolivia"/>
        <s v="Costa Rica"/>
        <s v="Iran"/>
        <s v="Guatemala"/>
        <s v="Botswana"/>
        <s v="New Zealand"/>
        <s v="Italy"/>
        <s v="Myanmar"/>
        <s v="India"/>
        <s v="Nepal"/>
        <s v="Nicaragua"/>
        <s v="Pakistan"/>
        <s v="Canada"/>
        <s v="Tonga"/>
        <s v="Kyrgyzstan"/>
        <s v="Martinique"/>
        <s v="Mozambique"/>
        <s v="Tanzania"/>
        <s v="Algeria"/>
        <s v="El Salvador"/>
        <s v="Turkmenistan"/>
        <s v="Azerbaijan"/>
        <s v="Iceland"/>
        <s v="Trinidad and Tobago"/>
        <s v="Saudi Arabia"/>
      </sharedItems>
    </cacheField>
    <cacheField name="date_time_converted" numFmtId="164">
      <sharedItems containsDate="1" containsString="0" containsBlank="1">
        <d v="2023-08-16T12:47:00Z"/>
        <d v="2023-07-19T00:22:00Z"/>
        <d v="2023-07-17T03:05:00Z"/>
        <d v="2023-07-16T06:48:00Z"/>
        <d v="2023-07-10T20:28:00Z"/>
        <d v="2023-07-02T10:27:00Z"/>
        <d v="2023-06-15T18:06:00Z"/>
        <d v="2023-05-25T03:05:00Z"/>
        <d v="2023-05-20T01:51:00Z"/>
        <d v="2023-05-19T02:57:00Z"/>
        <d v="2023-05-10T16:02:00Z"/>
        <d v="2023-04-28T03:13:00Z"/>
        <d v="2023-04-24T20:00:00Z"/>
        <d v="2023-04-24T00:41:00Z"/>
        <d v="2023-04-18T04:31:00Z"/>
        <d v="2023-04-14T09:55:00Z"/>
        <d v="2023-04-03T03:06:00Z"/>
        <d v="2023-04-02T18:04:00Z"/>
        <d v="2023-03-22T16:00:00Z"/>
        <d v="2023-03-21T16:47:00Z"/>
        <d v="2023-03-18T17:12:00Z"/>
        <d v="2023-03-16T00:56:00Z"/>
        <d v="2023-03-04T06:41:00Z"/>
        <d v="2023-03-02T18:04:00Z"/>
        <d v="2023-03-01T05:36:00Z"/>
        <d v="2023-02-23T00:37:00Z"/>
        <d v="2023-02-06T10:24:00Z"/>
        <d v="2023-02-06T01:28:00Z"/>
        <d v="2023-02-06T01:17:00Z"/>
        <d v="2023-01-20T22:09:00Z"/>
        <d v="2023-01-18T06:06:00Z"/>
        <d v="2023-01-09T17:47:00Z"/>
        <d v="2023-01-08T12:32:00Z"/>
        <d v="2022-12-04T19:24:00Z"/>
        <d v="2022-11-22T02:03:00Z"/>
        <d v="2022-11-18T13:37:00Z"/>
        <d v="2022-11-12T07:09:00Z"/>
        <d v="2022-11-11T10:48:00Z"/>
        <d v="2022-11-09T10:14:00Z"/>
        <d v="2022-11-09T09:51:00Z"/>
        <d v="2022-11-09T09:38:00Z"/>
        <d v="2022-10-20T11:57:00Z"/>
        <d v="2022-09-22T06:16:00Z"/>
        <d v="2022-09-19T18:05:00Z"/>
        <d v="2022-09-18T06:44:00Z"/>
        <d v="2022-09-17T13:41:00Z"/>
        <d v="2022-09-14T11:04:00Z"/>
        <d v="2022-09-10T23:47:00Z"/>
        <d v="2022-09-05T04:52:00Z"/>
        <d v="2022-08-14T13:44:00Z"/>
        <d v="2022-07-27T00:43:00Z"/>
        <d v="2022-06-08T00:55:00Z"/>
        <d v="2022-05-26T12:02:00Z"/>
        <d v="2022-05-19T10:13:00Z"/>
        <d v="2022-05-10T23:06:00Z"/>
        <d v="2022-04-21T07:42:00Z"/>
        <d v="2022-03-31T05:44:00Z"/>
        <d v="2022-03-30T20:56:00Z"/>
        <d v="2022-03-22T17:41:00Z"/>
        <d v="2022-03-16T14:36:00Z"/>
        <d v="2022-03-13T21:09:00Z"/>
        <d v="2022-03-02T12:52:00Z"/>
        <d v="2022-02-16T20:21:00Z"/>
        <d v="2022-02-03T15:58:00Z"/>
        <d v="2022-01-29T02:46:00Z"/>
        <d v="2022-01-14T09:05:00Z"/>
        <d v="2022-01-11T12:39:00Z"/>
        <d v="2022-01-11T11:35:00Z"/>
        <d v="2022-01-11T01:07:00Z"/>
        <d v="2022-01-07T17:45:00Z"/>
        <d v="2021-12-29T18:25:00Z"/>
        <d v="2021-12-14T03:20:00Z"/>
        <d v="2021-11-28T10:52:00Z"/>
        <d v="2021-11-10T15:45:00Z"/>
        <d v="2021-10-11T09:10:00Z"/>
        <d v="2021-10-09T10:58:00Z"/>
        <d v="2021-10-02T06:29:00Z"/>
        <d v="2021-09-22T09:57:00Z"/>
        <d v="2021-09-08T01:47:00Z"/>
        <d v="2021-08-22T21:33:00Z"/>
        <d v="2021-08-22T00:45:00Z"/>
        <d v="2021-08-18T10:10:00Z"/>
        <d v="2021-08-16T11:10:00Z"/>
        <d v="2021-08-14T12:29:00Z"/>
        <d v="2021-08-14T11:57:00Z"/>
        <d v="2021-08-12T18:35:00Z"/>
        <d v="2021-08-12T18:32:00Z"/>
        <d v="2021-08-11T17:46:00Z"/>
        <d v="2021-07-29T06:15:00Z"/>
        <d v="2021-07-23T20:48:00Z"/>
        <d v="2021-07-21T21:15:00Z"/>
        <d v="2021-06-20T17:05:00Z"/>
        <d v="2021-05-21T22:13:00Z"/>
        <d v="2021-05-21T18:04:00Z"/>
        <d v="2021-05-14T06:33:00Z"/>
        <d v="2021-05-12T14:05:00Z"/>
        <d v="2021-05-01T01:27:00Z"/>
        <d v="2021-04-25T22:28:00Z"/>
        <d v="2021-04-24T00:23:00Z"/>
        <d v="2021-03-20T09:09:00Z"/>
        <d v="2021-03-16T18:38:00Z"/>
        <d v="2021-03-04T23:12:00Z"/>
        <d v="2021-03-04T19:28:00Z"/>
        <d v="2021-03-04T17:41:00Z"/>
        <d v="2021-03-04T13:27:00Z"/>
        <d v="2021-02-13T14:07:00Z"/>
        <d v="2021-02-10T13:19:00Z"/>
        <d v="2021-01-23T23:36:00Z"/>
        <d v="2021-01-21T12:23:00Z"/>
        <d v="2021-01-11T21:32:00Z"/>
        <d v="2020-12-27T21:39:00Z"/>
        <d v="2020-10-30T11:51:00Z"/>
        <d v="2020-10-19T20:54:00Z"/>
        <d v="2020-09-18T21:43:00Z"/>
        <d v="2020-09-01T21:09:00Z"/>
        <d v="2020-09-01T04:09:00Z"/>
        <d v="2020-08-30T21:20:00Z"/>
        <d v="2020-08-21T04:09:00Z"/>
        <d v="2020-08-18T22:29:00Z"/>
        <d v="2020-08-18T22:23:00Z"/>
        <d v="2020-08-18T00:03:00Z"/>
        <d v="2020-07-22T06:12:00Z"/>
        <d v="2020-07-17T02:50:00Z"/>
        <d v="2020-07-06T22:54:00Z"/>
        <d v="2020-06-23T15:29:00Z"/>
        <d v="2020-06-18T12:49:00Z"/>
        <d v="2020-06-13T15:51:00Z"/>
        <d v="2020-06-03T07:35:00Z"/>
        <d v="2020-05-15T11:03:00Z"/>
        <d v="2020-05-12T22:41:00Z"/>
        <d v="2020-05-06T13:53:00Z"/>
        <d v="2020-05-02T12:51:00Z"/>
        <d v="2020-03-31T23:52:00Z"/>
        <d v="2020-03-25T02:49:00Z"/>
        <d v="2020-02-13T10:33:00Z"/>
        <d v="2020-01-28T19:10:00Z"/>
        <d v="2020-01-24T17:55:00Z"/>
        <d v="2019-12-15T06:11:00Z"/>
        <d v="2019-11-14T16:17:00Z"/>
        <d v="2019-11-08T10:44:00Z"/>
        <d v="2019-11-04T22:43:00Z"/>
        <d v="2019-10-31T01:11:00Z"/>
        <d v="2019-10-29T01:04:00Z"/>
        <d v="2019-09-29T15:57:00Z"/>
        <d v="2019-09-25T23:46:00Z"/>
        <d v="2019-09-01T15:54:00Z"/>
        <d v="2019-08-27T23:55:00Z"/>
        <d v="2019-08-02T12:03:00Z"/>
        <d v="2019-08-01T18:28:00Z"/>
        <d v="2019-07-31T15:02:00Z"/>
        <d v="2019-07-14T09:10:00Z"/>
        <d v="2019-07-14T05:39:00Z"/>
        <d v="2019-07-07T15:08:00Z"/>
        <d v="2019-07-06T03:19:00Z"/>
        <d v="2019-06-24T02:53:00Z"/>
        <d v="2019-06-15T22:55:00Z"/>
        <d v="2019-05-30T09:03:00Z"/>
        <d v="2019-05-26T07:41:00Z"/>
        <d v="2019-05-14T12:58:00Z"/>
        <d v="2019-05-06T21:19:00Z"/>
        <d v="2019-04-12T11:40:00Z"/>
        <d v="2019-04-09T17:53:00Z"/>
        <d v="2019-03-01T08:50:00Z"/>
        <d v="2019-02-22T10:17:00Z"/>
        <d v="2019-02-01T16:14:00Z"/>
        <d v="2019-01-22T19:01:00Z"/>
        <d v="2019-01-20T01:32:00Z"/>
        <d v="2019-01-15T18:06:00Z"/>
        <d v="2019-01-06T17:27:00Z"/>
        <d v="2019-01-05T19:25:00Z"/>
        <d v="2018-12-29T03:39:00Z"/>
        <d v="2018-12-20T17:01:00Z"/>
        <d v="2018-12-11T02:26:00Z"/>
        <d v="2018-12-05T06:43:00Z"/>
        <d v="2018-12-05T04:18:00Z"/>
        <d v="2018-11-30T17:29:00Z"/>
        <d v="2018-11-18T20:25:00Z"/>
        <d v="2018-11-09T01:49:00Z"/>
        <d v="2018-10-25T22:54:00Z"/>
        <d v="2018-10-22T06:22:00Z"/>
        <d v="2018-10-22T06:16:00Z"/>
        <d v="2018-10-22T05:39:00Z"/>
        <d v="2018-10-16T01:03:00Z"/>
        <d v="2018-10-13T11:10:00Z"/>
        <d v="2018-10-10T23:16:00Z"/>
        <d v="2018-10-10T20:48:00Z"/>
        <d v="2018-09-30T10:52:00Z"/>
        <d v="2018-09-28T10:02:00Z"/>
        <d v="2018-09-16T21:11:00Z"/>
        <d v="2018-09-10T04:19:00Z"/>
        <d v="2018-09-09T19:31:00Z"/>
        <d v="2018-09-06T15:49:00Z"/>
        <d v="2018-09-05T18:07:00Z"/>
        <d v="2018-08-29T03:51:00Z"/>
        <d v="2018-08-24T09:04:00Z"/>
        <d v="2018-08-21T22:32:00Z"/>
        <d v="2018-08-21T21:31:00Z"/>
        <d v="2018-08-19T14:56:00Z"/>
        <d v="2018-08-19T00:19:00Z"/>
        <d v="2018-08-17T15:35:00Z"/>
        <d v="2018-08-15T21:56:00Z"/>
        <d v="2018-08-05T11:46:00Z"/>
        <d v="2018-05-04T22:32:00Z"/>
        <d v="2018-04-02T13:40:00Z"/>
        <d v="2018-03-29T21:25:00Z"/>
        <d v="2018-03-26T09:51:00Z"/>
        <d v="2018-03-08T17:39:00Z"/>
        <d v="2018-03-06T14:13:00Z"/>
        <d v="2018-02-25T17:44:00Z"/>
        <d v="2018-02-16T23:39:00Z"/>
        <d v="2018-01-23T09:31:00Z"/>
        <d v="2018-01-14T09:18:00Z"/>
        <d v="2018-01-10T02:51:00Z"/>
        <d v="2017-12-15T16:47:00Z"/>
        <d v="2017-12-13T18:03:00Z"/>
        <d v="2017-11-19T22:43:00Z"/>
        <d v="2017-11-19T15:09:00Z"/>
        <d v="2017-11-13T02:28:00Z"/>
        <d v="2017-11-12T18:18:00Z"/>
        <d v="2017-11-07T21:26:00Z"/>
        <d v="2017-11-04T09:00:00Z"/>
        <d v="2017-11-01T02:23:00Z"/>
        <d v="2017-10-31T00:42:00Z"/>
        <d v="2017-10-24T10:47:00Z"/>
        <d v="2017-10-08T22:34:00Z"/>
        <d v="2017-09-19T18:14:00Z"/>
        <d v="2017-09-08T04:49:00Z"/>
        <d v="2017-08-08T13:19:00Z"/>
        <d v="2017-07-20T22:31:00Z"/>
        <d v="2017-07-17T23:34:00Z"/>
        <d v="2017-07-11T07:00:00Z"/>
        <d v="2017-07-06T08:03:00Z"/>
        <d v="2017-06-22T12:31:00Z"/>
        <d v="2017-06-14T07:29:00Z"/>
        <d v="2017-06-02T22:24:00Z"/>
        <d v="2017-05-29T14:35:00Z"/>
        <d v="2017-05-10T23:23:00Z"/>
        <d v="2017-05-09T13:52:00Z"/>
        <d v="2017-04-28T20:23:00Z"/>
        <d v="2017-04-24T21:38:00Z"/>
        <d v="2017-04-03T17:40:00Z"/>
        <d v="2017-03-29T04:09:00Z"/>
        <d v="2017-02-24T17:28:00Z"/>
        <d v="2017-02-21T14:09:00Z"/>
        <d v="2017-02-10T14:03:00Z"/>
        <d v="2017-01-22T04:30:00Z"/>
        <d v="2017-01-19T23:04:00Z"/>
        <d v="2017-01-10T06:13:00Z"/>
        <d v="2017-01-03T21:52:00Z"/>
        <d v="2016-12-25T14:22:00Z"/>
        <d v="2016-12-21T00:17:00Z"/>
        <d v="2016-12-17T10:51:00Z"/>
        <d v="2016-12-09T19:10:00Z"/>
        <d v="2016-12-08T21:56:00Z"/>
        <d v="2016-12-08T17:38:00Z"/>
        <d v="2016-12-08T14:49:00Z"/>
        <d v="2016-12-06T22:03:00Z"/>
        <d v="2016-11-25T14:24:00Z"/>
        <d v="2016-11-24T18:43:00Z"/>
        <d v="2016-11-21T20:59:00Z"/>
        <d v="2016-11-14T00:34:00Z"/>
        <d v="2016-11-13T11:32:00Z"/>
        <d v="2016-11-13T11:02:00Z"/>
        <d v="2016-10-30T06:40:00Z"/>
        <d v="2016-10-19T00:26:00Z"/>
        <d v="2016-10-17T06:14:00Z"/>
        <d v="2016-09-24T21:28:00Z"/>
        <d v="2016-09-01T16:37:00Z"/>
        <d v="2016-08-31T03:11:00Z"/>
        <d v="2016-08-24T10:34:00Z"/>
        <d v="2016-08-12T01:26:00Z"/>
        <d v="2016-07-29T21:18:00Z"/>
        <d v="2016-06-01T22:56:00Z"/>
        <d v="2016-05-28T09:46:00Z"/>
        <d v="2016-05-28T05:38:00Z"/>
        <d v="2016-05-18T16:46:00Z"/>
        <d v="2016-05-18T07:57:00Z"/>
        <d v="2016-04-28T19:33:00Z"/>
        <d v="2016-04-16T23:58:00Z"/>
        <d v="2016-04-15T16:25:00Z"/>
        <d v="2016-04-13T13:55:00Z"/>
        <d v="2016-04-10T10:28:00Z"/>
        <d v="2016-04-07T03:32:00Z"/>
        <d v="2016-04-06T06:58:00Z"/>
        <d v="2016-04-03T08:23:00Z"/>
        <d v="2016-03-02T12:49:00Z"/>
        <d v="2016-01-30T03:25:00Z"/>
        <d v="2016-01-24T10:30:00Z"/>
        <d v="2016-01-21T18:06:00Z"/>
        <d v="2016-01-14T03:25:00Z"/>
        <d v="2016-01-11T16:38:00Z"/>
        <d v="2016-01-03T23:05:00Z"/>
        <d v="2015-12-17T19:49:00Z"/>
        <d v="2015-12-09T10:21:00Z"/>
        <d v="2015-12-07T07:50:00Z"/>
        <d v="2015-11-26T05:45:00Z"/>
        <d v="2015-11-24T22:50:00Z"/>
        <d v="2015-11-24T22:45:00Z"/>
        <d v="2015-11-18T18:31:00Z"/>
        <d v="2015-11-17T07:10:00Z"/>
        <d v="2015-11-13T20:51:00Z"/>
        <d v="2015-11-11T02:46:00Z"/>
        <d v="2015-11-11T01:54:00Z"/>
        <d v="2015-11-08T16:47:00Z"/>
        <d v="2015-11-07T07:31:00Z"/>
        <d v="2015-11-04T03:44:00Z"/>
        <d v="2015-10-26T09:09:00Z"/>
        <d v="2015-10-20T21:52:00Z"/>
        <d v="2015-09-24T15:53:00Z"/>
        <d v="2015-09-21T17:40:00Z"/>
        <d v="2015-09-17T04:10:00Z"/>
        <d v="2015-09-17T03:55:00Z"/>
        <d v="2015-09-16T23:18:00Z"/>
        <d v="2015-09-16T22:54:00Z"/>
        <d v="2015-09-13T08:14:00Z"/>
        <d v="2015-08-12T18:49:00Z"/>
        <d v="2015-08-10T04:12:00Z"/>
        <d v="2015-07-27T21:41:00Z"/>
        <d v="2015-07-27T04:49:00Z"/>
        <d v="2015-07-18T02:27:00Z"/>
        <d v="2015-07-16T15:16:00Z"/>
        <d v="2015-07-10T04:12:00Z"/>
        <d v="2015-06-23T12:18:00Z"/>
        <d v="2015-05-30T11:23:00Z"/>
        <d v="2015-05-29T07:00:00Z"/>
        <d v="2015-05-22T23:59:00Z"/>
        <d v="2015-05-22T21:45:00Z"/>
        <d v="2015-05-20T22:48:00Z"/>
        <d v="2015-05-12T21:12:00Z"/>
        <d v="2015-05-12T07:05:00Z"/>
        <d v="2015-05-07T07:10:00Z"/>
        <d v="2015-05-05T01:44:00Z"/>
        <d v="2015-05-01T08:06:00Z"/>
        <d v="2015-04-30T10:45:00Z"/>
        <d v="2015-04-26T07:09:00Z"/>
        <d v="2015-04-25T06:45:00Z"/>
        <d v="2015-04-25T06:11:00Z"/>
        <d v="2015-04-17T15:52:00Z"/>
        <d v="2015-03-30T08:48:00Z"/>
        <d v="2015-03-29T23:48:00Z"/>
        <d v="2015-02-27T13:45:00Z"/>
        <d v="2015-02-16T23:06:00Z"/>
        <d v="2015-02-11T18:57:00Z"/>
        <d v="2015-01-23T03:47:00Z"/>
        <d v="2015-01-07T05:07:00Z"/>
        <d v="2014-12-08T08:54:00Z"/>
        <d v="2014-12-07T01:22:00Z"/>
        <d v="2014-12-02T05:11:00Z"/>
        <d v="2014-11-26T14:33:00Z"/>
        <d v="2014-11-21T10:10:00Z"/>
        <d v="2014-11-16T22:33:00Z"/>
        <d v="2014-11-15T02:31:00Z"/>
        <d v="2014-11-07T03:33:00Z"/>
        <d v="2014-11-01T18:57:00Z"/>
        <d v="2014-10-14T03:51:00Z"/>
        <d v="2014-09-17T06:14:00Z"/>
        <d v="2014-08-24T23:21:00Z"/>
        <d v="2014-08-03T00:22:00Z"/>
        <d v="2014-07-21T14:54:00Z"/>
        <d v="2014-07-11T19:22:00Z"/>
        <d v="2014-07-07T11:23:00Z"/>
        <d v="2014-07-04T15:00:00Z"/>
        <d v="2014-06-29T17:15:00Z"/>
        <d v="2014-06-29T07:52:00Z"/>
        <d v="2014-06-23T20:53:00Z"/>
        <d v="2014-06-23T20:06:00Z"/>
        <d v="2014-06-23T19:21:00Z"/>
        <d v="2014-06-23T19:19:00Z"/>
        <d v="2014-05-24T09:25:00Z"/>
        <d v="2014-05-13T06:35:00Z"/>
        <d v="2014-05-01T06:36:00Z"/>
        <d v="2014-04-24T03:10:00Z"/>
        <d v="2014-04-19T13:28:00Z"/>
        <d v="2014-04-19T01:04:00Z"/>
        <d v="2014-04-18T14:27:00Z"/>
        <d v="2014-04-13T13:24:00Z"/>
        <d v="2014-04-13T12:36:00Z"/>
        <d v="2014-04-12T20:14:00Z"/>
        <d v="2014-04-11T20:29:00Z"/>
        <d v="2014-04-11T08:16:00Z"/>
        <d v="2014-04-11T07:07:00Z"/>
        <d v="2014-04-03T02:43:00Z"/>
        <d v="2014-04-03T01:58:00Z"/>
        <d v="2014-04-01T23:57:00Z"/>
        <d v="2014-04-01T23:46:00Z"/>
        <d v="2014-03-16T21:16:00Z"/>
        <d v="2014-03-10T05:18:00Z"/>
        <d v="2014-03-02T20:11:00Z"/>
        <d v="2014-02-18T09:27:00Z"/>
        <d v="2014-02-12T09:19:00Z"/>
        <d v="2014-02-07T08:40:00Z"/>
        <d v="2014-02-02T09:26:00Z"/>
        <d v="2014-01-01T16:03:00Z"/>
        <d v="2013-11-23T07:48:00Z"/>
        <d v="2013-11-17T09:04:00Z"/>
        <d v="2013-11-16T03:34:00Z"/>
        <d v="2013-10-31T23:03:00Z"/>
        <d v="2013-10-25T17:10:00Z"/>
        <d v="2013-10-19T17:54:00Z"/>
        <d v="2013-10-16T10:30:00Z"/>
        <d v="2013-10-15T00:12:00Z"/>
        <d v="2013-10-12T13:11:00Z"/>
        <d v="2013-10-01T03:38:00Z"/>
        <d v="2013-09-30T05:55:00Z"/>
        <d v="2013-09-28T07:34:00Z"/>
        <d v="2013-09-25T16:42:00Z"/>
        <d v="2013-09-24T11:29:00Z"/>
        <d v="2013-09-04T02:32:00Z"/>
        <d v="2013-09-04T00:18:00Z"/>
        <d v="2013-09-01T11:52:00Z"/>
        <d v="2013-08-30T16:25:00Z"/>
        <d v="2013-08-16T02:31:00Z"/>
        <d v="2013-08-13T15:43:00Z"/>
        <d v="2013-07-21T05:09:00Z"/>
        <d v="2013-07-15T14:03:00Z"/>
        <d v="2013-07-07T20:30:00Z"/>
        <d v="2013-07-07T18:35:00Z"/>
        <d v="2013-06-24T22:04:00Z"/>
        <d v="2013-06-15T17:34:00Z"/>
        <d v="2013-06-13T16:47:00Z"/>
        <d v="2013-05-24T14:56:00Z"/>
        <d v="2013-05-24T05:44:00Z"/>
        <d v="2013-05-23T17:19:00Z"/>
        <d v="2013-05-14T00:32:00Z"/>
        <d v="2013-04-23T23:14:00Z"/>
        <d v="2013-04-20T00:02:00Z"/>
        <d v="2013-04-19T03:05:00Z"/>
        <d v="2013-04-16T22:55:00Z"/>
        <d v="2013-04-16T10:44:00Z"/>
        <d v="2013-04-14T01:32:00Z"/>
        <d v="2013-04-06T04:42:00Z"/>
        <d v="2013-03-10T22:51:00Z"/>
        <d v="2013-03-01T13:20:00Z"/>
        <d v="2013-02-28T14:05:00Z"/>
        <d v="2013-02-14T13:13:00Z"/>
        <d v="2013-02-09T21:02:00Z"/>
        <d v="2013-02-09T14:16:00Z"/>
        <d v="2013-02-08T15:26:00Z"/>
        <d v="2013-02-08T11:12:00Z"/>
        <d v="2013-02-07T18:59:00Z"/>
        <d v="2013-02-06T01:54:00Z"/>
        <d v="2013-02-06T01:23:00Z"/>
        <d v="2013-02-06T01:12:00Z"/>
        <d v="2013-02-02T14:17:00Z"/>
        <d v="2013-01-30T20:15:00Z"/>
        <d v="2013-01-05T08:58:00Z"/>
        <d v="2012-12-21T22:28:00Z"/>
        <d v="2012-12-10T16:53:00Z"/>
        <d v="2012-12-07T08:18:00Z"/>
        <d v="2012-11-11T22:14:00Z"/>
        <d v="2012-11-11T01:12:00Z"/>
        <d v="2012-11-07T16:35:00Z"/>
        <d v="2012-10-28T03:04:00Z"/>
        <d v="2012-10-24T00:45:00Z"/>
        <d v="2012-10-12T00:31:00Z"/>
        <d v="2012-09-30T16:31:00Z"/>
        <d v="2012-09-05T14:42:00Z"/>
        <d v="2012-08-31T12:47:00Z"/>
        <d v="2012-08-27T04:37:00Z"/>
        <d v="2012-08-26T15:05:00Z"/>
        <d v="2012-08-14T02:59:00Z"/>
        <d v="2012-07-28T20:03:00Z"/>
        <d v="2012-04-28T10:08:00Z"/>
        <d v="2012-04-21T01:16:00Z"/>
        <d v="2012-04-17T07:13:00Z"/>
        <d v="2012-04-17T03:50:00Z"/>
        <d v="2012-04-12T07:15:00Z"/>
        <d v="2012-04-11T22:55:00Z"/>
        <d v="2012-04-11T10:43:00Z"/>
        <d v="2012-04-11T08:38:00Z"/>
        <d v="2012-03-25T22:37:00Z"/>
        <d v="2012-03-21T22:15:00Z"/>
        <d v="2012-03-20T18:02:00Z"/>
        <d v="2012-02-26T06:17:00Z"/>
        <d v="2012-02-06T03:49:00Z"/>
        <d v="2012-02-02T13:34:00Z"/>
        <d v="2012-01-10T18:36:00Z"/>
        <d v="2011-12-27T15:21:00Z"/>
        <d v="2011-12-14T05:04:00Z"/>
        <d v="2011-12-11T01:47:00Z"/>
        <d v="2011-10-28T18:54:00Z"/>
        <d v="2011-10-23T10:41:00Z"/>
        <d v="2011-10-14T03:35:00Z"/>
        <d v="2011-09-18T12:40:00Z"/>
        <d v="2011-09-16T19:26:00Z"/>
        <d v="2011-09-05T17:55:00Z"/>
        <d v="2011-09-03T22:55:00Z"/>
        <d v="2011-08-24T17:46:00Z"/>
        <d v="2011-08-20T18:19:00Z"/>
        <d v="2011-08-20T17:13:00Z"/>
        <d v="2011-08-20T16:55:00Z"/>
        <d v="2011-07-31T23:38:00Z"/>
        <d v="2011-07-06T19:03:00Z"/>
        <d v="2011-06-22T21:50:00Z"/>
        <d v="2011-05-10T08:55:00Z"/>
        <d v="2011-04-23T04:16:00Z"/>
        <d v="2011-04-11T08:16:00Z"/>
        <d v="2011-04-07T14:32:00Z"/>
        <d v="2011-04-07T13:11:00Z"/>
        <d v="2011-03-24T13:55:00Z"/>
        <d v="2011-03-11T11:36:00Z"/>
        <d v="2011-03-11T08:19:00Z"/>
        <d v="2011-03-11T06:25:00Z"/>
        <d v="2011-03-11T06:15:00Z"/>
        <d v="2011-03-11T05:46:00Z"/>
        <d v="2011-03-09T02:45:00Z"/>
        <d v="2011-02-14T03:40:00Z"/>
        <d v="2011-02-11T20:05:00Z"/>
        <d v="2011-01-18T20:23:00Z"/>
        <d v="2011-01-13T16:16:00Z"/>
        <d v="2011-01-02T20:20:00Z"/>
        <d v="2010-12-25T13:16:00Z"/>
        <d v="2010-12-20T18:41:00Z"/>
        <d v="2010-12-02T03:12:00Z"/>
        <d v="2010-10-25T14:42:00Z"/>
        <d v="2010-10-21T17:53:00Z"/>
        <d v="2010-09-29T17:11:00Z"/>
        <d v="2010-09-03T16:35:00Z"/>
        <d v="2010-08-12T11:54:00Z"/>
        <d v="2010-08-10T05:23:00Z"/>
        <d v="2010-08-04T22:01:00Z"/>
        <d v="2010-08-04T07:15:00Z"/>
        <d v="2010-07-23T22:51:00Z"/>
        <d v="2010-07-18T13:34:00Z"/>
        <d v="2010-07-18T13:04:00Z"/>
        <d v="2010-07-14T08:32:00Z"/>
        <d v="2010-06-26T05:30:00Z"/>
        <d v="2010-06-16T03:58:00Z"/>
        <d v="2010-06-16T03:16:00Z"/>
        <d v="2010-06-12T19:26:00Z"/>
        <d v="2010-05-27T17:14:00Z"/>
        <d v="2010-05-09T05:59:00Z"/>
        <d v="2010-04-13T23:49:00Z"/>
        <d v="2010-04-11T09:40:00Z"/>
        <d v="2010-04-06T22:15:00Z"/>
        <d v="2010-04-04T22:40:00Z"/>
        <d v="2010-03-30T16:54:00Z"/>
        <d v="2010-03-16T02:21:00Z"/>
        <d v="2010-03-14T08:08:00Z"/>
        <d v="2010-03-11T14:55:00Z"/>
        <d v="2010-03-11T14:39:00Z"/>
        <d v="2010-03-05T16:07:00Z"/>
        <d v="2010-03-05T11:47:00Z"/>
        <d v="2010-03-04T14:02:00Z"/>
        <d v="2010-02-27T08:01:00Z"/>
        <d v="2010-02-27T06:34:00Z"/>
        <d v="2010-02-26T20:31:00Z"/>
        <d v="2010-01-12T21:53:00Z"/>
        <d v="2010-01-10T00:27:00Z"/>
        <d v="2010-01-05T12:15:00Z"/>
        <d v="2010-01-03T22:36:00Z"/>
        <d v="2010-01-03T21:48:00Z"/>
        <d v="2009-11-13T03:05:00Z"/>
        <d v="2009-11-09T10:44:00Z"/>
        <d v="2009-11-08T19:41:00Z"/>
        <d v="2009-10-30T07:03:00Z"/>
        <d v="2009-10-24T14:40:00Z"/>
        <d v="2009-10-08T08:28:00Z"/>
        <d v="2009-10-07T23:13:00Z"/>
        <d v="2009-10-07T22:18:00Z"/>
        <d v="2009-10-07T22:03:00Z"/>
        <d v="2009-10-01T01:52:00Z"/>
        <d v="2009-09-30T10:16:00Z"/>
        <d v="2009-09-29T17:48:00Z"/>
        <d v="2009-09-02T07:55:00Z"/>
        <d v="2009-08-16T07:38:00Z"/>
        <d v="2009-08-12T22:48:00Z"/>
        <d v="2009-08-10T19:55:00Z"/>
        <d v="2009-08-09T10:55:00Z"/>
        <d v="2009-08-03T17:59:00Z"/>
        <d v="2009-07-15T09:22:00Z"/>
        <d v="2009-06-23T14:19:00Z"/>
        <d v="2009-05-28T08:24:00Z"/>
        <d v="2009-03-19T18:17:00Z"/>
        <d v="2009-02-11T17:34:00Z"/>
        <d v="2009-01-03T22:33:00Z"/>
        <d v="2009-01-03T20:23:00Z"/>
        <d v="2009-01-03T19:43:00Z"/>
        <d v="2008-11-16T17:02:00Z"/>
        <d v="2008-10-16T19:41:00Z"/>
        <d v="2008-10-05T15:52:00Z"/>
        <d v="2008-09-11T00:20:00Z"/>
        <d v="2008-09-11T00:00:00Z"/>
        <d v="2008-09-08T18:52:00Z"/>
        <d v="2008-08-25T13:21:00Z"/>
        <d v="2008-07-23T15:26:00Z"/>
        <d v="2008-07-19T02:39:00Z"/>
        <d v="2008-06-27T11:40:00Z"/>
        <d v="2008-06-13T23:43:00Z"/>
        <d v="2008-05-12T06:28:00Z"/>
        <d v="2008-05-07T16:45:00Z"/>
        <d v="2008-04-09T12:46:00Z"/>
        <d v="2008-03-20T22:32:00Z"/>
        <d v="2008-03-03T14:11:00Z"/>
        <d v="2008-02-25T21:02:00Z"/>
        <d v="2008-02-25T18:06:00Z"/>
        <d v="2008-02-25T08:36:00Z"/>
        <d v="2008-02-24T14:46:00Z"/>
        <d v="2008-02-20T08:08:00Z"/>
        <d v="2008-02-14T12:08:00Z"/>
        <d v="2008-02-14T10:09:00Z"/>
        <d v="2008-02-12T12:50:00Z"/>
        <d v="2007-12-20T07:55:00Z"/>
        <d v="2007-12-16T08:09:00Z"/>
        <d v="2007-11-29T19:00:00Z"/>
        <d v="2007-11-27T11:49:00Z"/>
        <d v="2007-11-25T19:53:00Z"/>
        <d v="2007-11-25T16:02:00Z"/>
        <d v="2007-11-22T08:48:00Z"/>
        <d v="2007-11-16T03:13:00Z"/>
        <d v="2007-11-15T15:05:00Z"/>
        <d v="2007-11-14T15:40:00Z"/>
        <d v="2007-10-24T21:02:00Z"/>
        <d v="2007-10-15T12:29:00Z"/>
        <d v="2007-09-26T12:36:00Z"/>
        <d v="2007-09-20T08:31:00Z"/>
        <d v="2007-09-13T03:35:00Z"/>
        <d v="2007-09-13T02:30:00Z"/>
        <d v="2007-09-12T23:49:00Z"/>
        <d v="2007-09-12T11:10:00Z"/>
        <d v="2007-09-10T01:49:00Z"/>
        <d v="2007-09-02T01:05:00Z"/>
        <d v="2007-08-16T08:39:00Z"/>
        <d v="2007-08-15T23:40:00Z"/>
        <d v="2007-08-08T17:05:00Z"/>
        <d v="2007-08-01T17:08:00Z"/>
        <d v="2007-07-26T05:40:00Z"/>
        <d v="2007-07-16T14:17:00Z"/>
        <d v="2007-07-16T01:13:00Z"/>
        <d v="2007-06-13T19:29:00Z"/>
        <d v="2007-04-01T21:11:00Z"/>
        <d v="2007-04-01T20:47:00Z"/>
        <d v="2007-04-01T20:39:00Z"/>
        <d v="2007-03-25T00:41:00Z"/>
        <d v="2007-03-25T00:40:00Z"/>
        <d v="2007-02-20T08:04:00Z"/>
        <d v="2007-01-21T11:27:00Z"/>
        <d v="2007-01-13T04:23:00Z"/>
        <d v="2006-12-26T12:34:00Z"/>
        <d v="2006-12-26T12:26:00Z"/>
        <d v="2006-11-15T11:14:00Z"/>
        <d v="2006-11-07T17:38:00Z"/>
        <d v="2006-10-20T10:48:00Z"/>
        <d v="2006-10-17T01:25:00Z"/>
        <d v="2006-10-15T17:07:00Z"/>
        <d v="2006-09-28T06:22:00Z"/>
        <d v="2006-09-01T10:18:00Z"/>
        <d v="2006-08-24T21:50:00Z"/>
        <d v="2006-08-07T22:18:00Z"/>
        <d v="2006-07-17T08:19:00Z"/>
        <d v="2006-05-28T03:12:00Z"/>
        <d v="2006-05-22T11:12:00Z"/>
        <d v="2006-05-16T15:28:00Z"/>
        <d v="2006-05-03T15:26:00Z"/>
        <d v="2006-04-30T21:40:00Z"/>
        <d v="2006-04-30T19:17:00Z"/>
        <d v="2006-04-29T16:58:00Z"/>
        <d v="2006-04-20T23:25:00Z"/>
        <d v="2006-04-07T08:30:00Z"/>
        <d v="2006-03-14T06:57:00Z"/>
        <d v="2006-02-22T22:19:00Z"/>
        <d v="2006-01-08T11:34:00Z"/>
        <d v="2006-01-04T08:32:00Z"/>
        <d v="2005-12-12T21:47:00Z"/>
        <d v="2005-12-05T12:19:00Z"/>
        <d v="2005-12-02T13:13:00Z"/>
        <d v="2005-11-19T14:10:00Z"/>
        <d v="2005-11-17T19:26:00Z"/>
        <d v="2005-10-08T03:50:00Z"/>
        <d v="2005-09-29T15:50:00Z"/>
        <d v="2005-09-26T01:55:00Z"/>
        <d v="2005-09-09T07:26:00Z"/>
        <d v="2005-08-16T02:46:00Z"/>
        <d v="2005-07-24T15:42:00Z"/>
        <d v="2005-07-05T01:52:00Z"/>
        <d v="2005-07-02T02:16:00Z"/>
        <d v="2005-06-15T02:50:00Z"/>
        <d v="2005-06-13T22:44:00Z"/>
        <d v="2005-05-19T01:54:00Z"/>
        <d v="2005-05-14T05:05:00Z"/>
        <d v="2005-04-10T11:14:00Z"/>
        <d v="2005-04-10T10:29:00Z"/>
        <d v="2005-03-28T16:09:00Z"/>
        <d v="2005-03-20T01:53:00Z"/>
        <d v="2005-03-02T10:42:00Z"/>
        <d v="2005-02-26T12:56:00Z"/>
        <d v="2005-02-19T00:04:00Z"/>
        <d v="2005-02-15T14:42:00Z"/>
        <d v="2005-02-08T14:48:00Z"/>
        <d v="2005-02-05T12:23:00Z"/>
        <d v="2005-01-19T06:11:00Z"/>
        <d v="2004-12-26T09:20:00Z"/>
        <d v="2004-12-26T04:21:00Z"/>
        <d v="2004-12-26T00:58:00Z"/>
        <d v="2004-12-23T14:59:00Z"/>
        <d v="2004-12-14T23:20:00Z"/>
        <d v="2004-12-06T14:15:00Z"/>
        <d v="2004-11-28T18:32:00Z"/>
        <d v="2004-11-26T02:25:00Z"/>
        <d v="2004-11-22T20:26:00Z"/>
        <d v="2004-11-15T09:06:00Z"/>
        <d v="2004-11-11T21:26:00Z"/>
        <d v="2004-11-11T17:34:00Z"/>
        <d v="2004-11-02T10:02:00Z"/>
        <d v="2004-10-23T08:56:00Z"/>
        <d v="2004-10-15T04:08:00Z"/>
        <d v="2004-10-09T21:26:00Z"/>
        <d v="2004-10-08T14:36:00Z"/>
        <d v="2004-10-08T08:27:00Z"/>
        <d v="2004-09-06T23:29:00Z"/>
        <d v="2004-09-05T14:57:00Z"/>
        <d v="2004-09-05T10:07:00Z"/>
        <d v="2004-08-28T13:41:00Z"/>
        <d v="2004-07-28T03:56:00Z"/>
        <d v="2004-06-10T15:19:00Z"/>
        <d v="2004-05-03T04:36:00Z"/>
        <d v="2004-04-23T01:50:00Z"/>
        <d v="2004-04-09T15:23:00Z"/>
        <d v="2004-04-05T21:24:00Z"/>
        <d v="2004-02-08T08:58:00Z"/>
        <d v="2004-02-07T02:42:00Z"/>
        <d v="2004-02-05T21:05:00Z"/>
        <d v="2004-01-28T22:15:00Z"/>
        <d v="2003-12-27T16:00:00Z"/>
        <d v="2003-12-26T01:56:00Z"/>
        <d v="2003-12-25T07:11:00Z"/>
        <d v="2003-12-22T19:15:00Z"/>
        <d v="2003-12-10T04:38:00Z"/>
        <d v="2003-11-25T20:19:00Z"/>
        <d v="2003-11-18T17:14:00Z"/>
        <d v="2003-11-06T10:38:00Z"/>
        <d v="2003-10-31T01:06:00Z"/>
        <d v="2003-10-08T09:06:00Z"/>
        <d v="2003-10-01T01:03:00Z"/>
        <d v="2003-09-29T02:36:00Z"/>
        <d v="2003-09-27T11:33:00Z"/>
        <d v="2003-09-25T21:08:00Z"/>
        <d v="2003-09-25T19:50:00Z"/>
        <d v="2003-09-21T18:16:00Z"/>
        <d v="2003-08-21T12:12:00Z"/>
        <d v="2003-08-04T04:37:00Z"/>
        <d v="2003-07-15T18:46:00Z"/>
        <d v="2003-06-20T13:30:00Z"/>
        <d v="2003-06-16T22:08:00Z"/>
        <d v="2003-06-07T00:32:00Z"/>
        <d v="2003-05-26T19:23:00Z"/>
        <d v="2003-05-26T09:24:00Z"/>
        <d v="2003-05-21T18:44:00Z"/>
        <d v="2003-03-25T02:53:00Z"/>
        <d v="2003-03-11T07:27:00Z"/>
        <d v="2003-01-22T02:06:00Z"/>
        <d v="2003-01-21T02:46:00Z"/>
        <d v="2003-01-20T08:43:00Z"/>
        <d v="2003-01-10T13:11:00Z"/>
        <d v="2002-12-12T08:30:00Z"/>
        <d v="2002-11-03T22:12:00Z"/>
        <d v="2002-11-02T01:26:00Z"/>
        <d v="2002-10-23T11:27:00Z"/>
        <d v="2002-10-10T12:28:00Z"/>
        <d v="2002-10-10T10:50:00Z"/>
        <d v="2002-09-13T22:28:00Z"/>
        <d v="2002-09-08T18:44:00Z"/>
        <d v="2002-08-14T13:57:00Z"/>
        <d v="2002-07-31T00:16:00Z"/>
        <d v="2002-06-22T02:58:00Z"/>
        <d v="2002-06-18T13:56:00Z"/>
        <d v="2002-06-17T21:26:00Z"/>
        <d v="2002-04-26T16:06:00Z"/>
        <d v="2002-04-18T16:08:00Z"/>
        <d v="2002-04-18T05:02:00Z"/>
        <d v="2002-03-31T06:52:00Z"/>
        <d v="2002-03-28T04:56:00Z"/>
        <d v="2002-03-05T21:16:00Z"/>
        <d v="2002-03-03T12:08:00Z"/>
        <d v="2002-02-05T13:27:00Z"/>
        <d v="2002-02-03T07:11:00Z"/>
        <d v="2002-01-10T11:14:00Z"/>
        <d v="2002-01-03T10:17:00Z"/>
        <d v="2002-01-02T17:22:00Z"/>
        <d v="2001-12-23T22:52:00Z"/>
        <d v="2001-12-18T04:02:00Z"/>
        <d v="2001-12-02T13:01:00Z"/>
        <d v="2001-11-14T09:26:00Z"/>
        <d v="2001-10-31T09:10:00Z"/>
        <d v="2001-10-19T03:28:00Z"/>
        <d v="2001-10-12T15:02:00Z"/>
        <d v="2001-09-11T14:56:00Z"/>
        <d v="2001-07-28T07:32:00Z"/>
        <d v="2001-07-26T00:21:00Z"/>
        <d v="2001-07-07T09:38:00Z"/>
        <d v="2001-07-05T13:53:00Z"/>
        <d v="2001-06-26T04:18:00Z"/>
        <d v="2001-06-23T20:33:00Z"/>
        <d v="2001-04-19T21:43:00Z"/>
        <d v="2001-03-24T06:27:00Z"/>
        <d v="2001-03-19T05:52:00Z"/>
        <d v="2001-02-28T18:54:00Z"/>
        <d v="2001-02-24T07:23:00Z"/>
        <d v="2001-02-13T19:28:00Z"/>
        <d v="2001-02-13T14:22:00Z"/>
        <d v="2001-01-26T03:16:00Z"/>
        <d v="2001-01-16T13:25:00Z"/>
        <d v="2001-01-13T17:33:00Z"/>
        <d v="2001-01-10T16:02:00Z"/>
        <d v="2001-01-09T16:49:00Z"/>
        <d v="2001-01-01T08:54:00Z"/>
        <d v="2001-01-01T06:57:00Z"/>
        <d v="2000-12-06T22:57:00Z"/>
        <d v="2000-12-06T17:11:00Z"/>
        <d v="2000-11-25T18:10:00Z"/>
        <d v="2000-11-25T18:09:00Z"/>
        <d v="2000-11-18T06:54:00Z"/>
        <d v="2000-11-18T02:05:00Z"/>
        <d v="2000-11-17T21:01:00Z"/>
        <d v="2000-11-16T07:45:00Z"/>
        <d v="2000-11-16T07:42:00Z"/>
        <d v="2000-11-16T04:54:00Z"/>
        <d v="2000-11-08T06:59:00Z"/>
        <d v="2000-10-29T08:37:00Z"/>
        <d v="2000-10-25T09:32:00Z"/>
        <d v="2000-10-06T04:30:00Z"/>
        <d v="2000-10-04T16:58:00Z"/>
        <d v="2000-10-02T02:25:00Z"/>
        <d v="2000-08-28T15:05:00Z"/>
        <d v="2000-08-09T11:41:00Z"/>
        <d v="2000-08-04T21:13:00Z"/>
        <d v="2000-08-03T01:09:00Z"/>
        <d v="2000-07-30T12:25:00Z"/>
        <d v="2000-07-16T03:57:00Z"/>
        <d v="2000-07-11T01:32:00Z"/>
        <d v="2000-06-21T00:51:00Z"/>
        <d v="2000-06-18T14:44:00Z"/>
        <d v="2000-06-17T15:40:00Z"/>
        <d v="2000-06-07T23:45:00Z"/>
        <d v="2000-06-04T16:39:00Z"/>
        <d v="2000-06-04T16:28:00Z"/>
        <d v="2000-05-12T18:43:00Z"/>
        <d v="2000-05-04T04:21:00Z"/>
        <d v="2000-03-03T22:22:00Z"/>
        <d v="2000-02-06T11:33:00Z"/>
        <d v="2000-01-28T14:21:00Z"/>
        <d v="2000-01-08T16:47:00Z"/>
        <d v="1999-12-29T13:29:00Z"/>
        <d v="1999-12-21T14:14:00Z"/>
        <d v="1999-12-11T18:03:00Z"/>
        <d v="1999-12-06T23:12:00Z"/>
        <d v="1999-11-30T04:01:00Z"/>
        <d v="1999-11-26T13:21:00Z"/>
        <d v="1999-11-19T13:56:00Z"/>
        <d v="1999-11-17T03:27:00Z"/>
        <d v="1999-11-12T16:57:00Z"/>
        <d v="1999-11-08T16:45:00Z"/>
        <d v="1999-10-16T09:46:00Z"/>
        <d v="1999-09-30T16:31:00Z"/>
        <d v="1999-09-25T23:52:00Z"/>
        <d v="1999-09-20T17:47:00Z"/>
        <d v="1999-08-22T12:40:00Z"/>
        <d v="1999-08-20T10:02:00Z"/>
        <d v="1999-08-17T00:01:00Z"/>
        <d v="1999-07-11T14:14:00Z"/>
        <d v="1999-06-15T20:42:00Z"/>
        <d v="1999-05-17T10:07:00Z"/>
        <d v="1999-05-16T00:51:00Z"/>
        <d v="1999-05-10T20:33:00Z"/>
        <d v="1999-04-13T10:38:00Z"/>
        <d v="1999-04-05T11:08:00Z"/>
        <d v="1999-04-03T06:17:00Z"/>
        <d v="1999-03-28T19:05:00Z"/>
        <d v="1999-03-20T10:47:00Z"/>
        <d v="1999-03-08T12:25:00Z"/>
        <d v="1999-03-04T08:52:00Z"/>
        <d v="1999-03-04T05:38:00Z"/>
        <d v="1999-02-06T21:47:00Z"/>
        <d v="1999-01-28T08:10:00Z"/>
        <d v="1999-01-19T03:35:00Z"/>
        <d v="1998-12-27T00:38:00Z"/>
        <d v="1998-11-29T14:10:00Z"/>
        <d v="1998-11-09T05:38:00Z"/>
        <d v="1998-11-09T05:30:00Z"/>
        <d v="1998-09-28T13:34:00Z"/>
        <d v="1998-09-03T17:37:00Z"/>
        <d v="1998-09-02T08:37:00Z"/>
        <d v="1998-08-04T18:59:00Z"/>
        <d v="1998-07-29T18:00:00Z"/>
        <d v="1998-07-17T08:49:00Z"/>
        <d v="1998-07-16T11:56:00Z"/>
        <d v="1998-05-30T06:22:00Z"/>
        <d v="1998-05-22T04:48:00Z"/>
        <d v="1998-05-21T05:34:00Z"/>
        <d v="1998-05-13T23:02:00Z"/>
        <d v="1998-05-03T23:30:00Z"/>
        <d v="1998-04-03T22:01:00Z"/>
        <d v="1998-04-01T17:56:00Z"/>
        <d v="1998-03-14T19:40:00Z"/>
        <d v="1998-01-30T12:16:00Z"/>
        <d v="1998-01-12T16:36:00Z"/>
        <d v="1998-01-12T10:14:00Z"/>
        <d v="1998-01-10T08:20:00Z"/>
        <d v="1997-12-22T02:05:00Z"/>
        <d v="1997-12-05T11:26:00Z"/>
        <d v="1997-11-25T12:14:00Z"/>
        <d v="1997-11-18T13:07:00Z"/>
        <d v="1997-11-15T18:59:00Z"/>
        <d v="1997-11-09T22:56:00Z"/>
        <d v="1997-11-08T10:02:00Z"/>
        <d v="1997-10-28T06:15:00Z"/>
        <d v="1997-10-15T01:03:00Z"/>
        <d v="1997-10-14T09:53:00Z"/>
        <d v="1997-10-06T12:30:00Z"/>
        <d v="1997-09-02T12:13:00Z"/>
        <d v="1997-08-29T08:14:00Z"/>
        <d v="1997-07-19T14:22:00Z"/>
        <d v="1997-07-09T19:24:00Z"/>
        <d v="1997-07-06T09:54:00Z"/>
        <d v="1997-05-22T07:50:00Z"/>
        <d v="1997-05-21T14:10:00Z"/>
        <d v="1997-05-13T14:13:00Z"/>
        <d v="1997-05-10T07:57:00Z"/>
        <d v="1997-04-23T19:44:00Z"/>
        <d v="1997-04-22T09:31:00Z"/>
        <d v="1997-04-21T12:02:00Z"/>
        <d v="1997-04-05T12:23:00Z"/>
        <d v="1997-03-11T19:22:00Z"/>
        <d v="1997-02-27T21:08:00Z"/>
        <d v="1997-02-04T10:37:00Z"/>
        <d v="1997-01-11T20:28:00Z"/>
        <d v="1996-12-22T14:53:00Z"/>
        <d v="1996-12-02T22:17:00Z"/>
        <d v="1996-11-19T10:44:00Z"/>
        <d v="1996-11-12T16:59:00Z"/>
        <d v="1996-10-19T14:44:00Z"/>
        <d v="1996-10-18T10:50:00Z"/>
        <d v="1996-10-14T23:26:00Z"/>
        <d v="1996-10-09T13:10:00Z"/>
        <d v="1996-09-20T04:11:00Z"/>
        <d v="1996-09-20T04:10:00Z"/>
        <d v="1996-09-05T23:42:00Z"/>
        <d v="1996-08-02T12:55:00Z"/>
        <d v="1996-07-22T14:19:00Z"/>
        <d v="1996-07-16T10:07:00Z"/>
        <d v="1996-07-15T21:23:00Z"/>
        <d v="1996-06-17T11:22:00Z"/>
        <d v="1996-06-11T18:22:00Z"/>
        <d v="1996-06-10T15:24:00Z"/>
        <d v="1996-06-10T04:03:00Z"/>
        <d v="1996-06-10T01:04:00Z"/>
        <d v="1996-04-29T14:40:00Z"/>
        <d v="1996-04-19T00:19:00Z"/>
        <d v="1996-03-17T14:48:00Z"/>
        <d v="1996-03-03T16:37:00Z"/>
        <d v="1996-03-03T14:55:00Z"/>
        <d v="1996-02-25T03:08:00Z"/>
        <d v="1996-02-21T12:51:00Z"/>
        <d v="1996-02-17T20:18:00Z"/>
        <d v="1996-02-17T14:21:00Z"/>
        <d v="1996-02-17T05:59:00Z"/>
        <d v="1996-02-16T15:22:00Z"/>
        <d v="1996-02-07T21:36:00Z"/>
        <d v="1996-02-03T11:14:00Z"/>
        <d v="1996-01-01T09:57:00Z"/>
        <d v="1996-01-01T08:05:00Z"/>
        <d v="1995-12-25T04:43:00Z"/>
        <d v="1995-12-19T23:28:00Z"/>
        <d v="1995-12-03T18:01:00Z"/>
        <d v="1995-11-22T04:15:00Z"/>
        <d v="1995-11-01T00:35:00Z"/>
        <d v="1995-10-21T02:38:00Z"/>
        <d v="1995-10-19T02:41:00Z"/>
        <d v="1995-10-18T10:37:00Z"/>
        <d v="1995-10-09T15:35:00Z"/>
        <d v="1995-10-06T18:09:00Z"/>
        <d v="1995-10-03T12:44:00Z"/>
        <d v="1995-10-03T01:51:00Z"/>
        <d v="1995-09-23T22:31:00Z"/>
        <d v="1995-09-14T14:04:00Z"/>
        <d v="1995-08-28T10:46:00Z"/>
        <d v="1995-08-19T21:43:00Z"/>
        <d v="1995-08-16T23:10:00Z"/>
        <d v="1995-08-16T16:24:00Z"/>
        <d v="1995-08-16T10:27:00Z"/>
        <d v="1995-08-14T04:37:00Z"/>
        <d v="1995-07-30T05:11:00Z"/>
        <d v="1995-07-11T21:46:00Z"/>
        <d v="1995-06-29T12:24:00Z"/>
        <d v="1995-06-15T00:15:00Z"/>
        <d v="1995-05-27T13:03:00Z"/>
        <d v="1995-05-16T20:12:00Z"/>
        <d v="1995-05-14T11:33:00Z"/>
        <d v="1995-05-13T08:47:00Z"/>
        <d v="1995-05-05T03:53:00Z"/>
        <m/>
      </sharedItems>
    </cacheField>
    <cacheField name="converted_is_number" numFmtId="0">
      <sharedItems containsBlank="1">
        <b v="1"/>
        <m/>
      </sharedItems>
    </cacheField>
    <cacheField name="raw_date_is_number" numFmtId="0">
      <sharedItems containsBlank="1">
        <b v="0"/>
        <b v="1"/>
        <m/>
      </sharedItems>
    </cacheField>
    <cacheField name="title_pattern" numFmtId="0">
      <sharedItems containsBlank="1">
        <s v="Distance/Location"/>
        <s v="Named Region"/>
        <m/>
      </sharedItems>
    </cacheField>
    <cacheField name="magType_normalized" numFmtId="0">
      <sharedItems containsBlank="1">
        <s v="mww"/>
        <s v="mi"/>
        <s v="mwc"/>
        <s v="mwb"/>
        <s v="ml"/>
        <s v="mw"/>
        <s v="ms"/>
        <s v="mb"/>
        <s v="md"/>
        <m/>
      </sharedItems>
    </cacheField>
    <cacheField name="duplicate_count" numFmtId="0">
      <sharedItems containsString="0" containsBlank="1" containsNumber="1" containsInteger="1">
        <n v="1.0"/>
        <n v="2.0"/>
        <m/>
      </sharedItems>
    </cacheField>
    <cacheField name="duplicate_flag" numFmtId="0">
      <sharedItems containsBlank="1">
        <s v="Unique"/>
        <s v="Duplicate"/>
        <m/>
      </sharedItems>
    </cacheField>
    <cacheField name="date_status" numFmtId="0">
      <sharedItems containsBlank="1">
        <s v="Valid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01" sheet="Cleaned_Data"/>
  </cacheSource>
  <cacheFields>
    <cacheField name="title" numFmtId="0">
      <sharedItems>
        <s v="M 6.5 - 42 km W of Sola, Vanuatu"/>
        <s v="M 6.5 - 43 km S of Intipucá, El Salvador"/>
        <s v="M 6.6 - 25 km ESE of Loncopué, Argentina"/>
        <s v="M 7.2 - 98 km S of Sand Point, Alaska"/>
        <s v="M 7.3 - Alaska Peninsula"/>
        <s v="M 6.6 - 277 km NNE of Codrington, Antigua and Barbuda"/>
        <s v="M 6.9 - Tonga"/>
        <s v="M 7.2 - south of the Fiji Islands"/>
        <s v="M 6.6 - Panama-Colombia border region"/>
        <s v="M 7.1 - southeast of the Loyalty Islands"/>
        <s v="M 7.7 - southeast of the Loyalty Islands"/>
        <s v="M 7.6 - 95 km WNW of Hihifo, Tonga"/>
        <s v="M 6.6 - south of the Fiji Islands"/>
        <s v="M 7.1 - 170 km SSE of Teluk Dalam, Indonesia"/>
        <s v="M 7.1 - Kermadec Islands, New Zealand"/>
        <s v="M 6.7 - south of the Fiji Islands"/>
        <s v="M 7.0 - 96 km N of Tuban, Indonesia"/>
        <s v="M 6.5 - near the east coast of the Kamchatka Peninsula, Russia"/>
        <s v="M 7.0 - New Guinea, Papua New Guinea"/>
        <s v="M 6.5 - 84 km NNW of San Antonio de los Cobres, Argentina"/>
        <s v="M 6.5 - 40 km SSE of Jurm, Afghanistan"/>
        <s v="M 6.8 - near the coast of Ecuador"/>
        <s v="M 7.0 - Kermadec Islands region"/>
        <s v="M 6.9 - Kermadec Islands, New Zealand"/>
        <s v="M 6.5 - 86 km WSW of Port-Olry, Vanuatu"/>
        <s v="M 6.5 - 108 km NW of Kimbe, Papua New Guinea"/>
        <s v="M 6.8 - 67 km W of Murghob, Tajikistan"/>
        <s v="M 7.5 - 4 km SSE of Ekinözü, Turkey"/>
        <s v="M 6.7 - 18 km ESE of Nurdağı, Turkey"/>
        <s v="M 7.8 - Central Turkey"/>
        <s v="M 6.8 -"/>
        <s v="M 7.0 - 153 km NW of Tobelo, Indonesia"/>
        <s v="M 7.6 - Pulau Pulau Tanimbar, Indonesia"/>
        <s v="M 7.0 - Vanuatu"/>
        <s v="M 6.8 - 109 km NE of Hihifo, Tonga"/>
        <s v="M 7.0 - 18 km SW of Malango, Solomon Islands"/>
        <s v="M 6.9 - 204 km SW of Bengkulu, Indonesia"/>
        <s v="M 7.0 -"/>
        <s v="M 7.3 - 205 km ESE of Neiafu, Tonga"/>
        <s v="M 6.6 -"/>
        <s v="M 7.0 - south of the Fiji Islands"/>
        <s v="M 6.8 - south of the Fiji Islands"/>
        <s v="M 6.7 - 60 km SSW of Boca Chica, Panama"/>
        <s v="M 6.8 - 55 km SSW of Aguililla, Mexico"/>
        <s v="M 7.6 - 35 km SSW of Aguililla, Mexico"/>
        <s v="M 6.9 - 90 km E of Yujing, Taiwan"/>
        <s v="M 6.5 - 96 km SE of Lugu, Taiwan"/>
        <s v="M 7.0 - 209 km SSE of Isangel, Vanuatu"/>
        <s v="M 7.6 - 70 km E of Kainantu, Papua New Guinea"/>
        <s v="M 6.6 - 44 km SE of Kangding, China"/>
        <s v="M 6.6 - south of the Kermadec Islands"/>
        <s v="M 7.0 - 11 km NE of Bantay, Philippines"/>
        <s v="M 6.5 - 107 km SSW of Tarauacá, Brazil"/>
        <s v="M 7.2 - 10 km W of Azángaro, Peru"/>
        <s v="M 6.9 -"/>
        <s v="M 6.8 - 86 km NNW of San Antonio de los Cobres, Argentina"/>
        <s v="M 6.6 - 55 km WSW of Masachapa, Nicaragua"/>
        <s v="M 7.0 - southeast of the Loyalty Islands"/>
        <s v="M 6.9 - 284 km ESE of Tadine, New Caledonia"/>
        <s v="M 6.7 - 65 km S of Hualien City, Taiwan"/>
        <s v="M 7.3 - 57 km ENE of Namie, Japan"/>
        <s v="M 6.7 - 166 km W of Pariaman, Indonesia"/>
        <s v="M 6.6 - Kermadec Islands, New Zealand"/>
        <s v="M 6.5 - 49 km NW of Barranca, Peru"/>
        <s v="M 6.5 - Kermadec Islands region"/>
        <s v="M 6.6 - 80 km SW of Labuan, Indonesia"/>
        <s v="M 6.5 - 71 km SE of Nikolski, Alaska"/>
        <s v="M 6.6 - 53 km SE of Nikolski, Alaska"/>
        <s v="M 6.7 - 91 km SE of Nikolski, Alaska"/>
        <s v="M 6.8 - 100 km SE of Nikolski, Alaska"/>
        <s v="M 6.6 - 48 km WNW of Pólis, Cyprus"/>
        <s v="M 6.6 - northern Qinghai, China"/>
        <s v="M 7.3 - 125 km NNE of Lospalos, Timor Leste"/>
        <s v="M 7.3 - Flores Sea"/>
        <s v="M 7.5 - 43 km NNW of Barranca, Peru"/>
        <s v="M 6.6 - 177 km SE of Hirara, Japan"/>
        <s v="M 6.9 - 112 km E of Chignik, Alaska"/>
        <s v="M 6.9 - Vanuatu region"/>
        <s v="M 7.3 - Vanuatu region"/>
        <s v="M 6.5 - 80 km SW of Jiquilillo, Nicaragua"/>
        <s v="M 7.0 - Acapulco, Mexico"/>
        <s v="M 7.1 - South Sandwich Islands region"/>
        <s v="M 6.6 - South Sandwich Islands region"/>
        <s v="M 6.9 - 17 km N of Port-Olry, Vanuatu"/>
        <s v="M 6.9 - South Sandwich Islands region"/>
        <s v="M 7.2 - Nippes, Haiti"/>
        <s v="M 6.9 - 136 km SE of Perryville, Alaska"/>
        <s v="M 6.9 - 125 km SE of Perryville, Alaska"/>
        <s v="M 8.1 - South Sandwich Islands region"/>
        <s v="M 7.5 - South Sandwich Islands region"/>
        <s v="M 7.1 - 60 km ENE of Pondaguitan, Philippines"/>
        <s v="M 8.2 - 91 km ESE of Perryville, Alaska"/>
        <s v="M 8.2 - 99 km SE of Perryville, Alaska"/>
        <s v="M 6.7 - 15 km S of Hukay, Philippines"/>
        <s v="M 6.7 - 71 km S of Burica, Panama"/>
        <s v="M 6.5 - Kermadec Islands, New Zealand"/>
        <s v="M 6.5 - 265 km SSE of Alo, Wallis and Futuna"/>
        <s v="M 7.3 - Southern Qinghai, China"/>
        <s v="M 6.7 - 260 km S of Sinabang, Indonesia"/>
        <s v="M 6.7 - Mauritius - Reunion region"/>
        <s v="M 6.5 - 207 km WSW of Haveluloto, Tonga"/>
        <s v="M 6.5 - 225 km WNW of Pangai, Tonga"/>
        <s v="M 7.0 - 30 km E of Ishinomaki, Japan"/>
        <s v="M 6.6 - 171 km SSE of Ust’-Kamchatsk Staryy, Russia"/>
        <s v="M 8.1 - Kermadec Islands, New Zealand"/>
        <s v="M 7.4 - Kermadec Islands, New Zealand"/>
        <s v="M 7.3 - 182 km NE of Gisborne, New Zealand"/>
        <s v="M 7.1 - 73 km ENE of Namie, Japan"/>
        <s v="M 6.9 - South Shetland Islands"/>
        <s v="M 7.0 - 211 km SE of Pondaguitan, Philippines"/>
        <s v="M 6.7 - 29 km SSW of Turt, Mongolia"/>
        <s v="M 6.7 - 146 km WNW of Corral, Chile"/>
        <s v="M 7.0 - 13 km NNE of Néon Karlovásion, Greece"/>
        <s v="M 7.6 - 99 km SE of Sand Point, Alaska"/>
        <s v="M 6.9 - central Mid-Atlantic Ridge"/>
        <s v="M 6.5 - 94 km NW of Vallenar, Chile"/>
        <s v="M 6.8 - 86 km NW of Vallenar, Chile"/>
        <s v="M 6.5 - central Mid-Atlantic Ridge"/>
        <s v="M 6.9 - 222 km SSE of Katabu, Indonesia"/>
        <s v="M 6.9 - 122 km WSW of Bengkulu, Indonesia"/>
        <s v="M 6.8 - 138 km WSW of Bengkulu, Indonesia"/>
        <s v="M 6.6 - 13 km E of San Pedro, Philippines"/>
        <s v="M 7.8 - 99 km SSE of Perryville, Alaska"/>
        <s v="M 7.0 - 114 km NNW of Popondetta, Papua New Guinea"/>
        <s v="M 6.6 - 97 km N of Batang, Indonesia"/>
        <s v="M 7.4 - 9 km SE of Santa María Xadani, Mexico"/>
        <s v="M 7.4 - south of the Kermadec Islands"/>
        <s v="M 6.6 - 130 km WNW of Naze, Japan"/>
        <s v="M 6.8 - 48 km SW of San Pedro de Atacama, Chile"/>
        <s v="M 6.5 - Monte Cristo Range, NV Earthquake"/>
        <s v="M 6.6 - 175 km SSE of Lata, Solomon Islands"/>
        <s v="M 6.8 - Banda Sea"/>
        <s v="M 6.5 - 91 km S of Néa Anatolí, Greece"/>
        <s v="M 6.5 - Stanley, Idaho"/>
        <s v="M 7.5 - 221 km SSE of Severo-Kuril’sk, Russia"/>
        <s v="M 7.0 - 95 km ENE of Kuril’sk, Russia"/>
        <s v="M 7.7 - 123 km NNW of Lucea, Jamaica"/>
        <s v="M 6.7 - 13 km N of Do?anyol, Turkey"/>
        <s v="M 6.8 - 7 km S of Magsaysay, Philippines"/>
        <s v="M 7.1 - 138km E of Bitung, Indonesia"/>
        <s v="M 6.5 - 166km SSW of Ndoi Island, Fiji"/>
        <s v="M 6.6 - 136 km W of Neiafu, Tonga"/>
        <s v="M 6.5 - 2km ESE of Kisante, Philippines"/>
        <s v="M 6.6 - 10 km NE of Columbio, Philippines"/>
        <s v="M 6.7 - 70 km WSW of Constitución, Chile"/>
        <s v="M 6.5 - 11km S of Kairatu, Indonesia"/>
        <s v="M 6.6 - 34km NNE of Ndoi Island, Fiji"/>
        <s v="M 6.6 - 131km S of Bristol Island, South Sandwich Islands"/>
        <s v="M 6.9 - 152 km SW of Labuan, Indonesia"/>
        <s v="M 6.8 - 96 km SW of San Antonio, Chile"/>
        <s v="M 6.6 - 62km E of Lakatoro, Vanuatu"/>
        <s v="M 7.2 - 93km NNE of Laiwui, Indonesia"/>
        <s v="M 6.6 - 200km W of Broome, Australia"/>
        <s v="M 6.9 - 134km WSW of Kota Ternate, Indonesia"/>
        <s v="M 7.1 - 18km W of Searles Valley, CA"/>
        <s v="M 7.3 - 292km NW of Saumlaki, Indonesia"/>
        <s v="M 7.3 - 116km NE of L'Esperance Rock, New Zealand"/>
        <s v="M 6.6 - 32 km S of La Libertad, El Salvador"/>
        <s v="M 8.0 - 78 km NE of Navarro, Peru"/>
        <s v="M 7.6 - 46km SSE of Namatanai, Papua New Guinea"/>
        <s v="M 7.1 - 33km NW of Bulolo, Papua New Guinea"/>
        <s v="M 6.8 - 98km SSW of Luwuk, Indonesia"/>
        <s v="M 6.5 - 83km ENE of Bristol Island, South Sandwich Islands"/>
        <s v="M 7.0 - 22 km NNE of Azángaro, Peru"/>
        <s v="M 7.5 - 111km ESE of Palora, Ecuador"/>
        <s v="M 6.7 - 5 km SW of Puerto Madero, Mexico"/>
        <s v="M 6.7 - Prince Edward Islands region"/>
        <s v="M 6.7 - 10 km SSW of Coquimbo, Chile"/>
        <s v="M 6.6 - 94 km NW of Sola, Vanuatu"/>
        <s v="M 6.6 - Molucca Sea"/>
        <s v="M 6.8 - 90km W of Tarauaca, Brazil"/>
        <s v="M 7.0 - 96 km ESE of Pondaguitan, Philippines"/>
        <s v="M 7.3 - 187 km SE of Ust’-Kamchatsk Staryy, Russia"/>
        <s v="M 6.6 - 199 km ESE of Tadine, New Caledonia"/>
        <s v="M 7.5 - 166 km ESE of Tadine, New Caledonia"/>
        <s v="M 7.1 - 1 km SE of Point MacKenzie, Alaska"/>
        <s v="M 6.8 - 187 km E of Levuka, Fiji"/>
        <s v="M 6.7 - 120 km NW of Olonkinbyen, Svalbard and Jan Mayen"/>
        <s v="M 6.8 - 32 km SW of Lithakiá, Greece"/>
        <s v="M 6.5 - 237 km SW of Port McNeill, Canada"/>
        <s v="M 6.8 - 210 km SW of Port McNeill, Canada"/>
        <s v="M 6.5 - 223 km SW of Port McNeill, Canada"/>
        <s v="M 6.5 - 171 km E of Tadine, New Caledonia"/>
        <s v="M 6.7 - 269 km WNW of Ozernovskiy, Russia"/>
        <s v="M 6.5 - 154 km S of Severo-Kuril’sk, Russia"/>
        <s v="M 7.0 - 119 km E of Kimbe, Papua New Guinea"/>
        <s v="M 6.7 - 279 km E of Levuka, Fiji"/>
        <s v="M 7.5 - 72 km N of Palu, Indonesia"/>
        <s v="M 6.5 - south of the Fiji Islands"/>
        <s v="M 6.9 - Kermadec Islands region"/>
        <s v="M 6.5 - 66 km NW of Kirakira, Solomon Islands"/>
        <s v="M 7.9 - 45 km S of Levuka, Fiji"/>
        <s v="M 6.6 - 27 km ESE of Chitose, Japan"/>
        <s v="M 7.1 - 238 km ESE of Tadine, New Caledonia"/>
        <s v="M 7.1 - 136 km W of Iñapari, Peru"/>
        <s v="M 6.5 - 78 km E of Lakatoro, Vanuatu"/>
        <s v="M 7.3 - 40 km ENE of Carúpano, Venezuela"/>
        <s v="M 6.9 - 20 km NNW of Labuan Lombok, Indonesia"/>
        <s v="M 8.2 - 267 km E of Levuka, Fiji"/>
        <s v="M 6.5 - 124 km N of Labuan Bajo, Indonesia"/>
        <s v="M 6.5 - 108 km WSW of Adak, Alaska"/>
        <s v="M 6.9 - 36 km NW of Labuan Lombok, Indonesia"/>
        <s v="M 6.9 - 18 km SSW of Leilani Estates, Hawaii"/>
        <s v="M 6.8 - 38 km SE of Boyuibe, Bolivia"/>
        <s v="M 6.9 - 150 km E of Kimbe, Papua New Guinea"/>
        <s v="M 6.7 - 140 km E of Kimbe, Papua New Guinea"/>
        <s v="M 6.8 - 103 km E of Kokopo, Papua New Guinea"/>
        <s v="M 6.7 - 62 km SW of Tari, Papua New Guinea"/>
        <s v="M 7.5 - 32 km SW of Tari, Papua New Guinea"/>
        <s v="M 7.2 - 4 km S of Pinotepa de Don Luis, Mexico"/>
        <s v="M 7.9 - 261 km SE of Chiniak, Alaska"/>
        <s v="M 7.1 - 37 km W of Atiquipa, Peru"/>
        <s v="M 7.5 - 203 km NNE of Barra Patuca, Honduras"/>
        <s v="M 6.5 - 12 km SSW of Kawalu, Indonesia"/>
        <s v="M 6.5 - Bouvet Island region"/>
        <s v="M 7.0 - 85 km ENE of Tadine, New Caledonia"/>
        <s v="M 6.6 - 74 km E of Tadine, New Caledonia"/>
        <s v="M 6.5 - 18 km W of Parrita, Costa Rica"/>
        <s v="M 7.3 - 29 km S of ?alabja, Iraq"/>
        <s v="M 6.5 - 67 km WSW of Angoram, Papua New Guinea"/>
        <s v="M 6.8 - 97 km NE of Hihifo, Tonga"/>
        <s v="M 6.6 - 101 km E of Tadine, New Caledonia"/>
        <s v="M 6.7 - 132 km E of Tadine, New Caledonia"/>
        <s v="M 6.7 - 181 km NNE of Maumere, Indonesia"/>
        <s v="M 6.5 - 247 km ESE of Attu Station, Alaska"/>
        <s v="M 7.1 - 1 km S of Matzaco, Mexico"/>
        <s v="M 8.2 - near the coast of Chiapas, Mexico"/>
        <s v="M 6.5 - 168 km SW of Mawu, China"/>
        <s v="M 6.6 - 11 km ENE of Kos, Greece"/>
        <s v="M 7.7 - Komandorskiye Ostrova, Russia region"/>
        <s v="M 6.6 - Auckland Islands, New Zealand region"/>
        <s v="M 6.5 - 2 km S of Lim-oo, Philippines"/>
        <s v="M 6.8 - 28 km SW of Puerto San José, Guatemala"/>
        <s v="M 6.9 - 2 km SSW of San Pablo, Guatemala"/>
        <s v="M 6.8 - 200 km NW of Attu Station, Alaska"/>
        <s v="M 6.6 - 37 km WNW of Poso, Indonesia"/>
        <s v="M 6.5 - South Sandwich Islands region"/>
        <s v="M 6.8 - 59 km NNE of Port-Olry, Vanuatu"/>
        <s v="M 6.9 - 31 km SW of Burias, Philippines"/>
        <s v="M 6.9 - 40 km W of Valparaíso, Chile"/>
        <s v="M 6.5 - 132 km WSW of Moijabana, Botswana"/>
        <s v="M 6.6 - 81 km NNE of Ust’-Kamchatsk Staryy, Russia"/>
        <s v="M 6.9 - south of the Fiji Islands"/>
        <s v="M 6.5 - 41 km E of Padilla, Bolivia"/>
        <s v="M 6.5 - 11 km N of Mabua, Philippines"/>
        <s v="M 7.9 - 35 km WNW of Panguna, Papua New Guinea"/>
        <s v="M 6.5 - 65 km W of Kirakira, Solomon Islands"/>
        <s v="M 7.3 - 189 km SSE of Tabiauan, Philippines"/>
        <s v="M 6.9 - 225 km SW of Nadi, Fiji"/>
        <s v="M 7.6 - 41 km SW of Quellón, Chile"/>
        <s v="M 6.7 - 151 km NE of Lospalos, Timor Leste"/>
        <s v="M 7.9 - 140 km E of Kokopo, Papua New Guinea"/>
        <s v="M 6.9 - 92 km WSW of Kirakira, Solomon Islands"/>
        <s v="M 6.5 - 79 km WSW of Kirakira, Solomon Islands"/>
        <s v="M 7.8 - 69 km WSW of Kirakira, Solomon Islands"/>
        <s v="M 6.6 - 164 km W of Ferndale, California"/>
        <s v="M 6.5 - 14 km WNW of Reuleuet, Indonesia"/>
        <s v="M 6.6 - 122 km N of Murghob, Tajikistan"/>
        <s v="M 6.9 - 156 km SSW of Puerto El Triunfo, El Salvador"/>
        <s v="M 6.9 - 35 km ESE of Namie, Japan"/>
        <s v="M 6.5 - 74 km NE of Amberley, New Zealand"/>
        <s v="M 6.5 - 92 km SSW of Blenheim, New Zealand"/>
        <s v="M 7.8 - 53 km NNE of Amberley, New Zealand"/>
        <s v="M 6.6 - 5 km ESE of Preci, Italy"/>
        <s v="M 6.6 - 161 km NNE of Pamanukan, Indonesia"/>
        <s v="M 6.8 - 76 km WNW of Kandrian, Papua New Guinea"/>
        <s v="M 6.9 - Fiji region"/>
        <s v="M 7.0 - 175 km NE of Gisborne, New Zealand"/>
        <s v="M 6.8 - 90 km NE of Rabaul, Papua New Guinea"/>
        <s v="M 6.8 - 26 km W of Chauk, Myanmar"/>
        <s v="M 7.2 - southeast of the Loyalty Islands"/>
        <s v="M 7.7 - Pagan region, Northern Mariana Islands"/>
        <s v="M 6.6 - 80 km W of Sungai Penuh, Indonesia"/>
        <s v="M 7.2 - South Sandwich Islands region"/>
        <s v="M 6.9 - 24 km NW of Rosa Zarate, Ecuador"/>
        <s v="M 6.7 - 32 km SE of Muisne, Ecuador"/>
        <s v="M 7.0 - 3 km NW of Norsup, Vanuatu"/>
        <s v="M 7.8 - 27 km SSE of Muisne, Ecuador"/>
        <s v="M 7.0 - 6 km ESE of Kumamoto, Japan"/>
        <s v="M 6.9 - 76 km SE of Mawlaik, Myanmar"/>
        <s v="M 6.6 - 42 km WSW of Ashk?sham, Afghanistan"/>
        <s v="M 6.7 - 104 km W of Sola, Vanuatu"/>
        <s v="M 6.7 - 102 km WSW of Sola, Vanuatu"/>
        <s v="M 6.9 - 82 km NNW of Port-Olry, Vanuatu"/>
        <s v="M 7.8 - southwest of Sumatra, Indonesia"/>
        <s v="M 7.2 - 80 km S of Mil’kovo, Russia"/>
        <s v="M 7.1 - 47 km ESE of Pedro Bay, Alaska"/>
        <s v="M 6.6 - 203 km SW of La Cruz de Loreto, Mexico"/>
        <s v="M 6.7 - 52 km SE of Shizunai-furukawach?, Japan"/>
        <s v="M 6.5 - 227 km SE of Sarangani, Philippines"/>
        <s v="M 6.7 - 29 km W of Imph?l, India"/>
        <s v="M 6.6 - 4 km W of Manuel Ávila Camacho (Ponte Duro), Mexico"/>
        <s v="M 6.9 - 107 km SE of Amahai, Indonesia"/>
        <s v="M 7.2 - 104 km W of Murghob, Tajikistan"/>
        <s v="M 6.7 - 125 km SSW of Tarauacá, Brazil"/>
        <s v="M 7.6 - 185 km WNW of Iñapari, Peru"/>
        <s v="M 7.6 - 155 km WNW of Iñapari, Peru"/>
        <s v="M 6.8 - 153 km WSW of Buala, Solomon Islands"/>
        <s v="M 6.5 - 19 km SSW of Lefkáda, Greece"/>
        <s v="M 6.7 - 140 km WSW of Makurazaki, Japan"/>
        <s v="M 6.9 - 85 km NW of Coquimbo, Chile"/>
        <s v="M 6.9 - 81 km NW of Coquimbo, Chile"/>
        <s v="M 6.6 - Nicobar Islands, India region"/>
        <s v="M 6.8 - 39 km SW of Ovalle, Chile"/>
        <s v="M 6.5 - 47 km NW of Maubara, Timor Leste"/>
        <s v="M 7.5 - Hindu Kush region, Afghanistan"/>
        <s v="M 7.1 - 31 km NE of Port-Olry, Vanuatu"/>
        <s v="M 6.6 - 28 km N of Sorong, Indonesia"/>
        <s v="M 6.6 - 22 km WSW of Illapel, Chile"/>
        <s v="M 6.7 - 61 km WNW of Illapel, Chile"/>
        <s v="M 6.5 - 54 km WNW of Illapel, Chile"/>
        <s v="M 7.0 - 25 km WNW of Illapel, Chile"/>
        <s v="M 8.3 - 48 km W of Illapel, Chile"/>
        <s v="M 6.7 - 95 km SW of Topolobampo, Mexico"/>
        <s v="M 6.5 - 177 km SE of Gizo, Solomon Islands"/>
        <s v="M 6.6 - 186 km WNW of Malango, Solomon Islands"/>
        <s v="M 7.0 - 234 km W of Abepura, Indonesia"/>
        <s v="M 6.9 - Fox Islands, Aleutian Islands, Alaska"/>
        <s v="M 7.0 - 80 km WNW of Lata, Solomon Islands"/>
        <s v="M 6.5 - 128 km NE of Bathsheba, Barbados"/>
        <s v="M 6.7 - 150 km WNW of Malango, Solomon Islands"/>
        <s v="M 6.5 - Bonin Islands, Japan region"/>
        <s v="M 7.8 - Bonin Islands, Japan region"/>
        <s v="M 6.8 - 117 km SSE of Ugashik, Alaska"/>
        <s v="M 6.8 - 159 km ESE of Kirakira, Solomon Islands"/>
        <s v="M 6.9 - 205 km ESE of Kirakira, Solomon Islands"/>
        <s v="M 6.8 - 178 km W of Lata, Solomon Islands"/>
        <s v="M 6.8 - 32 km SE of ?funato, Japan"/>
        <s v="M 7.3 - Nepal"/>
        <s v="M 7.1 - 143 km SW of Panguna, Papua New Guinea"/>
        <s v="M 7.5 - 131 km SSW of Kokopo, Papua New Guinea"/>
        <s v="M 6.8 - 109 km SSW of Kokopo, Papua New Guinea"/>
        <s v="M 6.7 - 126 km SSW of Kokopo, Papua New Guinea"/>
        <s v="M 6.7 - 21 km SSE of Kod?ri??, Nepal"/>
        <s v="M 6.6 - 71 km NNE of Bharatpur, Nepal"/>
        <s v="M 7.8 - 67 km NNE of Bharatpur, Nepal"/>
        <s v="M 6.5 - 181 km SSW of Alo, Wallis and Futuna"/>
        <s v="M 6.5 - 96 km ENE of Hihifo, Tonga"/>
        <s v="M 7.5 - 53 km SE of Kokopo, Papua New Guinea"/>
        <s v="M 7.0 - 150 km NNE of Maumere, Indonesia"/>
        <s v="M 6.7 - 83 km ENE of Miyako, Japan"/>
        <s v="M 6.7 - 103 km W of El Aguilar, Argentina"/>
        <s v="M 6.8 - 81 km NNE of Port-Vila, Vanuatu"/>
        <s v="M 6.5 - 236 km S of Punta de Burica, Panama"/>
        <s v="M 6.6 - 22 km ESE of Punta de Burica, Panama"/>
        <s v="M 6.6 - 115 km W of Panguna, Papua New Guinea"/>
        <s v="M 6.6 - 106 km WSW of Sangay, Philippines"/>
        <s v="M 6.8 - 157 km NW of Ternate, Indonesia"/>
        <s v="M 6.5 - 123 km WNW of Tobelo, Indonesia"/>
        <s v="M 6.7 - 183 km NE of Gisborne, New Zealand"/>
        <s v="M 7.1 - 155 km NW of Ternate, Indonesia"/>
        <s v="M 6.6 - 76 km NE of Finschhafen, Papua New Guinea"/>
        <s v="M 7.1 - Fiji region"/>
        <s v="M 7.3 - 74 km S of Intipucá, El Salvador"/>
        <s v="M 6.7 - 43 km NW of Piti Village, Guam"/>
        <s v="M 6.8 - 38 km NW of Aniso, Peru"/>
        <s v="M 6.9 - Federated States of Micronesia region"/>
        <s v="M 6.5 - 139 km ESE of Namie, Japan"/>
        <s v="M 6.9 - 4 km W of Puerto Madero, Mexico"/>
        <s v="M 6.5 - 217 km SSE of Kokopo, Papua New Guinea"/>
        <s v="M 6.7 - 201 km SSE of Mata-Utu, Wallis and Futuna"/>
        <s v="M 7.9 - Rat Islands, Aleutian Islands, Alaska"/>
        <s v="M 6.7 - Kermadec Islands, New Zealand"/>
        <s v="M 6.9 - 21 km SSW of Kamariótissa, Greece"/>
        <s v="M 6.5 - 110 km SE of Punta de Burica, Panama"/>
        <s v="M 6.6 - 239 km SSE of Isangel, Vanuatu"/>
        <s v="M 6.5 - 107 km WSW of Vernon, Canada"/>
        <s v="M 7.5 - 70 km SW of Panguna, Papua New Guinea"/>
        <s v="M 6.6 - 57 km SW of Panguna, Papua New Guinea"/>
        <s v="M 7.2 - 9 km ENE of Coyuquilla Norte, Mexico"/>
        <s v="M 6.6 - 75 km S of Kirakira, Solomon Islands"/>
        <s v="M 7.4 - 112 km S of Kirakira, Solomon Islands"/>
        <s v="M 7.6 - 93 km SSE of Kirakira, Solomon Islands"/>
        <s v="M 6.6 - 15 km N of Belén, Nicaragua"/>
        <s v="M 6.5 - 78 km SW of Panguna, Papua New Guinea"/>
        <s v="M 7.1 - 56 km WSW of Panguna, Papua New Guinea"/>
        <s v="M 7.7 - 53 km SW of Iquique, Chile"/>
        <s v="M 6.5 - 45 km WSW of Iquique, Chile"/>
        <s v="M 6.9 - 90 km WNW of Iquique, Chile"/>
        <s v="M 8.2 - 93 km NW of Iquique, Chile"/>
        <s v="M 6.7 - 63 km WNW of Iquique, Chile"/>
        <s v="M 6.8 - 77 km WNW of Indianola, California"/>
        <s v="M 6.5 - 109 km NW of Nago, Japan"/>
        <s v="M 6.5 - 171 km NNE of Greenland, Barbados"/>
        <s v="M 6.9 - 272 km ESE of Hotan, China"/>
        <s v="M 6.5 - 32 km E of Port-Olry, Vanuatu"/>
        <s v="M 6.5 - south of the Kermadec Islands"/>
        <s v="M 6.5 - 32 km W of Sola, Vanuatu"/>
        <s v="M 6.5 - Fiji region"/>
        <s v="M 7.7 - Scotia Sea"/>
        <s v="M 6.9 - Scotia Sea"/>
        <s v="M 6.6 - 41 km SSW of Coquimbo, Chile"/>
        <s v="M 7.1 - off the east coast of Honshu, Japan"/>
        <s v="M 6.6 - 98 km SW of Etchoropo, Mexico"/>
        <s v="M 6.8 - 62 km WSW of Panguna, Papua New Guinea"/>
        <s v="M 7.1 - 4 km SE of Sagbayan, Philippines"/>
        <s v="M 6.6 - 36 km W of Kíssamos, Greece"/>
        <s v="M 6.7 - Sea of Okhotsk"/>
        <s v="M 6.8 - 129 km WSW of Khuzdar, Pakistan"/>
        <s v="M 7.1 - 16 km WSW of Atiquipa, Peru"/>
        <s v="M 7.7 - 113 km NW of Bela, Pakistan"/>
        <s v="M 6.5 - 81 km SSW of Atka, Alaska"/>
        <s v="M 6.5 - Izu Islands, Japan region"/>
        <s v="M 6.5 - 180 km NE of Lospalos, Timor Leste"/>
        <s v="M 7.0 - 101 km SW of Atka, Alaska"/>
        <s v="M 6.5 - 29 km SE of Blenheim, New Zealand"/>
        <s v="M 6.7 - 101 km WSW of Bahía Solano, Colombia"/>
        <s v="M 6.5 - 38 km ESE of Blenheim, New Zealand"/>
        <s v="M 7.3 - South Sandwich Islands region"/>
        <s v="M 6.6 - 26 km NE of Kandrian, Papua New Guinea"/>
        <s v="M 7.3 - 190 km ENE of Kokopo, Papua New Guinea"/>
        <s v="M 6.6 - northern Mid-Atlantic Ridge"/>
        <s v="M 6.5 - 44 km W of Masachapa, Nicaragua"/>
        <s v="M 6.7 - south of Java, Indonesia"/>
        <s v="M 8.3 - Sea of Okhotsk"/>
        <s v="M 7.4 - 292 km SW of Vaini, Tonga"/>
        <s v="M 6.8 - Pagan region, Northern Mariana Islands"/>
        <s v="M 6.5 - 33 km N of Rabaul, Papua New Guinea"/>
        <s v="M 6.6 - 56 km WSW of Linqiong, China"/>
        <s v="M 7.2 - 252 km ENE of Kuril’sk, Russia"/>
        <s v="M 6.6 - 23 km ESE of Aitape, Papua New Guinea"/>
        <s v="M 7.7 - 79 km ESE of Kh?sh, Iran"/>
        <s v="M 6.6 - 98 km W of Panguna, Papua New Guinea"/>
        <s v="M 7.0 - 260 km WSW of Abepura, Indonesia"/>
        <s v="M 6.5 - 36 km E of Finschhafen, Papua New Guinea"/>
        <s v="M 6.5 - 87 km SE of Ozernovskiy, Russia"/>
        <s v="M 6.9 - 81 km SE of Ozernovskiy, Russia"/>
        <s v="M 6.6 - 183 km SW of Belaya Gora, Russia"/>
        <s v="M 6.6 - 30 km SSW of Lata, Solomon Islands"/>
        <s v="M 6.9 - 2 km NNE of Yacuanquer, Colombia"/>
        <s v="M 7.1 - 32 km SE of Lata, Solomon Islands"/>
        <s v="M 6.8 - 22 km ESE of Lata, Solomon Islands"/>
        <s v="M 6.7 - 33 km SSW of Lata, Solomon Islands"/>
        <s v="M 7.0 - 33 km NW of Lata, Solomon Islands"/>
        <s v="M 7.1 - 112 km WSW of Lata, Solomon Islands"/>
        <s v="M 8.0 - 75 km W of Lata, Solomon Islands"/>
        <s v="M 6.9 - 18 km SSW of Obihiro, Japan"/>
        <s v="M 6.8 - 54 km N of Vallenar, Chile"/>
        <s v="M 7.5 - 110 km SW of Edna Bay, Alaska"/>
        <s v="M 6.7 - 59 km SSW of Sola, Vanuatu"/>
        <s v="M 7.1 - Banda Sea"/>
        <s v="M 7.3 - 234 km SE of ?funato, Japan"/>
        <s v="M 6.5 - 32 km SW of Champerico, Guatemala"/>
        <s v="M 6.8 - 51 km NNE of Shwebo, Myanmar"/>
        <s v="M 7.4 - 33 km S of Champerico, Guatemala"/>
        <s v="M 7.8 - 206 km SW of Prince Rupert, Canada"/>
        <s v="M 6.5 - Costa Rica"/>
        <s v="M 6.6 - 163 km ENE of Tual, Indonesia"/>
        <s v="M 7.3 - 11 km WNW of San Agustín, Colombia"/>
        <s v="M 7.6 - 11 km ENE of Hojancha, Costa Rica"/>
        <s v="M 7.6 - 89 km E of Sulangan, Philippines"/>
        <s v="M 7.3 - 126 km S of Puerto El Triunfo, El Salvador"/>
        <s v="M 6.6 - 140 km WNW of Tobelo, Indonesia"/>
        <s v="M 7.7 - 156 km ENE of Poronaysk, Russia"/>
        <s v="M 6.5 - 105 km ESE of Kokopo, Papua New Guinea"/>
        <s v="M 6.6 - 76 km W of Neiafu, Tonga"/>
        <s v="M 6.7 - 86 km SSE of Manokwari, Indonesia"/>
        <s v="M 6.8 - 140 km N of Lae, Papua New Guinea"/>
        <s v="M 6.7 - 22 km NW of Hacienda La Calera, Chile"/>
        <s v="M 7.0 - 69 km ENE of San Luis, Mexico"/>
        <s v="M 6.5 - 41 km NW of El Habillal, Mexico"/>
        <s v="M 8.2 - off the west coast of northern Sumatra"/>
        <s v="M 8.6 - off the west coast of northern Sumatra"/>
        <s v="M 7.1 - 23 km NE of Constitución, Chile"/>
        <s v="M 6.6 - 11 km ENE of Kainantu, Papua New Guinea"/>
        <s v="M 7.4 - 6 km E of Santiago Llano Grande, Mexico"/>
        <s v="M 6.7 - 38 km NE of Saryg-Sep, Russia"/>
        <s v="M 6.7 - 2 km NNE of Jimalalud, Philippines"/>
        <s v="M 7.1 - 125 km W of Port-Vila, Vanuatu"/>
        <s v="M 7.2 - off the west coast of northern Sumatra"/>
        <s v="M 6.6 - 45 km NNE of Saryg-Sep, Russia"/>
        <s v="M 7.1 - 25 km SSE of Wau, Papua New Guinea"/>
        <s v="M 6.5 - 6 km SSW of Nuevo Balsas, Mexico"/>
        <s v="M 6.9 - 39 km SW of Santiago, Peru"/>
        <s v="M 7.1 - 27 km NNE of Van, Turkey"/>
        <s v="M 6.5 - 4 km ESE of Finschhafen, Papua New Guinea"/>
        <s v="M 6.9 - 43 km NW of Mangan, India"/>
        <s v="M 6.7 - 99 km NE of Miyako, Japan"/>
        <s v="M 6.7 - 68 km WSW of Kabanjahe, Indonesia"/>
        <s v="M 7.0 - 133 km SSE of Isangel, Vanuatu"/>
        <s v="M 7.0 - 64 km ESE of Contamana, Peru"/>
        <s v="M 7.1 - 64 km S of Port-Vila, Vanuatu"/>
        <s v="M 6.5 - 65 km SSW of Port-Vila, Vanuatu"/>
        <s v="M 7.2 - 71 km SSW of Port-Vila, Vanuatu"/>
        <s v="M 6.6 - 103 km NE of Angoram, Papua New Guinea"/>
        <s v="M 7.6 - Kermadec Islands region"/>
        <s v="M 6.7 - 41 km NNE of Miyako, Japan"/>
        <s v="M 6.8 - 124 km NE of Wé, New Caledonia"/>
        <s v="M 6.8 - 79 km W of Kirakira, Solomon Islands"/>
        <s v="M 6.6 - 17 km SSW of Ishikawa, Japan"/>
        <s v="M 7.1 - 29 km ESE of Ishinomaki, Japan"/>
        <s v="M 6.6 - 7 km SW of Helio García Alfaro, Mexico"/>
        <s v="M 6.9 - 27 km NNW of Tachilek, Myanmar"/>
        <s v="M 6.6 - 50 km ESE of ?tsuchi, Japan"/>
        <s v="M 6.5 - 81 km NE of Hasaki, Japan"/>
        <s v="M 7.7 - 272 km ESE of Kamaishi, Japan"/>
        <s v="M 7.9 - 47 km E of ?arai, Japan"/>
        <s v="M 9.1 - 2011 Great Tohoku Earthquake, Japan"/>
        <s v="M 7.3 - 120 km SE of ?funato, Japan"/>
        <s v="M 6.7 - 38 km W of Constitución, Chile"/>
        <s v="M 6.9 - 21 km N of Tomé, Chile"/>
        <s v="M 7.2 - 46 km WSW of Dalbandin, Pakistan"/>
        <s v="M 7.0 - 118 km NNE of Tadine, New Caledonia"/>
        <s v="M 7.2 - 42 km NNW of Carahue, Chile"/>
        <s v="M 7.3 - 141 km W of Isangel, Vanuatu"/>
        <s v="M 6.7 - 111 km SE of Bam, Iran"/>
        <s v="M 6.6 - 52 km ENE of Kandrian, Papua New Guinea"/>
        <s v="M 7.8 - 215 km SW of Sungai Penuh, Indonesia"/>
        <s v="M 6.7 - 97 km SSW of El Huitusi, Mexico"/>
        <s v="M 7.0 - Near the south coast of Papua, Indonesia"/>
        <s v="M 7.0 - 19 km NE of Methven, New Zealand"/>
        <s v="M 7.1 - Ecuador"/>
        <s v="M 7.3 - 33 km NW of Port-Vila, Vanuatu"/>
        <s v="M 7.0 - 72 km ESE of Kimbe, Papua New Guinea"/>
        <s v="M 6.5 - 118 km ESE of Madang, Papua New Guinea"/>
        <s v="M 7.6 - 61 km W of Bantogon, Philippines"/>
        <s v="M 7.3 - New Britain region, Papua New Guinea"/>
        <s v="M 6.9 - 56 km SE of Kimbe, Papua New Guinea"/>
        <s v="M 6.6 - 30 km SSE of Cañete, Chile"/>
        <s v="M 6.7 - 55 km WSW of Kirakira, Solomon Islands"/>
        <s v="M 6.6 - 135 km SSE of Biak, Indonesia"/>
        <s v="M 7.0 - 121 km SSE of Biak, Indonesia"/>
        <s v="M 7.5 - Nicobar Islands, India region"/>
        <s v="M 7.2 - 100 km WNW of Sola, Vanuatu"/>
        <s v="M 7.2 - 45 km SSW of Meulaboh, Indonesia"/>
        <s v="M 6.9 - 233 km NNW of Qamdo, China"/>
        <s v="M 6.9 - 99 km WSW of Kirakira, Solomon Islands"/>
        <s v="M 7.8 - 75 km E of Sinabang, Indonesia"/>
        <s v="M 7.2 - 12km SW of Delta, B.C., MX"/>
        <s v="M 6.6 - 217 km N of Bamboo Flat, India"/>
        <s v="M 6.7 - 52 km NNW of Tomé, Chile"/>
        <s v="M 6.5 - 59 km ENE of Namie, Japan"/>
        <s v="M 7.0 - 52 km NW of Santa Cruz, Chile"/>
        <s v="M 6.9 - 61 km NW of Santa Cruz, Chile"/>
        <s v="M 6.8 - 141 km W of Bengkulu, Indonesia"/>
        <s v="M 6.6 - 23 km WNW of Talcahuano, Chile"/>
        <s v="M 6.5 - 48 km NW of Sola, Vanuatu"/>
        <s v="M 7.4 - 124 km W of Lebu, Chile"/>
        <s v="M 8.8 - 36 km WNW of Quirihue, Chile"/>
        <s v="M 7.0 - 70 km SE of Katsuren-haebaru, Japan"/>
        <s v="M 7.0 - 10 km SE of Léogâne, Haiti"/>
        <s v="M 6.5 - 37 km WNW of Ferndale, California"/>
        <s v="M 6.8 - 127 km SE of Gizo, Solomon Islands"/>
        <s v="M 7.1 - 94 km SE of Gizo, Solomon Islands"/>
        <s v="M 6.6 - 98 km SE of Gizo, Solomon Islands"/>
        <s v="M 6.5 - 92 km N of Iquique, Chile"/>
        <s v="M 7.3 - 77 km ENE of Ba, Fiji"/>
        <s v="M 6.6 - 29 km NNW of Bima, Indonesia"/>
        <s v="M 6.8 - 98 km NNE of Naze, Japan"/>
        <s v="M 6.9 - 268 km WSW of Tual, Indonesia"/>
        <s v="M 6.8 - 188 km WNW of Sola, Vanuatu"/>
        <s v="M 7.4 - 143 km NW of Sola, Vanuatu"/>
        <s v="M 7.8 - 196 km NW of Sola, Vanuatu"/>
        <s v="M 7.7 - 148 km NW of Sola, Vanuatu"/>
        <s v="M 6.6 - 49 km SSE of Sungai Penuh, Indonesia"/>
        <s v="M 7.6 - 30 km WSW of Pariaman, Indonesia"/>
        <s v="M 8.1 - 168 km SSW of Matavai, Samoa"/>
        <s v="M 7.0 - 66 km SSW of Banjar, Indonesia"/>
        <s v="M 6.7 - 112 km WSW of Padang, Indonesia"/>
        <s v="M 6.6 - 244 km SSE of Tateyama, Japan"/>
        <s v="M 7.5 - 266 km N of Bamboo Flat, India"/>
        <s v="M 7.1 - 161 km S of ?yama, Japan"/>
        <s v="M 6.9 - 96 km WNW of Bahía de Kino, Mexico"/>
        <s v="M 7.8 - 97 km WSW of Te Anau, New Zealand"/>
        <s v="M 6.7 - 190 km ESE of Kokopo, Papua New Guinea"/>
        <s v="M 7.3 - 46 km NW of Guanaja, Honduras"/>
        <s v="M 7.6 - 191 km S of ‘Ohonua, Tonga"/>
        <s v="M 7.2 - 196 km SSE of Sarangani, Philippines"/>
        <s v="M 7.4 - 86 km WNW of Manokwari, Indonesia"/>
        <s v="M 6.6 - 50 km S of Jurm, Afghanistan"/>
        <s v="M 7.7 - 140 km WNW of Manokwari, Indonesia"/>
        <s v="M 7.4 - 135 km NW of Gorontalo, Indonesia"/>
        <s v="M 6.7 - 19 km SW of Brisas Barra de Suchiate, Mexico"/>
        <s v="M 6.7 - 131 km SE of Nookat, Kyrgyzstan"/>
        <s v="M 6.8 - 122 km SSE of Obihiro, Japan"/>
        <s v="M 6.6 - 73 km WNW of Tobelo, Indonesia"/>
        <s v="M 6.9 - 75 km WNW of Sola, Vanuatu"/>
        <s v="M 6.7 - 221 km NE of Jumla, Nepal"/>
        <s v="M 6.8 - 29 km ENE of Morioka, Japan"/>
        <s v="M 7.0 - 107 km E of Namie, Japan"/>
        <s v="M 6.9 - 151 km E of Namie, Japan"/>
        <s v="M 6.6 - 124 km SW of Bamboo Flat, India"/>
        <s v="M 6.9 - 24 km WSW of Mizusawa, Japan"/>
        <s v="M 7.9 - 58 km W of Tianpeng, China"/>
        <s v="M 6.9 - 78 km NE of Hasaki, Japan"/>
        <s v="M 7.3 - 71 km SW of Isangel, Vanuatu"/>
        <s v="M 7.2 - 226 km SE of Hotan, China"/>
        <s v="M 6.9 - Philippine Islands region"/>
        <s v="M 6.7 - 155 km SSW of Padang, Indonesia"/>
        <s v="M 6.6 - 161 km SSW of Padang, Indonesia"/>
        <s v="M 7.2 - 164 km WSW of Sungai Penuh, Indonesia"/>
        <s v="M 6.5 - 166 km WSW of Sungai Penuh, Indonesia"/>
        <s v="M 7.4 - 56 km NW of Sinabang, Indonesia"/>
        <s v="M 6.5 - 50 km S of Koróni, Greece"/>
        <s v="M 6.9 - 35 km S of Methóni, Greece"/>
        <s v="M 6.5 - 9 km SSW of General Pascual Fentes, Mexico"/>
        <s v="M 6.6 - 46 km SSE of Gisborne, New Zealand"/>
        <s v="M 6.7 - 80 km NNE of Antofagasta, Chile"/>
        <s v="M 7.4 - 18 km WNW of Basse-Pointe, Martinique"/>
        <s v="M 6.6 - 60 km SSE of Kirakira, Solomon Islands"/>
        <s v="M 6.5 - 34 km N of Dompu, Indonesia"/>
        <s v="M 6.5 - 28 km NNW of Dompu, Indonesia"/>
        <s v="M 6.8 - 107 km N of Lae, Papua New Guinea"/>
        <s v="M 6.8 - 30 km E of Macas, Ecuador"/>
        <s v="M 6.8 - 82 km NNE of Antofagasta, Chile"/>
        <s v="M 7.7 - 36 km ESE of Tocopilla, Chile"/>
        <s v="M 6.8 - 138 km W of Bengkulu, Indonesia"/>
        <s v="M 6.8 - 70 km N of Te Anau, New Zealand"/>
        <s v="M 6.8 - 154 km ESE of Kokopo, Papua New Guinea"/>
        <s v="M 6.7 - 118 km SSW of Padang, Indonesia"/>
        <s v="M 7.0 - 153 km SSW of Padang, Indonesia"/>
        <s v="M 6.5 - Kepulauan Mentawai region, Indonesia"/>
        <s v="M 7.9 - 87 km SW of Sungai Penuh, Indonesia"/>
        <s v="M 7.8 - 148 km WSW of Sungai Penuh, Indonesia"/>
        <s v="M 8.4 - 122 km SW of Bengkulu, Indonesia"/>
        <s v="M 6.8 - 39 km WNW of Timbiquí, Colombia"/>
        <s v="M 7.2 - 97 km S of Lata, Solomon Islands"/>
        <s v="M 6.5 - 31 km WSW of Malango, Solomon Islands"/>
        <s v="M 8.0 - 41 km SW of San Vicente de Cañete, Peru"/>
        <s v="M 7.5 - 35 km NNE of Rengasdengklok, Indonesia"/>
        <s v="M 7.2 - 56 km E of Luganville, Vanuatu"/>
        <s v="M 6.9 - 140 km NNW of Tobelo, Indonesia"/>
        <s v="M 6.8 - 133 km WNW of Mikuni, Japan"/>
        <s v="M 6.6 - 20 km NNW of Kashiwazaki, Japan"/>
        <s v="M 6.7 - 43 km SSE of Iztapa, Guatemala"/>
        <s v="M 6.9 - 113 km SSE of Panguna, Papua New Guinea"/>
        <s v="M 6.6 - 99 km SSE of Panguna, Papua New Guinea"/>
        <s v="M 8.1 - 45 km SSE of Gizo, Solomon Islands"/>
        <s v="M 6.7 - 46 km NW of Nanao, Japan"/>
        <s v="M 7.1 - 119 km S of Isangel, Vanuatu"/>
        <s v="M 6.7 - 206 km SSW of Sofifi, Indonesia"/>
        <s v="M 7.5 - 126 km WNW of Ternate, Indonesia"/>
        <s v="M 8.1 - east of the Kuril Islands"/>
        <s v="M 6.9 - 26 km W of Hengchun, Taiwan"/>
        <s v="M 7.1 - 30 km SW of Hengchun, Taiwan"/>
        <s v="M 8.3 - Kuril Islands"/>
        <s v="M 6.6 - 155 km SE of Kimbe, Papua New Guinea"/>
        <s v="M 6.7 - 52 km SW of San Vicente de Cañete, Peru"/>
        <s v="M 6.7 - 100 km ESE of Kimbe, Papua New Guinea"/>
        <s v="M 6.7 - 14 km SW of Puako, Hawaii"/>
        <s v="M 6.9 - 201 km ESE of Hihifo, Tonga"/>
        <s v="M 6.8 - 49 km S of Panguna, Papua New Guinea"/>
        <s v="M 6.5 - 81 km ESE of Ozernovskiy, Russia"/>
        <s v="M 6.8 - 51 km NE of Norsup, Vanuatu"/>
        <s v="M 7.7 - 226 km SSW of Singaparna, Indonesia"/>
        <s v="M 6.5 - 111 km E of Kimbe, Papua New Guinea"/>
        <s v="M 6.6 - 42 km NNW of Tilichiki, Russia"/>
        <s v="M 6.8 - 256 km SSW of Singkil, Indonesia"/>
        <s v="M 8.0 - 47 km SSE of Pangai, Tonga"/>
        <s v="M 8.0 - 50 km ESE of Pangai, Tonga"/>
        <s v="M 6.5 - 73 km WNW of Copiapó, Chile"/>
        <s v="M 6.7 - 78 km WNW of Copiapó, Chile"/>
        <s v="M 6.6 - 80 km E of Tilichiki, Russia"/>
        <s v="M 7.6 - 80 km NE of Tilichiki, Russia"/>
        <s v="M 6.5 - 130 km NNW of Lautoka, Fiji"/>
        <s v="M 6.7 - 108 km W of Ambon, Indonesia"/>
        <s v="M 7.0 - 160 km SE of Chipinge, Zimbabwe"/>
        <s v="M 6.7 - 26 km NE of Kýthira, Greece"/>
        <s v="M 6.6 - 75 km SSW of Bahía de Kino, Mexico"/>
        <s v="M 6.5 - 53 km SW of Ashk?sham, Afghanistan"/>
        <s v="M 6.8 - 76 km ESE of Kalemie, Democratic Republic of the Congo"/>
        <s v="M 6.5 - 80 km ESE of Ishinomaki, Japan"/>
        <s v="M 6.5 - 57 km SE of Sinabang, Indonesia"/>
        <s v="M 6.8 - 68 km NNE of San Pedro de Atacama, Chile"/>
        <s v="M 7.6 - 21 km NNE of Muzaffar?b?d, Pakistan"/>
        <s v="M 6.6 - 129 km SSW of Kokopo, Papua New Guinea"/>
        <s v="M 7.5 - 39 km NW of Yurimaguas, Peru"/>
        <s v="M 7.6 - 135 km E of Kokopo, Papua New Guinea"/>
        <s v="M 7.2 - 66 km ESE of Ishinomaki, Japan"/>
        <s v="M 7.2 - Nicobar Islands, India region"/>
        <s v="M 6.7 - 94 km WSW of Singkil, Indonesia"/>
        <s v="M 6.6 - 32 km W of San Juan del Sur, Nicaragua"/>
        <s v="M 7.2 - 153 km W of Big Lagoon, California"/>
        <s v="M 7.8 - 102 km ENE of Iquique, Chile"/>
        <s v="M 6.9 - 89 km WSW of Singkil, Indonesia"/>
        <s v="M 6.7 - 125 km SW of Padangsidempuan, Indonesia"/>
        <s v="M 6.5 - 106 km SW of Padang, Indonesia"/>
        <s v="M 6.7 - 113 km SW of Padang, Indonesia"/>
        <s v="M 8.6 - 78 km WSW of Singkil, Indonesia"/>
        <s v="M 6.6 - 28 km NNW of Maebaru-ch??, Japan"/>
        <s v="M 6.8 - 99 km WNW of Sinabang, Indonesia"/>
        <s v="M 6.5 - 81 km SSW of Katabu, Indonesia"/>
        <s v="M 6.5 - Pulau-Pulau Talaud, Indonesia"/>
        <s v="M 6.7 - 52 km SW of Sola, Vanuatu"/>
        <s v="M 7.1 - 138 km SW of Palimbang, Philippines"/>
        <s v="M 6.6 - 161 km SE of Katsuura, Japan"/>
        <s v="M 7.2 - 284 km WNW of Sabang, Indonesia"/>
        <s v="M 9.1 - 2004 Sumatra - Andaman Islands Earthquake"/>
        <s v="M 8.1 - north of Macquarie Island"/>
        <s v="M 6.8 - 36 km S of George Town, Cayman Islands"/>
        <s v="M 6.8 - 54 km SSW of Nemuro, Japan"/>
        <s v="M 7.0 - 51 km SW of Nemuro, Japan"/>
        <s v="M 7.1 - 29 km SSW of Nabire, Indonesia"/>
        <s v="M 7.1 - 255 km W of Riverton, New Zealand"/>
        <s v="M 7.2 - 32 km SSW of Pizarro, Colombia"/>
        <s v="M 7.5 - 63 km NW of Maubara, Timor Leste"/>
        <s v="M 6.7 - 80 km SSE of Kirakira, Solomon Islands"/>
        <s v="M 6.7 - 189 km SW of Port McNeill, Canada"/>
        <s v="M 6.6 - 8 km SSW of Ojiya, Japan"/>
        <s v="M 6.7 - 31 km WNW of Yonakuni, Japan"/>
        <s v="M 7.0 - 43 km SSW of Masachapa, Nicaragua"/>
        <s v="M 6.5 - 9 km W of Talisay, Philippines"/>
        <s v="M 6.8 - 60 km SSE of Kirakira, Solomon Islands"/>
        <s v="M 6.6 - 129 km ESE of Shing?, Japan"/>
        <s v="M 7.4 - 118 km ESE of Shing?, Japan"/>
        <s v="M 7.2 - 94 km SE of Shing?, Japan"/>
        <s v="M 6.5 - 67 km ESE of Teno, Chile"/>
        <s v="M 6.5 - 117 km WNW of Manokwari, Indonesia"/>
        <s v="M 6.9 - 24 km ENE of Atlasovo, Russia"/>
        <s v="M 6.6 - 11 km N of Cañete, Chile"/>
        <s v="M 6.7 - 105 km WNW of Naisano Dua, Indonesia"/>
        <s v="M 6.5 - 86 km NNW of Sola, Vanuatu"/>
        <s v="M 6.6 - Afghanistan-Tajikistan-Pakistan region"/>
        <s v="M 6.7 - 38 km SSW of Nabire, Indonesia"/>
        <s v="M 7.3 - Near the south coast of Papua, Indonesia"/>
        <s v="M 7.0 - 28 km S of Nabire, Indonesia"/>
        <s v="M 6.7 - 107 km NW of Ambon, Indonesia"/>
        <s v="M 7.3 - 201 km ESE of Tadine, New Caledonia"/>
        <s v="M 6.6 - 13 km SSW of Bam, Iran"/>
        <s v="M 6.5 - 3 km SSE of Progreso, Panama"/>
        <s v="M 6.5 - 10 km NE of San Simeon, California"/>
        <s v="M 6.8 - 92 km E of Yujing, Taiwan"/>
        <s v="M 6.6 - 82 km E of Kimbe, Papua New Guinea"/>
        <s v="M 6.5 - 4 km NW of Can-Avid, Philippines"/>
        <s v="M 6.6 - 51 km NW of Isangel, Vanuatu"/>
        <s v="M 7.0 - 133 km ESE of Ishinomaki, Japan"/>
        <s v="M 6.7 - 39 km SSE of Kushiro, Japan"/>
        <s v="M 6.7 - 9 km S of Aktash, Russia"/>
        <s v="M 6.5 - 58 km S of Kushiro, Japan"/>
        <s v="M 7.3 - 29 km S of Aktash, Russia"/>
        <s v="M 7.4 - 119 km ESE of Shizunai-furukawach?, Japan"/>
        <s v="M 8.2 - 134 km SSW of Kushiro, Japan"/>
        <s v="M 6.6 - 16 km SE of Taungdwingyi, Myanmar"/>
        <s v="M 7.2 - 56 km NW of Te Anau, New Zealand"/>
        <s v="M 7.6 - Scotia Sea"/>
        <s v="M 6.5 - 41 km N of Rabaul, Papua New Guinea"/>
        <s v="M 6.8 - 42 km W of Ovalle, Chile"/>
        <s v="M 6.9 - 25 km ESE of Atlasovo, Russia"/>
        <s v="M 6.6 - 87 km SSE of Kokopo, Papua New Guinea"/>
        <s v="M 7.0 - 116 km NE of Tobelo, Indonesia"/>
        <s v="M 7.0 - 27 km SSW of ?funato, Japan"/>
        <s v="M 6.8 - 25 km WNW of Dellys, Algeria"/>
        <s v="M 6.5 - 46 km NE of Ruteng, Indonesia"/>
        <s v="M 6.8 - 114 km ESE of Kokopo, Papua New Guinea"/>
        <s v="M 7.6 - 16 km SSW of Cuyutlán, Mexico"/>
        <s v="M 6.5 - 33 km S of Puerto San José, Guatemala"/>
        <s v="M 7.3 - 126 km W of Kirakira, Solomon Islands"/>
        <s v="M 6.7 - 191 km SE of Kokopo, Papua New Guinea"/>
        <s v="M 6.7 - New Ireland region, Papua New Guinea"/>
        <s v="M 7.9 - 75 km E of Cantwell, Alaska"/>
        <s v="M 7.4 - 50 km NW of Sinabang, Indonesia"/>
        <s v="M 6.6 - 53 km ENE of Cantwell, Alaska"/>
        <s v="M 6.7 - 72 km S of Manokwari, Indonesia"/>
        <s v="M 7.6 - 102 km SSE of Manokwari, Indonesia"/>
        <s v="M 6.5 - 152 km NNE of Bamboo Flat, India"/>
        <s v="M 7.6 - 68 km ESE of Aitape, Papua New Guinea"/>
        <s v="M 6.5 - 114 km SSE of San Jose Village, Northern Mariana Islands"/>
        <s v="M 6.5 - 14 km SE of Punta de Burica, Panama"/>
        <s v="M 6.5 - 59 km SSW of Abhar, Iran"/>
        <s v="M 6.6 - 20 km SW of Monte Patria, Chile"/>
        <s v="M 6.7 - 190 km NW of Sola, Vanuatu"/>
        <s v="M 7.1 - 20 km SSW of Merizo Village, Guam"/>
        <s v="M 6.7 - 31 km SW of Copiapó, Chile"/>
        <s v="M 6.8 - 27 km SSW of Nuxco, Mexico"/>
        <s v="M 7.1 - 67 km ENE of Hualien City, Taiwan"/>
        <s v="M 6.5 - 107 km NE of Calama, Chile"/>
        <s v="M 7.5 - Mindanao, Philippines"/>
        <s v="M 7.4 - 51 km SW of Jurm, Afghanistan"/>
        <s v="M 6.6 - 125 km E of Kimbe, Papua New Guinea"/>
        <s v="M 6.5 - 5 km NE of Sultanda??, Turkey"/>
        <s v="M 6.7 - 11 km SE of Aitape, Papua New Guinea"/>
        <s v="M 6.6 - 33 km WNW of Port-Vila, Vanuatu"/>
        <s v="M 7.2 - 50 km WNW of Port-Vila, Vanuatu"/>
        <s v="M 6.8 - 22 km WNW of Malango, Solomon Islands"/>
        <s v="M 6.8 - 62 km SSW of Yonakuni, Japan"/>
        <s v="M 6.5 - 3 km NW of Hanamaki, Japan"/>
        <s v="M 7.8 - Southern Qinghai, China"/>
        <s v="M 7.0 - 40 km S of Kimbe, Papua New Guinea"/>
        <s v="M 7.5 - 155 km E of Kendari, Indonesia"/>
        <s v="M 7.0 - 69 km SSE of Inarajan Village, Guam"/>
        <s v="M 6.5 - 108 km WNW of Manokwari, Indonesia"/>
        <s v="M 6.6 - 74 km S of Kokhanok, Alaska"/>
        <s v="M 6.5 - 32 km WNW of Skýros, Greece"/>
        <s v="M 7.6 - 51 km SW of Punta de Bombón, Peru"/>
        <s v="M 6.6 - 31 km S of Achanizo, Peru"/>
        <s v="M 6.7 - 34 km WSW of Pacocha, Peru"/>
        <s v="M 8.4 - 6 km SSW of Atico, Peru"/>
        <s v="M 6.7 - 128 km SSE of Panguna, Papua New Guinea"/>
        <s v="M 6.8 - 16 km SSW of Kure, Japan"/>
        <s v="M 6.5 - 41 km SSW of Ambon, Indonesia"/>
        <s v="M 6.8 - 7 km SSE of Longbranch, Washington"/>
        <s v="M 7.1 - 137 km WNW of Ternate, Indonesia"/>
        <s v="M 7.4 - 102 km SSE of Bengkulu, Indonesia"/>
        <s v="M 6.6 - 5 km S of Cojutepeque, El Salvador"/>
        <s v="M 7.7 - 17 km NW of Bhach?u, India"/>
        <s v="M 6.9 - 59 km WSW of Bengkulu, Indonesia"/>
        <s v="M 7.7 - 28 km SSW of Puerto El Triunfo, El Salvador"/>
        <s v="M 6.9 - 47 km S of Old Harbor, Alaska"/>
        <s v="M 7.1 - 16 km NE of Port-Olry, Vanuatu"/>
        <s v="M 6.8 - Mindanao, Philippines"/>
        <s v="M 7.5 - 21 km SE of Lukatan, Philippines"/>
        <s v="M 6.5 - 52 km ENE of Kokopo, Papua New Guinea"/>
        <s v="M 7.0 - 37 km E of Balkanabat, Turkmenistan"/>
        <s v="M 6.5 - 23 km SSE of Badamdar, Azerbaijan"/>
        <s v="M 6.8 - 15 km SSE of Baku, Azerbaijan"/>
        <s v="M 6.8 - 112 km SSW of Kokopo, Papua New Guinea"/>
        <s v="M 6.6 - 131 km SE of Kokopo, Papua New Guinea"/>
        <s v="M 7.8 - 138 km SSW of Kokopo, Papua New Guinea"/>
        <s v="M 6.5 - 118 km ESE of Kokopo, Papua New Guinea"/>
        <s v="M 7.8 - 135 km SE of Kokopo, Papua New Guinea"/>
        <s v="M 8.0 - 24 km N of Rabaul, Papua New Guinea"/>
        <s v="M 6.5 - 10 km SW of Juradó, Colombia"/>
        <s v="M 7.0 - 191 km ESE of Kokopo, Papua New Guinea"/>
        <s v="M 6.8 - 29 km SW of Labuan, Indonesia"/>
        <s v="M 6.7 - 8 km ESE of Matsue, Japan"/>
        <s v="M 7.0 - 29 km WNW of Luganville, Vanuatu"/>
        <s v="M 6.5 - 15 km W of Nkove, Tanzania"/>
        <s v="M 6.8 - 98 km WSW of Ambon, Indonesia"/>
        <s v="M 6.5 - 24 km NNW of El Habillal, Mexico"/>
        <s v="M 6.8 - 35 km SSE of Uglegorsk, Russia"/>
        <s v="M 6.6 - 161 km SSE of Lata, Solomon Islands"/>
        <s v="M 6.5 - 94 km SSE of Shimoda, Japan"/>
        <s v="M 6.6 - 227 km SE of Kandrian, Papua New Guinea"/>
        <s v="M 6.5 - 24 km SSW of Larsen Bay, Alaska"/>
        <s v="M 6.5 - 12 km ENE of Selfoss, Iceland"/>
        <s v="M 7.9 - South Indian Ocean"/>
        <s v="M 6.5 - 25 km E of Selfoss, Iceland"/>
        <s v="M 6.7 - 98 km SSW of Bengkulu, Indonesia"/>
        <s v="M 6.7 - 95 km S of Bengkulu, Indonesia"/>
        <s v="M 7.9 - 103 km S of Bengkulu, Indonesia"/>
        <s v="M 7.2 - 75 km N of San Antonio de los Cobres, Argentina"/>
        <s v="M 7.6 - 89 km E of Luwuk, Indonesia"/>
        <s v="M 6.6 - 62 km SSW of Ialibu, Papua New Guinea"/>
        <s v="M 6.6 - 87 km ESE of Kimbe, Papua New Guinea"/>
        <s v="M 6.8 - 84 km S of Shikotan, Russia"/>
        <s v="M 7.2 - 117 km SSW of Hihifo, Tonga"/>
        <s v="M 6.9 - 50 km WSW of Lata, Solomon Islands"/>
        <s v="M 6.5 - 59 km SSW of Labuan, Indonesia"/>
        <s v="M 7.3 - 14 km WNW of Bolitoc, Philippines"/>
        <s v="M 7.0 - 26 km SSE of Karluk, Alaska"/>
        <s v="M 6.6 - 127 km ESE of Arica, Chile"/>
        <s v="M 7.5 - 92 km ESE of Lakatoro, Vanuatu"/>
        <s v="M 7.0 - 88 km W of Kandrian, Papua New Guinea"/>
        <s v="M 6.9 - 84 km WNW of Kandrian, Papua New Guinea"/>
        <s v="M 7.2 - 8 km S of Düzce, Turkey"/>
        <s v="M 6.5 - 31 km SW of Ashk?sham, Afghanistan"/>
        <s v="M 7.1 - Hector Mine, CA Earthquake"/>
        <s v="M 7.5 - 15 km W of San Baltazar Loxicha, Mexico"/>
        <s v="M 6.5 - 31 km SE of Puli, Taiwan"/>
        <s v="M 7.7 - 21 km S of Puli, Taiwan"/>
        <s v="M 6.6 - 66 km E of Lakatoro, Vanuatu"/>
        <s v="M 6.9 - 42 km S of Quepos, Costa Rica"/>
        <s v="M 7.6 - 4 km ESE of Derince, Turkey"/>
        <s v="M 6.7 - 16 km N of Potrerillos, Honduras"/>
        <s v="M 7.0 - 1 km SE of Texcala, Mexico"/>
        <s v="M 6.6 - 113 km SE of Kokopo, Papua New Guinea"/>
        <s v="M 7.1 - 51 km SSE of Kokopo, Papua New Guinea"/>
        <s v="M 7.1 - 92 km ENE of Kimbe, Papua New Guinea"/>
        <s v="M 6.8 - 132 km WSW of Haveluloto, Tonga"/>
        <s v="M 7.4 - 63 km W of Kimbe, Papua New Guinea"/>
        <s v="M 6.8 - 6 km SE of Camaná, Peru"/>
        <s v="M 6.6 - 9 km NNW of P?palkoti, India"/>
        <s v="M 6.9 - 78 km WSW of Adak, Alaska"/>
        <s v="M 6.9 - 123 km SE of Vilyuchinsk, Russia"/>
        <s v="M 7.1 - 69 km S of Tabiauan, Philippines"/>
        <s v="M 6.6 - 110 km SSE of K?h Sef?d, Iran"/>
        <s v="M 7.3 - 146 km NW of Sola, Vanuatu"/>
        <s v="M 6.6 - 18 km WSW of Nikolski, Alaska"/>
        <s v="M 7.0 - 110 km ESE of Kokopo, Papua New Guinea"/>
        <s v="M 6.8 - 131 km WSW of Haveluloto, Tonga"/>
        <s v="M 7.7 - 264 km ESE of Luwuk, Indonesia"/>
        <s v="M 7.0 - 278 km NE of Lospalos, Timor Leste"/>
        <s v="M 6.7 - 282 km NE of Lospalos, Timor Leste"/>
        <s v="M 6.6 - 8 km WSW of Sumberpucung, Indonesia"/>
        <s v="M 6.6 - 66 km NNW of Coquimbo, Chile"/>
        <s v="M 6.8 - 123 km SSE of Pondaguitan, Philippines"/>
        <s v="M 7.2 - 3 km E of Bahía de Caráquez, Ecuador"/>
        <s v="M 6.7 - 192 km W of Abepura, Indonesia"/>
        <s v="M 7.0 - 50 km WNW of Aitape, Papua New Guinea"/>
        <s v="M 7.0 - 52 km SE of Lata, Solomon Islands"/>
        <s v="M 6.6 - 24 km E of Rust?q, Afghanistan"/>
        <s v="M 6.6 - 25 km NNW of Mizque, Bolivia"/>
        <s v="M 6.7 - 127 km NNW of Palu, Indonesia"/>
        <s v="M 6.6 - 108 km SW of Kokopo, Papua New Guinea"/>
        <s v="M 7.5 - 254 km SSE of Ishigaki, Japan"/>
        <s v="M 6.6 - 43 km NE of San Fernando, Peru"/>
        <s v="M 7.0 - 95 km W of Pariaman, Indonesia"/>
        <s v="M 6.6 - 52 km ESE of Kerman, Iran"/>
        <s v="M 7.1 - 34 km SSE of Antofagasta, Chile"/>
        <s v="M 6.7 - 149 km ENE of Labasa, Fiji"/>
        <s v="M 6.6 - 47 km SSW of Ovalle, Chile"/>
        <s v="M 6.6 - 10 km SSW of San José El Ídolo, Guatemala"/>
        <s v="M 7.2 - 117 km N of Finschhafen, Papua New Guinea"/>
        <s v="M 7.8 - 156 km S of Ust’-Kamchatsk Staryy, Russia"/>
        <s v="M 7.0 - 97 km NW of Gorontalo, Indonesia"/>
        <s v="M 6.6 - 22 km SW of Lithakiá, Greece"/>
        <s v="M 7.0 - 34 km ESE of Port-Olry, Vanuatu"/>
        <s v="M 6.5 - 13 km NNE of San Sebastián, El Salvador"/>
        <s v="M 7.5 - western Xizang"/>
        <s v="M 7.2 - 51 km N of Barranca, Peru"/>
        <s v="M 7.1 - 36 km SW of Monte Patria, Chile"/>
        <s v="M 7.8 - 192 km WSW of Haveluloto, Tonga"/>
        <s v="M 6.5 - 18 km E of Talisay, Philippines"/>
        <s v="M 6.8 - 24 km SW of Roncesvalles, Colombia"/>
        <s v="M 6.6 - 64 km NNE of Angoram, Papua New Guinea"/>
        <s v="M 6.9 - 4 km ENE of El Ciruelo, Mexico"/>
        <s v="M 7.0 - 26 km WSW of Carúpano, Venezuela"/>
        <s v="M 6.8 - 52 km WSW of Coquimbo, Chile"/>
        <s v="M 6.5 - 5 km ENE of Churumuco de Morelos, Mexico"/>
        <s v="M 6.8 - 99 km S of Isangel, Vanuatu"/>
        <s v="M 6.5 - 51 km S of Jurm, Afghanistan"/>
        <s v="M 7.3 - 58 km E of Q?’en, Iran"/>
        <s v="M 6.5 - 49 km N of Yigo Village, Guam"/>
        <s v="M 6.7 - 18 km WSW of Scarborough, Trinidad and Tobago"/>
        <s v="M 7.7 - 171 km NNW of Sola, Vanuatu"/>
        <s v="M 6.5 - 49 km W of Finschhafen, Papua New Guinea"/>
        <s v="M 6.9 - 121 km E of Kinablangan, Philippines"/>
        <s v="M 7.1 - 29 km ESE of Harnai, Pakistan"/>
        <s v="M 6.5 - Turkmenistan-Iran border region"/>
        <s v="M 7.2 - 46 km WNW of El Habillal, Mexico"/>
        <s v="M 6.5 - 131 km W of Iwanai, Japan"/>
        <s v="M 6.7 - 17 km SW of Miyazaki, Japan"/>
        <s v="M 6.9 - 130 km ENE of Thang, India"/>
        <s v="M 7.7 - 60 km SW of Changuillo, Peru"/>
        <s v="M 6.7 - 5 km SE of Miyazaki, Japan"/>
        <s v="M 6.6 - 20 km SSE of Nishinoomote, Japan"/>
        <s v="M 6.8 - 90 km S of Panguna, Papua New Guinea"/>
        <s v="M 6.8 - 36 km SW of Paphos, Cyprus"/>
        <s v="M 6.6 - 24 km NE of Cortes, Philippines"/>
        <s v="M 6.6 - 22 km NNE of Cortes, Philippines"/>
        <s v="M 6.8 - 78 km E of Hengchun, Taiwan"/>
        <s v="M 6.9 - 62 km WSW of Kirakira, Solomon Islands"/>
        <s v="M 7.0 - 220 km NNE of Palu, Indonesia"/>
        <s v="M 6.6 - 217 km NNE of Palu, Indonesia"/>
        <s v="M 6.8 - 26 km NNE of Coyuquilla Norte, Mexico"/>
        <s v="M 7.9 - 169 km NNE of Maumere, Indonesia"/>
        <s v="M 7.1 - 8 km NNE of Palapag, Philippines"/>
        <s v="M 7.3 - 46 km SSW of Adak, Alaska"/>
        <s v="M 7.9 - 77 km WSW of Adak, Alaska"/>
        <s v="M 6.7 - 63 km NW of Sola, Vanuatu"/>
        <s v="M 7.2 - 58 km WSW of Panguna, Papua New Guinea"/>
        <s v="M 6.6 - 44 km SE of Antofagasta, Chile"/>
        <s v="M 6.7 - 44 km NNE of Port-Olry, Vanuatu"/>
        <s v="M 6.7 - 30 km WSW of Villa El Carmen, Nicaragua"/>
        <s v="M 6.6 - 39 km WSW of Masachapa, Nicaragua"/>
        <s v="M 7.1 - 24 km SSW of Santa María Chico Ometepec, Mexico"/>
        <s v="M 7.5 - 123 km WSW of Puerto Santa, Peru"/>
        <s v="M 6.5 - 32 km NNE of Biak, Indonesia"/>
        <s v="M 6.5 - 67 km NNW of Insrom, Indonesia"/>
        <s v="M 8.1 - 101 km ENE of Biak, Indonesia"/>
        <s v="M 6.7 - 123 km E of Namie, Japan"/>
        <s v="M 7.2 - 158 km E of Kuril’sk, Russia"/>
        <s v="M 6.6 - 47 km N of Lijiang, China"/>
        <s v="M 6.6 - 106 km NE of Yelizovo, Russia"/>
        <s v="M 7.9 - 181 km N of Palu, Indonesia"/>
        <s v="M 7.1 - 297 km NE of Lospalos, Timor Leste"/>
        <s v="M 6.5 - 130 km SSW of Abepura, Indonesia"/>
        <s v="M 7.9 - 128 km ESE of Kuril’sk, Russia"/>
        <s v="M 7.2 - 27 km SSE of Nuwaybi‘a, Egypt"/>
        <s v="M 6.7 - 73 km WSW of Vallenar, Chile"/>
        <s v="M 7.2 - 13 km NW of Ocozocoautla de Espinosa, Mexico"/>
        <s v="M 6.8 - 71 km ESE of Naze, Japan"/>
        <s v="M 7.1 - 83 km SE of Naze, Japan"/>
        <s v="M 8.0 - 5 km E of El Colomo, Mexico"/>
        <s v="M 6.8 - 5 km ENE of Sungai Penuh, Indonesia"/>
        <s v="M 6.5 - 50 km SE of Sucúa, Ecuador"/>
        <s v="M 7.0 - 45 km SE of Sucúa, Ecuador"/>
        <s v="M 6.5 - 81 km W of Paramonga, Peru"/>
        <s v="M 7.4 - 5 km N of Azoyú, Mexico"/>
        <s v="M 6.6 - 95 km SW of Etchoropo, Mexico"/>
        <s v="M 6.6 - 7 km WSW of Neira, Colombia"/>
        <s v="M 7.2 - 139 km WNW of Panguna, Papua New Guinea"/>
        <s v="M 6.6 - 205 km SE of Kokopo, Papua New Guinea"/>
        <s v="M 7.7 - 155 km WNW of Panguna, Papua New Guinea"/>
        <s v="M 6.7 - 99 km WSW of Kokopo, Papua New Guinea"/>
        <s v="M 8.0 - 36 km NNE of Antofagasta, Chile"/>
        <s v="M 6.8 - 158 km W of Jinghong, China"/>
        <s v="M 6.6 - 0 km ESE of Isangel, Vanuatu"/>
        <s v="M 6.5 - 8 km WNW of Galaxídhion, Greece"/>
        <s v="M 7.1 - 85 km S of Tungor, Russia"/>
        <s v="M 7.7 - 249 km E of Vao, New Caledonia"/>
        <s v="M 6.9 - 27 km NNW of Maubara, Timor Leste"/>
        <s v="M 6.6 - 10 km W of Aianí, Greece"/>
        <s v="M 7.1 - 14 km NE of Cabatuan, Philippines"/>
      </sharedItems>
    </cacheField>
    <cacheField name="magnitude" numFmtId="0">
      <sharedItems containsSemiMixedTypes="0" containsString="0" containsNumber="1">
        <n v="6.5"/>
        <n v="6.6"/>
        <n v="7.2"/>
        <n v="7.3"/>
        <n v="6.9"/>
        <n v="7.1"/>
        <n v="7.7"/>
        <n v="7.6"/>
        <n v="6.7"/>
        <n v="7.0"/>
        <n v="6.8"/>
        <n v="7.5"/>
        <n v="7.8"/>
        <n v="8.1"/>
        <n v="8.2"/>
        <n v="7.4"/>
        <n v="8.0"/>
        <n v="7.9"/>
        <n v="8.3"/>
        <n v="8.6"/>
        <n v="9.1"/>
        <n v="8.8"/>
        <n v="8.4"/>
        <n v="8.16"/>
        <n v="8.09"/>
      </sharedItems>
    </cacheField>
    <cacheField name="date_time" numFmtId="164">
      <sharedItems containsSemiMixedTypes="0" containsNonDate="0" containsDate="1" containsString="0">
        <d v="2023-08-16T12:47:00Z"/>
        <d v="2023-07-19T00:22:00Z"/>
        <d v="2023-07-17T03:05:00Z"/>
        <d v="2023-07-16T06:48:00Z"/>
        <d v="2023-07-10T20:28:00Z"/>
        <d v="2023-07-02T10:27:00Z"/>
        <d v="2023-06-15T18:06:00Z"/>
        <d v="2023-05-25T03:05:00Z"/>
        <d v="2023-05-20T01:51:00Z"/>
        <d v="2023-05-19T02:57:00Z"/>
        <d v="2023-05-10T16:02:00Z"/>
        <d v="2023-04-28T03:13:00Z"/>
        <d v="2023-04-24T20:00:00Z"/>
        <d v="2023-04-24T00:41:00Z"/>
        <d v="2023-04-18T04:31:00Z"/>
        <d v="2023-04-14T09:55:00Z"/>
        <d v="2023-04-03T03:06:00Z"/>
        <d v="2023-04-02T18:04:00Z"/>
        <d v="2023-03-22T16:00:00Z"/>
        <d v="2023-03-21T16:47:00Z"/>
        <d v="2023-03-18T17:12:00Z"/>
        <d v="2023-03-16T00:56:00Z"/>
        <d v="2023-03-04T06:41:00Z"/>
        <d v="2023-03-02T18:04:00Z"/>
        <d v="2023-03-01T05:36:00Z"/>
        <d v="2023-02-23T00:37:00Z"/>
        <d v="2023-02-06T10:24:00Z"/>
        <d v="2023-02-06T01:28:00Z"/>
        <d v="2023-02-06T01:17:00Z"/>
        <d v="2023-01-20T22:09:00Z"/>
        <d v="2023-01-18T06:06:00Z"/>
        <d v="2023-01-09T17:47:00Z"/>
        <d v="2023-01-08T12:32:00Z"/>
        <d v="2022-12-04T19:24:00Z"/>
        <d v="2022-11-22T02:03:00Z"/>
        <d v="2022-11-18T13:37:00Z"/>
        <d v="2022-11-12T07:09:00Z"/>
        <d v="2022-11-11T10:48:00Z"/>
        <d v="2022-11-09T10:14:00Z"/>
        <d v="2022-11-09T09:51:00Z"/>
        <d v="2022-11-09T09:38:00Z"/>
        <d v="2022-10-20T11:57:00Z"/>
        <d v="2022-09-22T06:16:00Z"/>
        <d v="2022-09-19T18:05:00Z"/>
        <d v="2022-09-18T06:44:00Z"/>
        <d v="2022-09-17T13:41:00Z"/>
        <d v="2022-09-14T11:04:00Z"/>
        <d v="2022-09-10T23:47:00Z"/>
        <d v="2022-09-05T04:52:00Z"/>
        <d v="2022-08-14T13:44:00Z"/>
        <d v="2022-07-27T00:43:00Z"/>
        <d v="2022-06-08T00:55:00Z"/>
        <d v="2022-05-26T12:02:00Z"/>
        <d v="2022-05-19T10:13:00Z"/>
        <d v="2022-05-10T23:06:00Z"/>
        <d v="2022-04-21T07:42:00Z"/>
        <d v="2022-03-31T05:44:00Z"/>
        <d v="2022-03-30T20:56:00Z"/>
        <d v="2022-03-22T17:41:00Z"/>
        <d v="2022-03-16T14:36:00Z"/>
        <d v="2022-03-13T21:09:00Z"/>
        <d v="2022-03-02T12:52:00Z"/>
        <d v="2022-02-16T20:21:00Z"/>
        <d v="2022-02-03T15:58:00Z"/>
        <d v="2022-01-29T02:46:00Z"/>
        <d v="2022-01-14T09:05:00Z"/>
        <d v="2022-01-11T12:39:00Z"/>
        <d v="2022-01-11T11:35:00Z"/>
        <d v="2022-01-11T01:07:00Z"/>
        <d v="2022-01-07T17:45:00Z"/>
        <d v="2021-12-29T18:25:00Z"/>
        <d v="2021-12-14T03:20:00Z"/>
        <d v="2021-11-28T10:52:00Z"/>
        <d v="2021-11-10T15:45:00Z"/>
        <d v="2021-10-11T09:10:00Z"/>
        <d v="2021-10-09T10:58:00Z"/>
        <d v="2021-10-02T06:29:00Z"/>
        <d v="2021-09-22T09:57:00Z"/>
        <d v="2021-09-08T01:47:00Z"/>
        <d v="2021-08-22T21:33:00Z"/>
        <d v="2021-08-22T00:45:00Z"/>
        <d v="2021-08-18T10:10:00Z"/>
        <d v="2021-08-16T11:10:00Z"/>
        <d v="2021-08-14T12:29:00Z"/>
        <d v="2021-08-14T11:57:00Z"/>
        <d v="2021-08-12T18:35:00Z"/>
        <d v="2021-08-12T18:32:00Z"/>
        <d v="2021-08-11T17:46:00Z"/>
        <d v="2021-07-29T06:15:00Z"/>
        <d v="2021-07-23T20:48:00Z"/>
        <d v="2021-07-21T21:15:00Z"/>
        <d v="2021-06-20T17:05:00Z"/>
        <d v="2021-05-21T22:13:00Z"/>
        <d v="2021-05-21T18:04:00Z"/>
        <d v="2021-05-14T06:33:00Z"/>
        <d v="2021-05-12T14:05:00Z"/>
        <d v="2021-05-01T01:27:00Z"/>
        <d v="2021-04-25T22:28:00Z"/>
        <d v="2021-04-24T00:23:00Z"/>
        <d v="2021-03-20T09:09:00Z"/>
        <d v="2021-03-16T18:38:00Z"/>
        <d v="2021-03-04T23:12:00Z"/>
        <d v="2021-03-04T19:28:00Z"/>
        <d v="2021-03-04T17:41:00Z"/>
        <d v="2021-03-04T13:27:00Z"/>
        <d v="2021-02-13T14:07:00Z"/>
        <d v="2021-02-10T13:19:00Z"/>
        <d v="2021-01-23T23:36:00Z"/>
        <d v="2021-01-21T12:23:00Z"/>
        <d v="2021-01-11T21:32:00Z"/>
        <d v="2020-12-27T21:39:00Z"/>
        <d v="2020-10-30T11:51:00Z"/>
        <d v="2020-10-19T20:54:00Z"/>
        <d v="2020-09-18T21:43:00Z"/>
        <d v="2020-09-01T21:09:00Z"/>
        <d v="2020-09-01T04:09:00Z"/>
        <d v="2020-08-30T21:20:00Z"/>
        <d v="2020-08-21T04:09:00Z"/>
        <d v="2020-08-18T22:29:00Z"/>
        <d v="2020-08-18T22:23:00Z"/>
        <d v="2020-08-18T00:03:00Z"/>
        <d v="2020-07-22T06:12:00Z"/>
        <d v="2020-07-17T02:50:00Z"/>
        <d v="2020-07-06T22:54:00Z"/>
        <d v="2020-06-23T15:29:00Z"/>
        <d v="2020-06-18T12:49:00Z"/>
        <d v="2020-06-13T15:51:00Z"/>
        <d v="2020-06-03T07:35:00Z"/>
        <d v="2020-05-15T11:03:00Z"/>
        <d v="2020-05-12T22:41:00Z"/>
        <d v="2020-05-06T13:53:00Z"/>
        <d v="2020-05-02T12:51:00Z"/>
        <d v="2020-03-31T23:52:00Z"/>
        <d v="2020-03-25T02:49:00Z"/>
        <d v="2020-02-13T10:33:00Z"/>
        <d v="2020-01-28T19:10:00Z"/>
        <d v="2020-01-24T17:55:00Z"/>
        <d v="2019-12-15T06:11:00Z"/>
        <d v="2019-11-14T16:17:00Z"/>
        <d v="2019-11-08T10:44:00Z"/>
        <d v="2019-11-04T22:43:00Z"/>
        <d v="2019-10-31T01:11:00Z"/>
        <d v="2019-10-29T01:04:00Z"/>
        <d v="2019-09-29T15:57:00Z"/>
        <d v="2019-09-25T23:46:00Z"/>
        <d v="2019-09-01T15:54:00Z"/>
        <d v="2019-08-27T23:55:00Z"/>
        <d v="2019-08-02T12:03:00Z"/>
        <d v="2019-08-01T18:28:00Z"/>
        <d v="2019-07-31T15:02:00Z"/>
        <d v="2019-07-14T09:10:00Z"/>
        <d v="2019-07-14T05:39:00Z"/>
        <d v="2019-07-07T15:08:00Z"/>
        <d v="2019-07-06T03:19:00Z"/>
        <d v="2019-06-24T02:53:00Z"/>
        <d v="2019-06-15T22:55:00Z"/>
        <d v="2019-05-30T09:03:00Z"/>
        <d v="2019-05-26T07:41:00Z"/>
        <d v="2019-05-14T12:58:00Z"/>
        <d v="2019-05-06T21:19:00Z"/>
        <d v="2019-04-12T11:40:00Z"/>
        <d v="2019-04-09T17:53:00Z"/>
        <d v="2019-03-01T08:50:00Z"/>
        <d v="2019-02-22T10:17:00Z"/>
        <d v="2019-02-01T16:14:00Z"/>
        <d v="2019-01-22T19:01:00Z"/>
        <d v="2019-01-20T01:32:00Z"/>
        <d v="2019-01-15T18:06:00Z"/>
        <d v="2019-01-06T17:27:00Z"/>
        <d v="2019-01-05T19:25:00Z"/>
        <d v="2018-12-29T03:39:00Z"/>
        <d v="2018-12-20T17:01:00Z"/>
        <d v="2018-12-11T02:26:00Z"/>
        <d v="2018-12-05T06:43:00Z"/>
        <d v="2018-12-05T04:18:00Z"/>
        <d v="2018-11-30T17:29:00Z"/>
        <d v="2018-11-18T20:25:00Z"/>
        <d v="2018-11-09T01:49:00Z"/>
        <d v="2018-10-25T22:54:00Z"/>
        <d v="2018-10-22T06:22:00Z"/>
        <d v="2018-10-22T06:16:00Z"/>
        <d v="2018-10-22T05:39:00Z"/>
        <d v="2018-10-16T01:03:00Z"/>
        <d v="2018-10-13T11:10:00Z"/>
        <d v="2018-10-10T23:16:00Z"/>
        <d v="2018-10-10T20:48:00Z"/>
        <d v="2018-09-30T10:52:00Z"/>
        <d v="2018-09-28T10:02:00Z"/>
        <d v="2018-09-16T21:11:00Z"/>
        <d v="2018-09-10T04:19:00Z"/>
        <d v="2018-09-09T19:31:00Z"/>
        <d v="2018-09-06T15:49:00Z"/>
        <d v="2018-09-05T18:07:00Z"/>
        <d v="2018-08-29T03:51:00Z"/>
        <d v="2018-08-24T09:04:00Z"/>
        <d v="2018-08-21T22:32:00Z"/>
        <d v="2018-08-21T21:31:00Z"/>
        <d v="2018-08-19T14:56:00Z"/>
        <d v="2018-08-19T00:19:00Z"/>
        <d v="2018-08-17T15:35:00Z"/>
        <d v="2018-08-15T21:56:00Z"/>
        <d v="2018-08-05T11:46:00Z"/>
        <d v="2018-05-04T22:32:00Z"/>
        <d v="2018-04-02T13:40:00Z"/>
        <d v="2018-03-29T21:25:00Z"/>
        <d v="2018-03-26T09:51:00Z"/>
        <d v="2018-03-08T17:39:00Z"/>
        <d v="2018-03-06T14:13:00Z"/>
        <d v="2018-02-25T17:44:00Z"/>
        <d v="2018-02-16T23:39:00Z"/>
        <d v="2018-01-23T09:31:00Z"/>
        <d v="2018-01-14T09:18:00Z"/>
        <d v="2018-01-10T02:51:00Z"/>
        <d v="2017-12-15T16:47:00Z"/>
        <d v="2017-12-13T18:03:00Z"/>
        <d v="2017-11-19T22:43:00Z"/>
        <d v="2017-11-19T15:09:00Z"/>
        <d v="2017-11-13T02:28:00Z"/>
        <d v="2017-11-12T18:18:00Z"/>
        <d v="2017-11-07T21:26:00Z"/>
        <d v="2017-11-04T09:00:00Z"/>
        <d v="2017-11-01T02:23:00Z"/>
        <d v="2017-10-31T00:42:00Z"/>
        <d v="2017-10-24T10:47:00Z"/>
        <d v="2017-10-08T22:34:00Z"/>
        <d v="2017-09-19T18:14:00Z"/>
        <d v="2017-09-08T04:49:00Z"/>
        <d v="2017-08-08T13:19:00Z"/>
        <d v="2017-07-20T22:31:00Z"/>
        <d v="2017-07-17T23:34:00Z"/>
        <d v="2017-07-11T07:00:00Z"/>
        <d v="2017-07-06T08:03:00Z"/>
        <d v="2017-06-22T12:31:00Z"/>
        <d v="2017-06-14T07:29:00Z"/>
        <d v="2017-06-02T22:24:00Z"/>
        <d v="2017-05-29T14:35:00Z"/>
        <d v="2017-05-10T23:23:00Z"/>
        <d v="2017-05-09T13:52:00Z"/>
        <d v="2017-04-28T20:23:00Z"/>
        <d v="2017-04-24T21:38:00Z"/>
        <d v="2017-04-03T17:40:00Z"/>
        <d v="2017-03-29T04:09:00Z"/>
        <d v="2017-02-24T17:28:00Z"/>
        <d v="2017-02-21T14:09:00Z"/>
        <d v="2017-02-10T14:03:00Z"/>
        <d v="2017-01-22T04:30:00Z"/>
        <d v="2017-01-19T23:04:00Z"/>
        <d v="2017-01-10T06:13:00Z"/>
        <d v="2017-01-03T21:52:00Z"/>
        <d v="2016-12-25T14:22:00Z"/>
        <d v="2016-12-21T00:17:00Z"/>
        <d v="2016-12-17T10:51:00Z"/>
        <d v="2016-12-09T19:10:00Z"/>
        <d v="2016-12-08T21:56:00Z"/>
        <d v="2016-12-08T17:38:00Z"/>
        <d v="2016-12-08T14:49:00Z"/>
        <d v="2016-12-06T22:03:00Z"/>
        <d v="2016-11-25T14:24:00Z"/>
        <d v="2016-11-24T18:43:00Z"/>
        <d v="2016-11-21T20:59:00Z"/>
        <d v="2016-11-14T00:34:00Z"/>
        <d v="2016-11-13T11:32:00Z"/>
        <d v="2016-11-13T11:02:00Z"/>
        <d v="2016-10-30T06:40:00Z"/>
        <d v="2016-10-19T00:26:00Z"/>
        <d v="2016-10-17T06:14:00Z"/>
        <d v="2016-09-24T21:28:00Z"/>
        <d v="2016-09-01T16:37:00Z"/>
        <d v="2016-08-31T03:11:00Z"/>
        <d v="2016-08-24T10:34:00Z"/>
        <d v="2016-08-12T01:26:00Z"/>
        <d v="2016-07-29T21:18:00Z"/>
        <d v="2016-06-01T22:56:00Z"/>
        <d v="2016-05-28T09:46:00Z"/>
        <d v="2016-05-28T05:38:00Z"/>
        <d v="2016-05-18T16:46:00Z"/>
        <d v="2016-05-18T07:57:00Z"/>
        <d v="2016-04-28T19:33:00Z"/>
        <d v="2016-04-16T23:58:00Z"/>
        <d v="2016-04-15T16:25:00Z"/>
        <d v="2016-04-13T13:55:00Z"/>
        <d v="2016-04-10T10:28:00Z"/>
        <d v="2016-04-07T03:32:00Z"/>
        <d v="2016-04-06T06:58:00Z"/>
        <d v="2016-04-03T08:23:00Z"/>
        <d v="2016-03-02T12:49:00Z"/>
        <d v="2016-01-30T03:25:00Z"/>
        <d v="2016-01-24T10:30:00Z"/>
        <d v="2016-01-21T18:06:00Z"/>
        <d v="2016-01-14T03:25:00Z"/>
        <d v="2016-01-11T16:38:00Z"/>
        <d v="2016-01-03T23:05:00Z"/>
        <d v="2015-12-17T19:49:00Z"/>
        <d v="2015-12-09T10:21:00Z"/>
        <d v="2015-12-07T07:50:00Z"/>
        <d v="2015-11-26T05:45:00Z"/>
        <d v="2015-11-24T22:50:00Z"/>
        <d v="2015-11-24T22:45:00Z"/>
        <d v="2015-11-18T18:31:00Z"/>
        <d v="2015-11-17T07:10:00Z"/>
        <d v="2015-11-13T20:51:00Z"/>
        <d v="2015-11-11T02:46:00Z"/>
        <d v="2015-11-11T01:54:00Z"/>
        <d v="2015-11-08T16:47:00Z"/>
        <d v="2015-11-07T07:31:00Z"/>
        <d v="2015-11-04T03:44:00Z"/>
        <d v="2015-10-26T09:09:00Z"/>
        <d v="2015-10-20T21:52:00Z"/>
        <d v="2015-09-24T15:53:00Z"/>
        <d v="2015-09-21T17:40:00Z"/>
        <d v="2015-09-17T04:10:00Z"/>
        <d v="2015-09-17T03:55:00Z"/>
        <d v="2015-09-16T23:18:00Z"/>
        <d v="2015-09-16T22:54:00Z"/>
        <d v="2015-09-13T08:14:00Z"/>
        <d v="2015-08-12T18:49:00Z"/>
        <d v="2015-08-10T04:12:00Z"/>
        <d v="2015-07-27T21:41:00Z"/>
        <d v="2015-07-27T04:49:00Z"/>
        <d v="2015-07-18T02:27:00Z"/>
        <d v="2015-07-16T15:16:00Z"/>
        <d v="2015-07-10T04:12:00Z"/>
        <d v="2015-06-23T12:18:00Z"/>
        <d v="2015-05-30T11:23:00Z"/>
        <d v="2015-05-29T07:00:00Z"/>
        <d v="2015-05-22T23:59:00Z"/>
        <d v="2015-05-22T21:45:00Z"/>
        <d v="2015-05-20T22:48:00Z"/>
        <d v="2015-05-12T21:12:00Z"/>
        <d v="2015-05-12T07:05:00Z"/>
        <d v="2015-05-07T07:10:00Z"/>
        <d v="2015-05-05T01:44:00Z"/>
        <d v="2015-05-01T08:06:00Z"/>
        <d v="2015-04-30T10:45:00Z"/>
        <d v="2015-04-26T07:09:00Z"/>
        <d v="2015-04-25T06:45:00Z"/>
        <d v="2015-04-25T06:11:00Z"/>
        <d v="2015-04-17T15:52:00Z"/>
        <d v="2015-03-30T08:48:00Z"/>
        <d v="2015-03-29T23:48:00Z"/>
        <d v="2015-02-27T13:45:00Z"/>
        <d v="2015-02-16T23:06:00Z"/>
        <d v="2015-02-11T18:57:00Z"/>
        <d v="2015-01-23T03:47:00Z"/>
        <d v="2015-01-07T05:07:00Z"/>
        <d v="2014-12-08T08:54:00Z"/>
        <d v="2014-12-07T01:22:00Z"/>
        <d v="2014-12-02T05:11:00Z"/>
        <d v="2014-11-26T14:33:00Z"/>
        <d v="2014-11-21T10:10:00Z"/>
        <d v="2014-11-16T22:33:00Z"/>
        <d v="2014-11-15T02:31:00Z"/>
        <d v="2014-11-07T03:33:00Z"/>
        <d v="2014-11-01T18:57:00Z"/>
        <d v="2014-10-14T03:51:00Z"/>
        <d v="2014-09-17T06:14:00Z"/>
        <d v="2014-08-24T23:21:00Z"/>
        <d v="2014-08-03T00:22:00Z"/>
        <d v="2014-07-21T14:54:00Z"/>
        <d v="2014-07-11T19:22:00Z"/>
        <d v="2014-07-07T11:23:00Z"/>
        <d v="2014-07-04T15:00:00Z"/>
        <d v="2014-06-29T17:15:00Z"/>
        <d v="2014-06-29T07:52:00Z"/>
        <d v="2014-06-23T20:53:00Z"/>
        <d v="2014-06-23T20:06:00Z"/>
        <d v="2014-06-23T19:21:00Z"/>
        <d v="2014-06-23T19:19:00Z"/>
        <d v="2014-05-24T09:25:00Z"/>
        <d v="2014-05-13T06:35:00Z"/>
        <d v="2014-05-01T06:36:00Z"/>
        <d v="2014-04-24T03:10:00Z"/>
        <d v="2014-04-19T13:28:00Z"/>
        <d v="2014-04-19T01:04:00Z"/>
        <d v="2014-04-18T14:27:00Z"/>
        <d v="2014-04-13T13:24:00Z"/>
        <d v="2014-04-13T12:36:00Z"/>
        <d v="2014-04-12T20:14:00Z"/>
        <d v="2014-04-11T20:29:00Z"/>
        <d v="2014-04-11T08:16:00Z"/>
        <d v="2014-04-11T07:07:00Z"/>
        <d v="2014-04-03T02:43:00Z"/>
        <d v="2014-04-03T01:58:00Z"/>
        <d v="2014-04-01T23:57:00Z"/>
        <d v="2014-04-01T23:46:00Z"/>
        <d v="2014-03-16T21:16:00Z"/>
        <d v="2014-03-10T05:18:00Z"/>
        <d v="2014-03-02T20:11:00Z"/>
        <d v="2014-02-18T09:27:00Z"/>
        <d v="2014-02-12T09:19:00Z"/>
        <d v="2014-02-07T08:40:00Z"/>
        <d v="2014-02-02T09:26:00Z"/>
        <d v="2014-01-01T16:03:00Z"/>
        <d v="2013-11-23T07:48:00Z"/>
        <d v="2013-11-17T09:04:00Z"/>
        <d v="2013-11-16T03:34:00Z"/>
        <d v="2013-10-31T23:03:00Z"/>
        <d v="2013-10-25T17:10:00Z"/>
        <d v="2013-10-19T17:54:00Z"/>
        <d v="2013-10-16T10:30:00Z"/>
        <d v="2013-10-15T00:12:00Z"/>
        <d v="2013-10-12T13:11:00Z"/>
        <d v="2013-10-01T03:38:00Z"/>
        <d v="2013-09-30T05:55:00Z"/>
        <d v="2013-09-28T07:34:00Z"/>
        <d v="2013-09-25T16:42:00Z"/>
        <d v="2013-09-24T11:29:00Z"/>
        <d v="2013-09-04T02:32:00Z"/>
        <d v="2013-09-04T00:18:00Z"/>
        <d v="2013-09-01T11:52:00Z"/>
        <d v="2013-08-30T16:25:00Z"/>
        <d v="2013-08-16T02:31:00Z"/>
        <d v="2013-08-13T15:43:00Z"/>
        <d v="2013-07-21T05:09:00Z"/>
        <d v="2013-07-15T14:03:00Z"/>
        <d v="2013-07-07T20:30:00Z"/>
        <d v="2013-07-07T18:35:00Z"/>
        <d v="2013-06-24T22:04:00Z"/>
        <d v="2013-06-15T17:34:00Z"/>
        <d v="2013-06-13T16:47:00Z"/>
        <d v="2013-05-24T14:56:00Z"/>
        <d v="2013-05-24T05:44:00Z"/>
        <d v="2013-05-23T17:19:00Z"/>
        <d v="2013-05-14T00:32:00Z"/>
        <d v="2013-04-23T23:14:00Z"/>
        <d v="2013-04-20T00:02:00Z"/>
        <d v="2013-04-19T03:05:00Z"/>
        <d v="2013-04-16T22:55:00Z"/>
        <d v="2013-04-16T10:44:00Z"/>
        <d v="2013-04-14T01:32:00Z"/>
        <d v="2013-04-06T04:42:00Z"/>
        <d v="2013-03-10T22:51:00Z"/>
        <d v="2013-03-01T13:20:00Z"/>
        <d v="2013-02-28T14:05:00Z"/>
        <d v="2013-02-14T13:13:00Z"/>
        <d v="2013-02-09T21:02:00Z"/>
        <d v="2013-02-09T14:16:00Z"/>
        <d v="2013-02-08T15:26:00Z"/>
        <d v="2013-02-08T11:12:00Z"/>
        <d v="2013-02-07T18:59:00Z"/>
        <d v="2013-02-06T01:54:00Z"/>
        <d v="2013-02-06T01:23:00Z"/>
        <d v="2013-02-06T01:12:00Z"/>
        <d v="2013-02-02T14:17:00Z"/>
        <d v="2013-01-30T20:15:00Z"/>
        <d v="2013-01-05T08:58:00Z"/>
        <d v="2012-12-21T22:28:00Z"/>
        <d v="2012-12-10T16:53:00Z"/>
        <d v="2012-12-07T08:18:00Z"/>
        <d v="2012-11-11T22:14:00Z"/>
        <d v="2012-11-11T01:12:00Z"/>
        <d v="2012-11-07T16:35:00Z"/>
        <d v="2012-10-28T03:04:00Z"/>
        <d v="2012-10-24T00:45:00Z"/>
        <d v="2012-10-12T00:31:00Z"/>
        <d v="2012-09-30T16:31:00Z"/>
        <d v="2012-09-05T14:42:00Z"/>
        <d v="2012-08-31T12:47:00Z"/>
        <d v="2012-08-27T04:37:00Z"/>
        <d v="2012-08-26T15:05:00Z"/>
        <d v="2012-08-14T02:59:00Z"/>
        <d v="2012-07-28T20:03:00Z"/>
        <d v="2012-04-28T10:08:00Z"/>
        <d v="2012-04-21T01:16:00Z"/>
        <d v="2012-04-17T07:13:00Z"/>
        <d v="2012-04-17T03:50:00Z"/>
        <d v="2012-04-12T07:15:00Z"/>
        <d v="2012-04-11T22:55:00Z"/>
        <d v="2012-04-11T10:43:00Z"/>
        <d v="2012-04-11T08:38:00Z"/>
        <d v="2012-03-25T22:37:00Z"/>
        <d v="2012-03-21T22:15:00Z"/>
        <d v="2012-03-20T18:02:00Z"/>
        <d v="2012-02-26T06:17:00Z"/>
        <d v="2012-02-06T03:49:00Z"/>
        <d v="2012-02-02T13:34:00Z"/>
        <d v="2012-01-10T18:36:00Z"/>
        <d v="2011-12-27T15:21:00Z"/>
        <d v="2011-12-14T05:04:00Z"/>
        <d v="2011-12-11T01:47:00Z"/>
        <d v="2011-10-28T18:54:00Z"/>
        <d v="2011-10-23T10:41:00Z"/>
        <d v="2011-10-14T03:35:00Z"/>
        <d v="2011-09-18T12:40:00Z"/>
        <d v="2011-09-16T19:26:00Z"/>
        <d v="2011-09-05T17:55:00Z"/>
        <d v="2011-09-03T22:55:00Z"/>
        <d v="2011-08-24T17:46:00Z"/>
        <d v="2011-08-20T18:19:00Z"/>
        <d v="2011-08-20T17:13:00Z"/>
        <d v="2011-08-20T16:55:00Z"/>
        <d v="2011-07-31T23:38:00Z"/>
        <d v="2011-07-06T19:03:00Z"/>
        <d v="2011-06-22T21:50:00Z"/>
        <d v="2011-05-10T08:55:00Z"/>
        <d v="2011-04-23T04:16:00Z"/>
        <d v="2011-04-11T08:16:00Z"/>
        <d v="2011-04-07T14:32:00Z"/>
        <d v="2011-04-07T13:11:00Z"/>
        <d v="2011-03-24T13:55:00Z"/>
        <d v="2011-03-11T11:36:00Z"/>
        <d v="2011-03-11T08:19:00Z"/>
        <d v="2011-03-11T06:25:00Z"/>
        <d v="2011-03-11T06:15:00Z"/>
        <d v="2011-03-11T05:46:00Z"/>
        <d v="2011-03-09T02:45:00Z"/>
        <d v="2011-02-14T03:40:00Z"/>
        <d v="2011-02-11T20:05:00Z"/>
        <d v="2011-01-18T20:23:00Z"/>
        <d v="2011-01-13T16:16:00Z"/>
        <d v="2011-01-02T20:20:00Z"/>
        <d v="2010-12-25T13:16:00Z"/>
        <d v="2010-12-20T18:41:00Z"/>
        <d v="2010-12-02T03:12:00Z"/>
        <d v="2010-10-25T14:42:00Z"/>
        <d v="2010-10-21T17:53:00Z"/>
        <d v="2010-09-29T17:11:00Z"/>
        <d v="2010-09-03T16:35:00Z"/>
        <d v="2010-08-12T11:54:00Z"/>
        <d v="2010-08-10T05:23:00Z"/>
        <d v="2010-08-04T22:01:00Z"/>
        <d v="2010-08-04T07:15:00Z"/>
        <d v="2010-07-23T22:51:00Z"/>
        <d v="2010-07-18T13:34:00Z"/>
        <d v="2010-07-18T13:04:00Z"/>
        <d v="2010-07-14T08:32:00Z"/>
        <d v="2010-06-26T05:30:00Z"/>
        <d v="2010-06-16T03:58:00Z"/>
        <d v="2010-06-16T03:16:00Z"/>
        <d v="2010-06-12T19:26:00Z"/>
        <d v="2010-05-27T17:14:00Z"/>
        <d v="2010-05-09T05:59:00Z"/>
        <d v="2010-04-13T23:49:00Z"/>
        <d v="2010-04-11T09:40:00Z"/>
        <d v="2010-04-06T22:15:00Z"/>
        <d v="2010-04-04T22:40:00Z"/>
        <d v="2010-03-30T16:54:00Z"/>
        <d v="2010-03-16T02:21:00Z"/>
        <d v="2010-03-14T08:08:00Z"/>
        <d v="2010-03-11T14:55:00Z"/>
        <d v="2010-03-11T14:39:00Z"/>
        <d v="2010-03-05T16:07:00Z"/>
        <d v="2010-03-05T11:47:00Z"/>
        <d v="2010-03-04T14:02:00Z"/>
        <d v="2010-02-27T08:01:00Z"/>
        <d v="2010-02-27T06:34:00Z"/>
        <d v="2010-02-26T20:31:00Z"/>
        <d v="2010-01-12T21:53:00Z"/>
        <d v="2010-01-10T00:27:00Z"/>
        <d v="2010-01-05T12:15:00Z"/>
        <d v="2010-01-03T22:36:00Z"/>
        <d v="2010-01-03T21:48:00Z"/>
        <d v="2009-11-13T03:05:00Z"/>
        <d v="2009-11-09T10:44:00Z"/>
        <d v="2009-11-08T19:41:00Z"/>
        <d v="2009-10-30T07:03:00Z"/>
        <d v="2009-10-24T14:40:00Z"/>
        <d v="2009-10-08T08:28:00Z"/>
        <d v="2009-10-07T23:13:00Z"/>
        <d v="2009-10-07T22:18:00Z"/>
        <d v="2009-10-07T22:03:00Z"/>
        <d v="2009-10-01T01:52:00Z"/>
        <d v="2009-09-30T10:16:00Z"/>
        <d v="2009-09-29T17:48:00Z"/>
        <d v="2009-09-02T07:55:00Z"/>
        <d v="2009-08-16T07:38:00Z"/>
        <d v="2009-08-12T22:48:00Z"/>
        <d v="2009-08-10T19:55:00Z"/>
        <d v="2009-08-09T10:55:00Z"/>
        <d v="2009-08-03T17:59:00Z"/>
        <d v="2009-07-15T09:22:00Z"/>
        <d v="2009-06-23T14:19:00Z"/>
        <d v="2009-05-28T08:24:00Z"/>
        <d v="2009-03-19T18:17:00Z"/>
        <d v="2009-02-11T17:34:00Z"/>
        <d v="2009-01-03T22:33:00Z"/>
        <d v="2009-01-03T20:23:00Z"/>
        <d v="2009-01-03T19:43:00Z"/>
        <d v="2008-11-16T17:02:00Z"/>
        <d v="2008-10-16T19:41:00Z"/>
        <d v="2008-10-05T15:52:00Z"/>
        <d v="2008-09-11T00:20:00Z"/>
        <d v="2008-09-11T00:00:00Z"/>
        <d v="2008-09-08T18:52:00Z"/>
        <d v="2008-08-25T13:21:00Z"/>
        <d v="2008-07-23T15:26:00Z"/>
        <d v="2008-07-19T02:39:00Z"/>
        <d v="2008-06-27T11:40:00Z"/>
        <d v="2008-06-13T23:43:00Z"/>
        <d v="2008-05-12T06:28:00Z"/>
        <d v="2008-05-07T16:45:00Z"/>
        <d v="2008-04-09T12:46:00Z"/>
        <d v="2008-03-20T22:32:00Z"/>
        <d v="2008-03-03T14:11:00Z"/>
        <d v="2008-02-25T21:02:00Z"/>
        <d v="2008-02-25T18:06:00Z"/>
        <d v="2008-02-25T08:36:00Z"/>
        <d v="2008-02-24T14:46:00Z"/>
        <d v="2008-02-20T08:08:00Z"/>
        <d v="2008-02-14T12:08:00Z"/>
        <d v="2008-02-14T10:09:00Z"/>
        <d v="2008-02-12T12:50:00Z"/>
        <d v="2007-12-20T07:55:00Z"/>
        <d v="2007-12-16T08:09:00Z"/>
        <d v="2007-11-29T19:00:00Z"/>
        <d v="2007-11-27T11:49:00Z"/>
        <d v="2007-11-25T19:53:00Z"/>
        <d v="2007-11-25T16:02:00Z"/>
        <d v="2007-11-22T08:48:00Z"/>
        <d v="2007-11-16T03:13:00Z"/>
        <d v="2007-11-15T15:05:00Z"/>
        <d v="2007-11-14T15:40:00Z"/>
        <d v="2007-10-24T21:02:00Z"/>
        <d v="2007-10-15T12:29:00Z"/>
        <d v="2007-09-26T12:36:00Z"/>
        <d v="2007-09-20T08:31:00Z"/>
        <d v="2007-09-13T03:35:00Z"/>
        <d v="2007-09-13T02:30:00Z"/>
        <d v="2007-09-12T23:49:00Z"/>
        <d v="2007-09-12T11:10:00Z"/>
        <d v="2007-09-10T01:49:00Z"/>
        <d v="2007-09-02T01:05:00Z"/>
        <d v="2007-08-16T08:39:00Z"/>
        <d v="2007-08-15T23:40:00Z"/>
        <d v="2007-08-08T17:05:00Z"/>
        <d v="2007-08-01T17:08:00Z"/>
        <d v="2007-07-26T05:40:00Z"/>
        <d v="2007-07-16T14:17:00Z"/>
        <d v="2007-07-16T01:13:00Z"/>
        <d v="2007-06-13T19:29:00Z"/>
        <d v="2007-04-01T21:11:00Z"/>
        <d v="2007-04-01T20:47:00Z"/>
        <d v="2007-04-01T20:39:00Z"/>
        <d v="2007-03-25T00:41:00Z"/>
        <d v="2007-03-25T00:40:00Z"/>
        <d v="2007-02-20T08:04:00Z"/>
        <d v="2007-01-21T11:27:00Z"/>
        <d v="2007-01-13T04:23:00Z"/>
        <d v="2006-12-26T12:34:00Z"/>
        <d v="2006-12-26T12:26:00Z"/>
        <d v="2006-11-15T11:14:00Z"/>
        <d v="2006-11-07T17:38:00Z"/>
        <d v="2006-10-20T10:48:00Z"/>
        <d v="2006-10-17T01:25:00Z"/>
        <d v="2006-10-15T17:07:00Z"/>
        <d v="2006-09-28T06:22:00Z"/>
        <d v="2006-09-01T10:18:00Z"/>
        <d v="2006-08-24T21:50:00Z"/>
        <d v="2006-08-07T22:18:00Z"/>
        <d v="2006-07-17T08:19:00Z"/>
        <d v="2006-05-28T03:12:00Z"/>
        <d v="2006-05-22T11:12:00Z"/>
        <d v="2006-05-16T15:28:00Z"/>
        <d v="2006-05-03T15:26:00Z"/>
        <d v="2006-04-30T21:40:00Z"/>
        <d v="2006-04-30T19:17:00Z"/>
        <d v="2006-04-29T16:58:00Z"/>
        <d v="2006-04-20T23:25:00Z"/>
        <d v="2006-04-07T08:30:00Z"/>
        <d v="2006-03-14T06:57:00Z"/>
        <d v="2006-02-22T22:19:00Z"/>
        <d v="2006-01-08T11:34:00Z"/>
        <d v="2006-01-04T08:32:00Z"/>
        <d v="2005-12-12T21:47:00Z"/>
        <d v="2005-12-05T12:19:00Z"/>
        <d v="2005-12-02T13:13:00Z"/>
        <d v="2005-11-19T14:10:00Z"/>
        <d v="2005-11-17T19:26:00Z"/>
        <d v="2005-10-08T03:50:00Z"/>
        <d v="2005-09-29T15:50:00Z"/>
        <d v="2005-09-26T01:55:00Z"/>
        <d v="2005-09-09T07:26:00Z"/>
        <d v="2005-08-16T02:46:00Z"/>
        <d v="2005-07-24T15:42:00Z"/>
        <d v="2005-07-05T01:52:00Z"/>
        <d v="2005-07-02T02:16:00Z"/>
        <d v="2005-06-15T02:50:00Z"/>
        <d v="2005-06-13T22:44:00Z"/>
        <d v="2005-05-19T01:54:00Z"/>
        <d v="2005-05-14T05:05:00Z"/>
        <d v="2005-04-10T11:14:00Z"/>
        <d v="2005-04-10T10:29:00Z"/>
        <d v="2005-03-28T16:09:00Z"/>
        <d v="2005-03-20T01:53:00Z"/>
        <d v="2005-03-02T10:42:00Z"/>
        <d v="2005-02-26T12:56:00Z"/>
        <d v="2005-02-19T00:04:00Z"/>
        <d v="2005-02-15T14:42:00Z"/>
        <d v="2005-02-08T14:48:00Z"/>
        <d v="2005-02-05T12:23:00Z"/>
        <d v="2005-01-19T06:11:00Z"/>
        <d v="2004-12-26T09:20:00Z"/>
        <d v="2004-12-26T04:21:00Z"/>
        <d v="2004-12-26T00:58:00Z"/>
        <d v="2004-12-23T14:59:00Z"/>
        <d v="2004-12-14T23:20:00Z"/>
        <d v="2004-12-06T14:15:00Z"/>
        <d v="2004-11-28T18:32:00Z"/>
        <d v="2004-11-26T02:25:00Z"/>
        <d v="2004-11-22T20:26:00Z"/>
        <d v="2004-11-15T09:06:00Z"/>
        <d v="2004-11-11T21:26:00Z"/>
        <d v="2004-11-11T17:34:00Z"/>
        <d v="2004-11-02T10:02:00Z"/>
        <d v="2004-10-23T08:56:00Z"/>
        <d v="2004-10-15T04:08:00Z"/>
        <d v="2004-10-09T21:26:00Z"/>
        <d v="2004-10-08T14:36:00Z"/>
        <d v="2004-10-08T08:27:00Z"/>
        <d v="2004-09-06T23:29:00Z"/>
        <d v="2004-09-05T14:57:00Z"/>
        <d v="2004-09-05T10:07:00Z"/>
        <d v="2004-08-28T13:41:00Z"/>
        <d v="2004-07-28T03:56:00Z"/>
        <d v="2004-06-10T15:19:00Z"/>
        <d v="2004-05-03T04:36:00Z"/>
        <d v="2004-04-23T01:50:00Z"/>
        <d v="2004-04-09T15:23:00Z"/>
        <d v="2004-04-05T21:24:00Z"/>
        <d v="2004-02-08T08:58:00Z"/>
        <d v="2004-02-07T02:42:00Z"/>
        <d v="2004-02-05T21:05:00Z"/>
        <d v="2004-01-28T22:15:00Z"/>
        <d v="2003-12-27T16:00:00Z"/>
        <d v="2003-12-26T01:56:00Z"/>
        <d v="2003-12-25T07:11:00Z"/>
        <d v="2003-12-22T19:15:00Z"/>
        <d v="2003-12-10T04:38:00Z"/>
        <d v="2003-11-25T20:19:00Z"/>
        <d v="2003-11-18T17:14:00Z"/>
        <d v="2003-11-06T10:38:00Z"/>
        <d v="2003-10-31T01:06:00Z"/>
        <d v="2003-10-08T09:06:00Z"/>
        <d v="2003-10-01T01:03:00Z"/>
        <d v="2003-09-29T02:36:00Z"/>
        <d v="2003-09-27T11:33:00Z"/>
        <d v="2003-09-25T21:08:00Z"/>
        <d v="2003-09-25T19:50:00Z"/>
        <d v="2003-09-21T18:16:00Z"/>
        <d v="2003-08-21T12:12:00Z"/>
        <d v="2003-08-04T04:37:00Z"/>
        <d v="2003-07-15T18:46:00Z"/>
        <d v="2003-06-20T13:30:00Z"/>
        <d v="2003-06-16T22:08:00Z"/>
        <d v="2003-06-07T00:32:00Z"/>
        <d v="2003-05-26T19:23:00Z"/>
        <d v="2003-05-26T09:24:00Z"/>
        <d v="2003-05-21T18:44:00Z"/>
        <d v="2003-03-25T02:53:00Z"/>
        <d v="2003-03-11T07:27:00Z"/>
        <d v="2003-01-22T02:06:00Z"/>
        <d v="2003-01-21T02:46:00Z"/>
        <d v="2003-01-20T08:43:00Z"/>
        <d v="2003-01-10T13:11:00Z"/>
        <d v="2002-12-12T08:30:00Z"/>
        <d v="2002-11-03T22:12:00Z"/>
        <d v="2002-11-02T01:26:00Z"/>
        <d v="2002-10-23T11:27:00Z"/>
        <d v="2002-10-10T12:28:00Z"/>
        <d v="2002-10-10T10:50:00Z"/>
        <d v="2002-09-13T22:28:00Z"/>
        <d v="2002-09-08T18:44:00Z"/>
        <d v="2002-08-14T13:57:00Z"/>
        <d v="2002-07-31T00:16:00Z"/>
        <d v="2002-06-22T02:58:00Z"/>
        <d v="2002-06-18T13:56:00Z"/>
        <d v="2002-06-17T21:26:00Z"/>
        <d v="2002-04-26T16:06:00Z"/>
        <d v="2002-04-18T16:08:00Z"/>
        <d v="2002-04-18T05:02:00Z"/>
        <d v="2002-03-31T06:52:00Z"/>
        <d v="2002-03-28T04:56:00Z"/>
        <d v="2002-03-05T21:16:00Z"/>
        <d v="2002-03-03T12:08:00Z"/>
        <d v="2002-02-05T13:27:00Z"/>
        <d v="2002-02-03T07:11:00Z"/>
        <d v="2002-01-10T11:14:00Z"/>
        <d v="2002-01-03T10:17:00Z"/>
        <d v="2002-01-02T17:22:00Z"/>
        <d v="2001-12-23T22:52:00Z"/>
        <d v="2001-12-18T04:02:00Z"/>
        <d v="2001-12-02T13:01:00Z"/>
        <d v="2001-11-14T09:26:00Z"/>
        <d v="2001-10-31T09:10:00Z"/>
        <d v="2001-10-19T03:28:00Z"/>
        <d v="2001-10-12T15:02:00Z"/>
        <d v="2001-09-11T14:56:00Z"/>
        <d v="2001-07-28T07:32:00Z"/>
        <d v="2001-07-26T00:21:00Z"/>
        <d v="2001-07-07T09:38:00Z"/>
        <d v="2001-07-05T13:53:00Z"/>
        <d v="2001-06-26T04:18:00Z"/>
        <d v="2001-06-23T20:33:00Z"/>
        <d v="2001-04-19T21:43:00Z"/>
        <d v="2001-03-24T06:27:00Z"/>
        <d v="2001-03-19T05:52:00Z"/>
        <d v="2001-02-28T18:54:00Z"/>
        <d v="2001-02-24T07:23:00Z"/>
        <d v="2001-02-13T19:28:00Z"/>
        <d v="2001-02-13T14:22:00Z"/>
        <d v="2001-01-26T03:16:00Z"/>
        <d v="2001-01-16T13:25:00Z"/>
        <d v="2001-01-13T17:33:00Z"/>
        <d v="2001-01-10T16:02:00Z"/>
        <d v="2001-01-09T16:49:00Z"/>
        <d v="2001-01-01T08:54:00Z"/>
        <d v="2001-01-01T06:57:00Z"/>
        <d v="2000-12-06T22:57:00Z"/>
        <d v="2000-12-06T17:11:00Z"/>
        <d v="2000-11-25T18:10:00Z"/>
        <d v="2000-11-25T18:09:00Z"/>
        <d v="2000-11-18T06:54:00Z"/>
        <d v="2000-11-18T02:05:00Z"/>
        <d v="2000-11-17T21:01:00Z"/>
        <d v="2000-11-16T07:45:00Z"/>
        <d v="2000-11-16T07:42:00Z"/>
        <d v="2000-11-16T04:54:00Z"/>
        <d v="2000-11-08T06:59:00Z"/>
        <d v="2000-10-29T08:37:00Z"/>
        <d v="2000-10-25T09:32:00Z"/>
        <d v="2000-10-06T04:30:00Z"/>
        <d v="2000-10-04T16:58:00Z"/>
        <d v="2000-10-02T02:25:00Z"/>
        <d v="2000-08-28T15:05:00Z"/>
        <d v="2000-08-09T11:41:00Z"/>
        <d v="2000-08-04T21:13:00Z"/>
        <d v="2000-08-03T01:09:00Z"/>
        <d v="2000-07-30T12:25:00Z"/>
        <d v="2000-07-16T03:57:00Z"/>
        <d v="2000-07-11T01:32:00Z"/>
        <d v="2000-06-21T00:51:00Z"/>
        <d v="2000-06-18T14:44:00Z"/>
        <d v="2000-06-17T15:40:00Z"/>
        <d v="2000-06-07T23:45:00Z"/>
        <d v="2000-06-04T16:39:00Z"/>
        <d v="2000-06-04T16:28:00Z"/>
        <d v="2000-05-12T18:43:00Z"/>
        <d v="2000-05-04T04:21:00Z"/>
        <d v="2000-03-03T22:22:00Z"/>
        <d v="2000-02-06T11:33:00Z"/>
        <d v="2000-01-28T14:21:00Z"/>
        <d v="2000-01-08T16:47:00Z"/>
        <d v="1999-12-29T13:29:00Z"/>
        <d v="1999-12-21T14:14:00Z"/>
        <d v="1999-12-11T18:03:00Z"/>
        <d v="1999-12-06T23:12:00Z"/>
        <d v="1999-11-30T04:01:00Z"/>
        <d v="1999-11-26T13:21:00Z"/>
        <d v="1999-11-19T13:56:00Z"/>
        <d v="1999-11-17T03:27:00Z"/>
        <d v="1999-11-12T16:57:00Z"/>
        <d v="1999-11-08T16:45:00Z"/>
        <d v="1999-10-16T09:46:00Z"/>
        <d v="1999-09-30T16:31:00Z"/>
        <d v="1999-09-25T23:52:00Z"/>
        <d v="1999-09-20T17:47:00Z"/>
        <d v="1999-08-22T12:40:00Z"/>
        <d v="1999-08-20T10:02:00Z"/>
        <d v="1999-08-17T00:01:00Z"/>
        <d v="1999-07-11T14:14:00Z"/>
        <d v="1999-06-15T20:42:00Z"/>
        <d v="1999-05-17T10:07:00Z"/>
        <d v="1999-05-16T00:51:00Z"/>
        <d v="1999-05-10T20:33:00Z"/>
        <d v="1999-04-13T10:38:00Z"/>
        <d v="1999-04-05T11:08:00Z"/>
        <d v="1999-04-03T06:17:00Z"/>
        <d v="1999-03-28T19:05:00Z"/>
        <d v="1999-03-20T10:47:00Z"/>
        <d v="1999-03-08T12:25:00Z"/>
        <d v="1999-03-04T08:52:00Z"/>
        <d v="1999-03-04T05:38:00Z"/>
        <d v="1999-02-06T21:47:00Z"/>
        <d v="1999-01-28T08:10:00Z"/>
        <d v="1999-01-19T03:35:00Z"/>
        <d v="1998-12-27T00:38:00Z"/>
        <d v="1998-11-29T14:10:00Z"/>
        <d v="1998-11-09T05:38:00Z"/>
        <d v="1998-11-09T05:30:00Z"/>
        <d v="1998-09-28T13:34:00Z"/>
        <d v="1998-09-03T17:37:00Z"/>
        <d v="1998-09-02T08:37:00Z"/>
        <d v="1998-08-04T18:59:00Z"/>
        <d v="1998-07-29T18:00:00Z"/>
        <d v="1998-07-17T08:49:00Z"/>
        <d v="1998-07-16T11:56:00Z"/>
        <d v="1998-05-30T06:22:00Z"/>
        <d v="1998-05-22T04:48:00Z"/>
        <d v="1998-05-21T05:34:00Z"/>
        <d v="1998-05-13T23:02:00Z"/>
        <d v="1998-05-03T23:30:00Z"/>
        <d v="1998-04-03T22:01:00Z"/>
        <d v="1998-04-01T17:56:00Z"/>
        <d v="1998-03-14T19:40:00Z"/>
        <d v="1998-01-30T12:16:00Z"/>
        <d v="1998-01-12T16:36:00Z"/>
        <d v="1998-01-12T10:14:00Z"/>
        <d v="1998-01-10T08:20:00Z"/>
        <d v="1997-12-22T02:05:00Z"/>
        <d v="1997-12-05T11:26:00Z"/>
        <d v="1997-11-25T12:14:00Z"/>
        <d v="1997-11-18T13:07:00Z"/>
        <d v="1997-11-15T18:59:00Z"/>
        <d v="1997-11-09T22:56:00Z"/>
        <d v="1997-11-08T10:02:00Z"/>
        <d v="1997-10-28T06:15:00Z"/>
        <d v="1997-10-15T01:03:00Z"/>
        <d v="1997-10-14T09:53:00Z"/>
        <d v="1997-10-06T12:30:00Z"/>
        <d v="1997-09-02T12:13:00Z"/>
        <d v="1997-08-29T08:14:00Z"/>
        <d v="1997-07-19T14:22:00Z"/>
        <d v="1997-07-09T19:24:00Z"/>
        <d v="1997-07-06T09:54:00Z"/>
        <d v="1997-05-22T07:50:00Z"/>
        <d v="1997-05-21T14:10:00Z"/>
        <d v="1997-05-13T14:13:00Z"/>
        <d v="1997-05-10T07:57:00Z"/>
        <d v="1997-04-23T19:44:00Z"/>
        <d v="1997-04-22T09:31:00Z"/>
        <d v="1997-04-21T12:02:00Z"/>
        <d v="1997-04-05T12:23:00Z"/>
        <d v="1997-03-11T19:22:00Z"/>
        <d v="1997-02-27T21:08:00Z"/>
        <d v="1997-02-04T10:37:00Z"/>
        <d v="1997-01-11T20:28:00Z"/>
        <d v="1996-12-22T14:53:00Z"/>
        <d v="1996-12-02T22:17:00Z"/>
        <d v="1996-11-19T10:44:00Z"/>
        <d v="1996-11-12T16:59:00Z"/>
        <d v="1996-10-19T14:44:00Z"/>
        <d v="1996-10-18T10:50:00Z"/>
        <d v="1996-10-14T23:26:00Z"/>
        <d v="1996-10-09T13:10:00Z"/>
        <d v="1996-09-20T04:11:00Z"/>
        <d v="1996-09-20T04:10:00Z"/>
        <d v="1996-09-05T23:42:00Z"/>
        <d v="1996-08-02T12:55:00Z"/>
        <d v="1996-07-22T14:19:00Z"/>
        <d v="1996-07-16T10:07:00Z"/>
        <d v="1996-07-15T21:23:00Z"/>
        <d v="1996-06-17T11:22:00Z"/>
        <d v="1996-06-11T18:22:00Z"/>
        <d v="1996-06-10T15:24:00Z"/>
        <d v="1996-06-10T04:03:00Z"/>
        <d v="1996-06-10T01:04:00Z"/>
        <d v="1996-04-29T14:40:00Z"/>
        <d v="1996-04-19T00:19:00Z"/>
        <d v="1996-03-17T14:48:00Z"/>
        <d v="1996-03-03T16:37:00Z"/>
        <d v="1996-03-03T14:55:00Z"/>
        <d v="1996-02-25T03:08:00Z"/>
        <d v="1996-02-21T12:51:00Z"/>
        <d v="1996-02-17T20:18:00Z"/>
        <d v="1996-02-17T14:21:00Z"/>
        <d v="1996-02-17T05:59:00Z"/>
        <d v="1996-02-16T15:22:00Z"/>
        <d v="1996-02-07T21:36:00Z"/>
        <d v="1996-02-03T11:14:00Z"/>
        <d v="1996-01-01T09:57:00Z"/>
        <d v="1996-01-01T08:05:00Z"/>
        <d v="1995-12-25T04:43:00Z"/>
        <d v="1995-12-19T23:28:00Z"/>
        <d v="1995-12-03T18:01:00Z"/>
        <d v="1995-11-22T04:15:00Z"/>
        <d v="1995-11-01T00:35:00Z"/>
        <d v="1995-10-21T02:38:00Z"/>
        <d v="1995-10-19T02:41:00Z"/>
        <d v="1995-10-18T10:37:00Z"/>
        <d v="1995-10-09T15:35:00Z"/>
        <d v="1995-10-06T18:09:00Z"/>
        <d v="1995-10-03T12:44:00Z"/>
        <d v="1995-10-03T01:51:00Z"/>
        <d v="1995-09-23T22:31:00Z"/>
        <d v="1995-09-14T14:04:00Z"/>
        <d v="1995-08-28T10:46:00Z"/>
        <d v="1995-08-19T21:43:00Z"/>
        <d v="1995-08-16T23:10:00Z"/>
        <d v="1995-08-16T16:24:00Z"/>
        <d v="1995-08-16T10:27:00Z"/>
        <d v="1995-08-14T04:37:00Z"/>
        <d v="1995-07-30T05:11:00Z"/>
        <d v="1995-07-11T21:46:00Z"/>
        <d v="1995-06-29T12:24:00Z"/>
        <d v="1995-06-15T00:15:00Z"/>
        <d v="1995-05-27T13:03:00Z"/>
        <d v="1995-05-16T20:12:00Z"/>
        <d v="1995-05-14T11:33:00Z"/>
        <d v="1995-05-13T08:47:00Z"/>
        <d v="1995-05-05T03:53:00Z"/>
      </sharedItems>
      <fieldGroup par="27"/>
    </cacheField>
    <cacheField name="cdi" numFmtId="0">
      <sharedItems containsSemiMixedTypes="0" containsString="0" containsNumber="1" containsInteger="1">
        <n v="7.0"/>
        <n v="8.0"/>
        <n v="6.0"/>
        <n v="0.0"/>
        <n v="5.0"/>
        <n v="4.0"/>
        <n v="3.0"/>
        <n v="9.0"/>
        <n v="1.0"/>
        <n v="2.0"/>
      </sharedItems>
    </cacheField>
    <cacheField name="mmi" numFmtId="0">
      <sharedItems containsSemiMixedTypes="0" containsString="0" containsNumber="1" containsInteger="1">
        <n v="4.0"/>
        <n v="6.0"/>
        <n v="5.0"/>
        <n v="2.0"/>
        <n v="7.0"/>
        <n v="3.0"/>
        <n v="9.0"/>
        <n v="8.0"/>
        <n v="1.0"/>
        <n v="10.0"/>
      </sharedItems>
    </cacheField>
    <cacheField name="alert_cleaned" numFmtId="0">
      <sharedItems containsBlank="1">
        <s v="green"/>
        <s v="yellow"/>
        <m/>
        <s v="orange"/>
        <s v="red"/>
      </sharedItems>
    </cacheField>
    <cacheField name="tsunami" numFmtId="0">
      <sharedItems containsSemiMixedTypes="0" containsString="0" containsNumber="1" containsInteger="1">
        <n v="0.0"/>
        <n v="1.0"/>
      </sharedItems>
    </cacheField>
    <cacheField name="sig" numFmtId="0">
      <sharedItems containsSemiMixedTypes="0" containsString="0" containsNumber="1" containsInteger="1">
        <n v="657.0"/>
        <n v="775.0"/>
        <n v="899.0"/>
        <n v="860.0"/>
        <n v="820.0"/>
        <n v="802.0"/>
        <n v="741.0"/>
        <n v="804.0"/>
        <n v="733.0"/>
        <n v="777.0"/>
        <n v="927.0"/>
        <n v="907.0"/>
        <n v="670.0"/>
        <n v="838.0"/>
        <n v="691.0"/>
        <n v="818.0"/>
        <n v="655.0"/>
        <n v="781.0"/>
        <n v="656.0"/>
        <n v="1350.0"/>
        <n v="1159.0"/>
        <n v="756.0"/>
        <n v="735.0"/>
        <n v="653.0"/>
        <n v="652.0"/>
        <n v="737.0"/>
        <n v="1411.0"/>
        <n v="800.0"/>
        <n v="2910.0"/>
        <n v="718.0"/>
        <n v="957.0"/>
        <n v="768.0"/>
        <n v="720.0"/>
        <n v="755.0"/>
        <n v="833.0"/>
        <n v="711.0"/>
        <n v="797.0"/>
        <n v="1179.0"/>
        <n v="1799.0"/>
        <n v="887.0"/>
        <n v="761.0"/>
        <n v="965.0"/>
        <n v="1043.0"/>
        <n v="672.0"/>
        <n v="1351.0"/>
        <n v="876.0"/>
        <n v="762.0"/>
        <n v="763.0"/>
        <n v="738.0"/>
        <n v="806.0"/>
        <n v="2397.0"/>
        <n v="708.0"/>
        <n v="712.0"/>
        <n v="690.0"/>
        <n v="651.0"/>
        <n v="785.0"/>
        <n v="650.0"/>
        <n v="674.0"/>
        <n v="730.0"/>
        <n v="976.0"/>
        <n v="1012.0"/>
        <n v="921.0"/>
        <n v="854.0"/>
        <n v="1094.0"/>
        <n v="688.0"/>
        <n v="995.0"/>
        <n v="740.0"/>
        <n v="826.0"/>
        <n v="684.0"/>
        <n v="2504.0"/>
        <n v="776.0"/>
        <n v="734.0"/>
        <n v="2331.0"/>
        <n v="1009.0"/>
        <n v="868.0"/>
        <n v="846.0"/>
        <n v="1237.0"/>
        <n v="1252.0"/>
        <n v="935.0"/>
        <n v="830.0"/>
        <n v="1025.0"/>
        <n v="698.0"/>
        <n v="694.0"/>
        <n v="919.0"/>
        <n v="1052.0"/>
        <n v="1021.0"/>
        <n v="843.0"/>
        <n v="932.0"/>
        <n v="1612.0"/>
        <n v="918.0"/>
        <n v="739.0"/>
        <n v="1527.0"/>
        <n v="1165.0"/>
        <n v="732.0"/>
        <n v="824.0"/>
        <n v="749.0"/>
        <n v="716.0"/>
        <n v="784.0"/>
        <n v="1111.0"/>
        <n v="1494.0"/>
        <n v="873.0"/>
        <n v="835.0"/>
        <n v="1320.0"/>
        <n v="671.0"/>
        <n v="678.0"/>
        <n v="1410.0"/>
        <n v="879.0"/>
        <n v="770.0"/>
        <n v="1812.0"/>
        <n v="1247.0"/>
        <n v="825.0"/>
        <n v="799.0"/>
        <n v="673.0"/>
        <n v="780.0"/>
        <n v="844.0"/>
        <n v="875.0"/>
        <n v="947.0"/>
        <n v="809.0"/>
        <n v="791.0"/>
        <n v="747.0"/>
        <n v="1646.0"/>
        <n v="952.0"/>
        <n v="886.0"/>
        <n v="1890.0"/>
        <n v="929.0"/>
        <n v="717.0"/>
        <n v="869.0"/>
        <n v="1145.0"/>
        <n v="909.0"/>
        <n v="1600.0"/>
        <n v="715.0"/>
        <n v="803.0"/>
        <n v="822.0"/>
        <n v="871.0"/>
        <n v="1790.0"/>
        <n v="693.0"/>
        <n v="954.0"/>
        <n v="669.0"/>
        <n v="758.0"/>
        <n v="2026.0"/>
        <n v="979.0"/>
        <n v="1075.0"/>
        <n v="1570.0"/>
        <n v="1206.0"/>
        <n v="1050.0"/>
        <n v="743.0"/>
        <n v="1704.0"/>
        <n v="1392.0"/>
        <n v="696.0"/>
        <n v="719.0"/>
        <n v="697.0"/>
        <n v="943.0"/>
        <n v="1384.0"/>
        <n v="1870.0"/>
        <n v="1623.0"/>
        <n v="998.0"/>
        <n v="771.0"/>
        <n v="676.0"/>
        <n v="1153.0"/>
        <n v="2790.0"/>
        <n v="661.0"/>
        <n v="727.0"/>
        <n v="1686.0"/>
        <n v="707.0"/>
        <n v="1064.0"/>
        <n v="704.0"/>
        <n v="1034.0"/>
        <n v="1188.0"/>
        <n v="713.0"/>
        <n v="814.0"/>
        <n v="1642.0"/>
        <n v="1297.0"/>
        <n v="987.0"/>
        <n v="654.0"/>
        <n v="849.0"/>
        <n v="742.0"/>
        <n v="1152.0"/>
        <n v="726.0"/>
        <n v="972.0"/>
        <n v="961.0"/>
        <n v="1120.0"/>
        <n v="731.0"/>
        <n v="855.0"/>
        <n v="1144.0"/>
        <n v="664.0"/>
        <n v="1545.0"/>
        <n v="2840.0"/>
        <n v="677.0"/>
        <n v="897.0"/>
        <n v="981.0"/>
        <n v="971.0"/>
        <n v="798.0"/>
        <n v="744.0"/>
        <n v="1163.0"/>
        <n v="2074.0"/>
        <n v="903.0"/>
        <n v="692.0"/>
        <n v="948.0"/>
        <n v="1496.0"/>
        <n v="1515.0"/>
        <n v="765.0"/>
        <n v="827.0"/>
        <n v="896.0"/>
        <n v="1018.0"/>
        <n v="702.0"/>
        <n v="675.0"/>
        <n v="841.0"/>
        <n v="1448.0"/>
        <n v="1960.0"/>
        <n v="759.0"/>
        <n v="686.0"/>
        <n v="1151.0"/>
        <n v="831.0"/>
        <n v="1563.0"/>
        <n v="714.0"/>
        <n v="1016.0"/>
        <n v="2820.0"/>
        <n v="872.0"/>
        <n v="760.0"/>
        <n v="700.0"/>
        <n v="709.0"/>
        <n v="779.0"/>
        <n v="982.0"/>
        <n v="724.0"/>
        <n v="706.0"/>
        <n v="1079.0"/>
        <n v="963.0"/>
        <n v="951.0"/>
        <n v="865.0"/>
        <n v="1017.0"/>
        <n v="842.0"/>
        <n v="889.0"/>
        <n v="1057.0"/>
        <n v="1332.0"/>
        <n v="1211.0"/>
        <n v="668.0"/>
        <n v="681.0"/>
        <n v="912.0"/>
        <n v="723.0"/>
        <n v="1092.0"/>
        <n v="1005.0"/>
        <n v="2015.0"/>
        <n v="679.0"/>
        <n v="710.0"/>
        <n v="1115.0"/>
        <n v="2083.0"/>
        <n v="1421.0"/>
        <n v="736.0"/>
        <n v="904.0"/>
        <n v="754.0"/>
        <n v="993.0"/>
        <n v="1425.0"/>
        <n v="1014.0"/>
        <n v="795.0"/>
        <n v="1455.0"/>
        <n v="1726.0"/>
        <n v="745.0"/>
        <n v="1221.0"/>
        <n v="1555.0"/>
        <n v="994.0"/>
        <n v="941.0"/>
        <n v="1000.0"/>
        <n v="1171.0"/>
        <n v="1213.0"/>
        <n v="2048.0"/>
        <n v="1752.0"/>
        <n v="1551.0"/>
        <n v="793.0"/>
        <n v="834.0"/>
        <n v="1400.0"/>
        <n v="847.0"/>
        <n v="1096.0"/>
        <n v="1562.0"/>
        <n v="915.0"/>
        <n v="913.0"/>
        <n v="787.0"/>
        <n v="813.0"/>
        <n v="893.0"/>
        <n v="1114.0"/>
        <n v="1154.0"/>
        <n v="931.0"/>
        <n v="1140.0"/>
        <n v="2184.0"/>
        <n v="988.0"/>
        <n v="1449.0"/>
        <n v="1054.0"/>
        <n v="946.0"/>
        <n v="772.0"/>
        <n v="1245.0"/>
        <n v="945.0"/>
        <n v="850.0"/>
        <n v="757.0"/>
        <n v="659.0"/>
        <n v="902.0"/>
        <n v="753.0"/>
        <n v="773.0"/>
        <n v="936.0"/>
        <n v="701.0"/>
        <n v="856.0"/>
        <n v="810.0"/>
        <n v="874.0"/>
        <n v="1280.0"/>
        <n v="1991.0"/>
        <n v="1180.0"/>
        <n v="1360.0"/>
        <n v="916.0"/>
        <n v="1639.0"/>
        <n v="1055.0"/>
        <n v="1175.0"/>
        <n v="703.0"/>
        <n v="1248.0"/>
        <n v="1202.0"/>
        <n v="1560.0"/>
        <n v="848.0"/>
        <n v="1046.0"/>
        <n v="840.0"/>
        <n v="680.0"/>
        <n v="888.0"/>
        <n v="910.0"/>
        <n v="832.0"/>
        <n v="914.0"/>
        <n v="808.0"/>
        <n v="1542.0"/>
        <n v="722.0"/>
        <n v="790.0"/>
        <n v="1133.0"/>
        <n v="1086.0"/>
        <n v="1385.0"/>
        <n v="782.0"/>
        <n v="1023.0"/>
        <n v="1481.0"/>
        <n v="1013.0"/>
        <n v="1026.0"/>
        <n v="891.0"/>
        <n v="934.0"/>
        <n v="721.0"/>
        <n v="683.0"/>
        <n v="1267.0"/>
        <n v="1104.0"/>
        <n v="1318.0"/>
        <n v="1020.0"/>
        <n v="1138.0"/>
        <n v="805.0"/>
        <n v="1274.0"/>
        <n v="858.0"/>
        <n v="870.0"/>
        <n v="705.0"/>
        <n v="665.0"/>
        <n v="1390.0"/>
        <n v="1024.0"/>
        <n v="1750.0"/>
        <n v="1441.0"/>
        <n v="985.0"/>
        <n v="960.0"/>
        <n v="1576.0"/>
        <n v="1007.0"/>
      </sharedItems>
    </cacheField>
    <cacheField name="net" numFmtId="0">
      <sharedItems>
        <s v="us"/>
        <s v="at"/>
        <s v="pt"/>
        <s v="ak"/>
        <s v="nn"/>
        <s v="ci"/>
        <s v="hv"/>
        <s v="nc"/>
        <s v="official"/>
        <s v="duputel"/>
        <s v="uw"/>
      </sharedItems>
    </cacheField>
    <cacheField name="nst" numFmtId="0">
      <sharedItems containsSemiMixedTypes="0" containsString="0" containsNumber="1" containsInteger="1">
        <n v="114.0"/>
        <n v="92.0"/>
        <n v="70.0"/>
        <n v="173.0"/>
        <n v="79.0"/>
        <n v="95.0"/>
        <n v="136.0"/>
        <n v="85.0"/>
        <n v="50.0"/>
        <n v="98.0"/>
        <n v="277.0"/>
        <n v="111.0"/>
        <n v="52.0"/>
        <n v="126.0"/>
        <n v="166.0"/>
        <n v="131.0"/>
        <n v="104.0"/>
        <n v="105.0"/>
        <n v="97.0"/>
        <n v="134.0"/>
        <n v="152.0"/>
        <n v="116.0"/>
        <n v="108.0"/>
        <n v="66.0"/>
        <n v="115.0"/>
        <n v="128.0"/>
        <n v="135.0"/>
        <n v="118.0"/>
        <n v="60.0"/>
        <n v="130.0"/>
        <n v="117.0"/>
        <n v="99.0"/>
        <n v="147.0"/>
        <n v="149.0"/>
        <n v="142.0"/>
        <n v="145.0"/>
        <n v="175.0"/>
        <n v="271.0"/>
        <n v="215.0"/>
        <n v="178.0"/>
        <n v="192.0"/>
        <n v="272.0"/>
        <n v="141.0"/>
        <n v="68.0"/>
        <n v="236.0"/>
        <n v="144.0"/>
        <n v="127.0"/>
        <n v="162.0"/>
        <n v="0.0"/>
        <n v="23.0"/>
        <n v="20.0"/>
        <n v="27.0"/>
        <n v="77.0"/>
        <n v="63.0"/>
        <n v="112.0"/>
        <n v="229.0"/>
        <n v="398.0"/>
        <n v="139.0"/>
        <n v="698.0"/>
        <n v="515.0"/>
        <n v="217.0"/>
        <n v="385.0"/>
        <n v="626.0"/>
        <n v="264.0"/>
        <n v="548.0"/>
        <n v="770.0"/>
        <n v="445.0"/>
        <n v="506.0"/>
        <n v="491.0"/>
        <n v="640.0"/>
        <n v="317.0"/>
        <n v="480.0"/>
        <n v="531.0"/>
        <n v="697.0"/>
        <n v="421.0"/>
        <n v="562.0"/>
        <n v="334.0"/>
        <n v="400.0"/>
        <n v="387.0"/>
        <n v="550.0"/>
        <n v="460.0"/>
        <n v="686.0"/>
        <n v="596.0"/>
        <n v="521.0"/>
        <n v="517.0"/>
        <n v="918.0"/>
        <n v="598.0"/>
        <n v="391.0"/>
        <n v="751.0"/>
        <n v="807.0"/>
        <n v="691.0"/>
        <n v="291.0"/>
        <n v="934.0"/>
        <n v="703.0"/>
        <n v="682.0"/>
        <n v="417.0"/>
        <n v="497.0"/>
        <n v="862.0"/>
        <n v="576.0"/>
        <n v="529.0"/>
        <n v="370.0"/>
        <n v="597.0"/>
        <n v="518.0"/>
        <n v="474.0"/>
        <n v="599.0"/>
        <n v="341.0"/>
        <n v="499.0"/>
        <n v="553.0"/>
        <n v="672.0"/>
        <n v="572.0"/>
        <n v="573.0"/>
        <n v="443.0"/>
        <n v="545.0"/>
        <n v="485.0"/>
        <n v="578.0"/>
        <n v="693.0"/>
        <n v="423.0"/>
        <n v="383.0"/>
        <n v="667.0"/>
        <n v="447.0"/>
        <n v="406.0"/>
        <n v="471.0"/>
        <n v="564.0"/>
        <n v="322.0"/>
        <n v="280.0"/>
        <n v="567.0"/>
        <n v="592.0"/>
        <n v="519.0"/>
        <n v="586.0"/>
        <n v="446.0"/>
        <n v="335.0"/>
        <n v="668.0"/>
        <n v="369.0"/>
        <n v="507.0"/>
        <n v="163.0"/>
        <n v="541.0"/>
        <n v="358.0"/>
        <n v="382.0"/>
        <n v="372.0"/>
        <n v="397.0"/>
        <n v="409.0"/>
        <n v="279.0"/>
        <n v="306.0"/>
        <n v="379.0"/>
        <n v="352.0"/>
        <n v="365.0"/>
        <n v="405.0"/>
        <n v="396.0"/>
        <n v="403.0"/>
        <n v="340.0"/>
        <n v="456.0"/>
        <n v="295.0"/>
        <n v="392.0"/>
        <n v="309.0"/>
        <n v="307.0"/>
        <n v="514.0"/>
        <n v="327.0"/>
        <n v="611.0"/>
        <n v="410.0"/>
        <n v="399.0"/>
        <n v="10.0"/>
        <n v="413.0"/>
        <n v="312.0"/>
        <n v="415.0"/>
        <n v="401.0"/>
        <n v="255.0"/>
        <n v="426.0"/>
        <n v="454.0"/>
        <n v="487.0"/>
        <n v="500.0"/>
        <n v="51.0"/>
        <n v="338.0"/>
        <n v="377.0"/>
        <n v="282.0"/>
        <n v="390.0"/>
        <n v="430.0"/>
        <n v="305.0"/>
        <n v="424.0"/>
        <n v="174.0"/>
        <n v="314.0"/>
        <n v="195.0"/>
        <n v="283.0"/>
        <n v="498.0"/>
        <n v="520.0"/>
        <n v="336.0"/>
        <n v="303.0"/>
        <n v="243.0"/>
        <n v="434.0"/>
        <n v="269.0"/>
        <n v="464.0"/>
        <n v="504.0"/>
        <n v="432.0"/>
        <n v="344.0"/>
        <n v="288.0"/>
        <n v="481.0"/>
        <n v="463.0"/>
        <n v="325.0"/>
        <n v="633.0"/>
        <n v="577.0"/>
        <n v="630.0"/>
        <n v="654.0"/>
        <n v="774.0"/>
        <n v="486.0"/>
        <n v="532.0"/>
        <n v="544.0"/>
        <n v="543.0"/>
        <n v="505.0"/>
        <n v="429.0"/>
        <n v="607.0"/>
        <n v="650.0"/>
        <n v="645.0"/>
        <n v="461.0"/>
        <n v="663.0"/>
        <n v="353.0"/>
        <n v="649.0"/>
        <n v="285.0"/>
        <n v="610.0"/>
        <n v="494.0"/>
        <n v="348.0"/>
        <n v="503.0"/>
        <n v="537.0"/>
        <n v="411.0"/>
        <n v="653.0"/>
        <n v="625.0"/>
        <n v="228.0"/>
        <n v="374.0"/>
        <n v="664.0"/>
        <n v="782.0"/>
        <n v="468.0"/>
        <n v="251.0"/>
        <n v="439.0"/>
        <n v="493.0"/>
        <n v="253.0"/>
        <n v="570.0"/>
        <n v="606.0"/>
        <n v="466.0"/>
        <n v="744.0"/>
        <n v="444.0"/>
        <n v="533.0"/>
        <n v="43.0"/>
        <n v="702.0"/>
        <n v="459.0"/>
        <n v="700.0"/>
        <n v="551.0"/>
        <n v="357.0"/>
        <n v="477.0"/>
        <n v="701.0"/>
        <n v="579.0"/>
        <n v="247.0"/>
        <n v="412.0"/>
        <n v="769.0"/>
        <n v="323.0"/>
        <n v="561.0"/>
        <n v="509.0"/>
        <n v="724.0"/>
        <n v="402.0"/>
        <n v="696.0"/>
        <n v="502.0"/>
        <n v="636.0"/>
        <n v="420.0"/>
        <n v="714.0"/>
        <n v="635.0"/>
        <n v="695.0"/>
        <n v="478.0"/>
        <n v="656.0"/>
        <n v="510.0"/>
        <n v="569.0"/>
        <n v="371.0"/>
        <n v="286.0"/>
        <n v="457.0"/>
        <n v="225.0"/>
        <n v="601.0"/>
        <n v="331.0"/>
        <n v="639.0"/>
        <n v="759.0"/>
        <n v="929.0"/>
        <n v="585.0"/>
        <n v="708.0"/>
        <n v="301.0"/>
        <n v="233.0"/>
        <n v="441.0"/>
        <n v="526.0"/>
        <n v="594.0"/>
        <n v="643.0"/>
        <n v="349.0"/>
        <n v="798.0"/>
        <n v="386.0"/>
        <n v="728.0"/>
        <n v="256.0"/>
        <n v="367.0"/>
        <n v="235.0"/>
        <n v="552.0"/>
        <n v="65.0"/>
        <n v="384.0"/>
        <n v="475.0"/>
        <n v="568.0"/>
        <n v="556.0"/>
        <n v="428.0"/>
        <n v="315.0"/>
        <n v="156.0"/>
        <n v="733.0"/>
        <n v="419.0"/>
        <n v="473.0"/>
        <n v="690.0"/>
        <n v="534.0"/>
        <n v="431.0"/>
        <n v="316.0"/>
        <n v="453.0"/>
        <n v="418.0"/>
        <n v="250.0"/>
        <n v="375.0"/>
        <n v="646.0"/>
        <n v="260.0"/>
        <n v="555.0"/>
        <n v="257.0"/>
        <n v="462.0"/>
        <n v="292.0"/>
        <n v="321.0"/>
        <n v="138.0"/>
        <n v="482.0"/>
        <n v="333.0"/>
        <n v="427.0"/>
        <n v="605.0"/>
        <n v="368.0"/>
        <n v="254.0"/>
        <n v="234.0"/>
        <n v="483.0"/>
        <n v="324.0"/>
        <n v="422.0"/>
        <n v="206.0"/>
        <n v="67.0"/>
        <n v="221.0"/>
        <n v="273.0"/>
        <n v="472.0"/>
        <n v="64.0"/>
        <n v="495.0"/>
        <n v="268.0"/>
        <n v="267.0"/>
        <n v="346.0"/>
        <n v="71.0"/>
        <n v="294.0"/>
        <n v="593.0"/>
        <n v="218.0"/>
        <n v="351.0"/>
        <n v="73.0"/>
      </sharedItems>
    </cacheField>
    <cacheField name="dmin" numFmtId="0">
      <sharedItems containsSemiMixedTypes="0" containsString="0" containsNumber="1">
        <n v="7.177"/>
        <n v="0.679"/>
        <n v="1.634"/>
        <n v="0.907"/>
        <n v="0.879451"/>
        <n v="2.454"/>
        <n v="1.179"/>
        <n v="2.59"/>
        <n v="2.163"/>
        <n v="2.812"/>
        <n v="3.111"/>
        <n v="3.631"/>
        <n v="5.123"/>
        <n v="2.282"/>
        <n v="0.708"/>
        <n v="4.719"/>
        <n v="1.881"/>
        <n v="0.266"/>
        <n v="6.45"/>
        <n v="1.622"/>
        <n v="2.53"/>
        <n v="0.709"/>
        <n v="1.789"/>
        <n v="0.784"/>
        <n v="5.483"/>
        <n v="2.739"/>
        <n v="1.783"/>
        <n v="0.85"/>
        <n v="0.218"/>
        <n v="1.919"/>
        <n v="5.129"/>
        <n v="1.974"/>
        <n v="1.575"/>
        <n v="6.096"/>
        <n v="2.587"/>
        <n v="0.509"/>
        <n v="2.229"/>
        <n v="3.125"/>
        <n v="1.865"/>
        <n v="4.998"/>
        <n v="4.578"/>
        <n v="4.678"/>
        <n v="1.151"/>
        <n v="2.137"/>
        <n v="1.153"/>
        <n v="0.401"/>
        <n v="0.43"/>
        <n v="2.977"/>
        <n v="3.158"/>
        <n v="8.454"/>
        <n v="5.293"/>
        <n v="5.276"/>
        <n v="1.999"/>
        <n v="2.494"/>
        <n v="0.371"/>
        <n v="1.505"/>
        <n v="0.914"/>
        <n v="2.705"/>
        <n v="2.697"/>
        <n v="0.289"/>
        <n v="2.936"/>
        <n v="2.188"/>
        <n v="0.827"/>
        <n v="5.78"/>
        <n v="3.026"/>
        <n v="1.088"/>
        <n v="2.418"/>
        <n v="1.61607"/>
        <n v="0.0"/>
        <n v="0.507"/>
        <n v="0.936943"/>
        <n v="0.92"/>
        <n v="1.168"/>
        <n v="2.685"/>
        <n v="3.713"/>
        <n v="1.025"/>
        <n v="4.951"/>
        <n v="3.259"/>
        <n v="4.778"/>
        <n v="4.493"/>
        <n v="0.993"/>
        <n v="0.07"/>
        <n v="9.799"/>
        <n v="8.865"/>
        <n v="0.579"/>
        <n v="8.363"/>
        <n v="1.178"/>
        <n v="1.173"/>
        <n v="7.463"/>
        <n v="7.227"/>
        <n v="1.273"/>
        <n v="0.875"/>
        <n v="8.139"/>
        <n v="1.395"/>
        <n v="7.994"/>
        <n v="4.518"/>
        <n v="4.655"/>
        <n v="1.487"/>
        <n v="10.669"/>
        <n v="2.619"/>
        <n v="5.931"/>
        <n v="10.405"/>
        <n v="2.378"/>
        <n v="3.183"/>
        <n v="11.764"/>
        <n v="0.739"/>
        <n v="0.437"/>
        <n v="0.918"/>
        <n v="3.085"/>
        <n v="7.989"/>
        <n v="1.55"/>
        <n v="2.821"/>
        <n v="2.043"/>
        <n v="1.319"/>
        <n v="1.518"/>
        <n v="0.23"/>
        <n v="11.255"/>
        <n v="0.388"/>
        <n v="0.312"/>
        <n v="15.394"/>
        <n v="2.267"/>
        <n v="1.716"/>
        <n v="1.816"/>
        <n v="5.128"/>
        <n v="0.621"/>
        <n v="1.671"/>
        <n v="1.458"/>
        <n v="0.151"/>
        <n v="4.035"/>
        <n v="2.015"/>
        <n v="1.164"/>
        <n v="0.357"/>
        <n v="3.403"/>
        <n v="1.921"/>
        <n v="1.293"/>
        <n v="0.885"/>
        <n v="4.109"/>
        <n v="4.501"/>
        <n v="1.657"/>
        <n v="0.87"/>
        <n v="0.546"/>
        <n v="1.271"/>
        <n v="4.765"/>
        <n v="5.086"/>
        <n v="0.428"/>
        <n v="0.646"/>
        <n v="1.269"/>
        <n v="3.909"/>
        <n v="4.121"/>
        <n v="12.896"/>
        <n v="2.839"/>
        <n v="0.817"/>
        <n v="6.024"/>
        <n v="1.504"/>
        <n v="2.978"/>
        <n v="1.205"/>
        <n v="0.04616"/>
        <n v="2.629"/>
        <n v="1.402"/>
        <n v="1.193"/>
        <n v="3.18"/>
        <n v="0.453"/>
        <n v="2.514"/>
        <n v="0.791"/>
        <n v="7.568"/>
        <n v="2.501"/>
        <n v="2.045"/>
        <n v="7.527"/>
        <n v="0.173"/>
        <n v="7.818"/>
        <n v="1.596"/>
        <n v="1.181"/>
        <n v="1.769"/>
        <n v="4.126"/>
        <n v="7.043"/>
        <n v="2.679"/>
        <n v="2.405"/>
        <n v="2.879"/>
        <n v="7.853"/>
        <n v="2.268"/>
        <n v="1.692"/>
        <n v="1.611"/>
        <n v="2.109"/>
        <n v="3.923"/>
        <n v="1.778"/>
        <n v="3.745"/>
        <n v="1.649"/>
        <n v="5.139"/>
        <n v="2.785"/>
        <n v="1.638"/>
        <n v="1.431"/>
        <n v="1.13"/>
        <n v="2.548"/>
        <n v="3.77"/>
        <n v="4.797"/>
        <n v="1.822"/>
        <n v="2.453"/>
        <n v="3.63"/>
        <n v="2.719"/>
        <n v="0.576"/>
        <n v="2.271"/>
        <n v="0.11"/>
        <n v="5.32"/>
        <n v="1.507"/>
        <n v="1.049"/>
        <n v="5.457"/>
        <n v="5.48"/>
        <n v="0.142"/>
        <n v="2.585"/>
        <n v="4.29"/>
        <n v="4.581"/>
        <n v="2.365"/>
        <n v="17.654"/>
        <n v="0.617"/>
        <n v="0.529"/>
        <n v="0.225"/>
        <n v="0.284"/>
        <n v="4.449"/>
        <n v="4.852"/>
        <n v="0.788"/>
        <n v="1.062"/>
        <n v="1.154"/>
        <n v="0.984"/>
        <n v="0.944"/>
        <n v="11.411"/>
        <n v="0.913"/>
        <n v="3.564"/>
        <n v="3.773"/>
        <n v="4.139"/>
        <n v="1.065"/>
        <n v="0.247"/>
        <n v="2.308"/>
        <n v="2.353"/>
        <n v="6.489"/>
        <n v="7.495"/>
        <n v="1.636"/>
        <n v="0.356"/>
        <n v="2.36"/>
        <n v="4.591"/>
        <n v="6.012"/>
        <n v="4.242"/>
        <n v="2.822"/>
        <n v="3.625"/>
        <n v="1.64"/>
        <n v="3.813"/>
        <n v="2.495"/>
        <n v="0.355"/>
        <n v="3.38"/>
        <n v="1.389"/>
        <n v="1.747"/>
        <n v="1.937"/>
        <n v="1.836"/>
        <n v="1.405"/>
        <n v="0.778"/>
        <n v="1.697"/>
        <n v="1.796"/>
        <n v="0.671"/>
        <n v="0.283"/>
        <n v="0.135"/>
        <n v="0.481"/>
        <n v="0.174"/>
        <n v="2.022"/>
        <n v="3.727"/>
        <n v="4.051"/>
        <n v="0.698"/>
        <n v="0.803"/>
        <n v="1.802"/>
        <n v="4.823"/>
        <n v="3.294"/>
        <n v="2.435"/>
        <n v="5.803"/>
        <n v="5.485"/>
        <n v="1.192"/>
        <n v="1.352"/>
        <n v="0.616"/>
        <n v="1.44"/>
        <n v="0.349"/>
        <n v="3.001"/>
        <n v="0.789"/>
        <n v="6.787"/>
        <n v="6.697"/>
        <n v="1.166"/>
        <n v="7.009"/>
        <n v="0.958"/>
        <n v="2.413"/>
        <n v="0.281"/>
        <n v="3.144"/>
        <n v="1.794"/>
        <n v="0.41"/>
        <n v="2.979"/>
        <n v="1.116"/>
        <n v="2.033"/>
        <n v="2.852"/>
        <n v="3.287"/>
        <n v="1.599"/>
        <n v="1.444"/>
        <n v="0.821"/>
        <n v="2.792"/>
        <n v="0.258"/>
        <n v="1.53"/>
        <n v="0.622"/>
        <n v="0.592"/>
        <n v="2.486"/>
        <n v="1.064"/>
        <n v="0.853"/>
        <n v="0.749"/>
        <n v="0.903"/>
        <n v="0.684"/>
        <n v="1.256"/>
        <n v="1.872"/>
        <n v="6.278"/>
        <n v="0.444"/>
        <n v="5.205"/>
        <n v="1.218"/>
        <n v="1.529"/>
        <n v="2.277"/>
        <n v="1.675"/>
        <n v="3.619"/>
        <n v="4.024"/>
        <n v="4.395"/>
        <n v="1.422"/>
        <n v="0.677"/>
        <n v="3.835"/>
        <n v="1.295"/>
        <n v="1.074"/>
        <n v="1.239"/>
        <n v="0.727"/>
        <n v="1.857"/>
        <n v="3.702"/>
        <n v="4.629"/>
        <n v="0.666"/>
        <n v="1.362"/>
        <n v="1.925"/>
        <n v="2.11"/>
        <n v="2.019"/>
        <n v="4.318"/>
        <n v="2.485"/>
        <n v="3.246"/>
        <n v="2.6"/>
        <n v="1.421"/>
        <n v="1.549"/>
        <n v="1.079"/>
        <n v="1.397"/>
        <n v="3.557"/>
        <n v="4.415"/>
        <n v="1.078"/>
        <n v="0.46"/>
        <n v="4.107"/>
        <n v="6.393"/>
        <n v="3.934"/>
        <n v="2.421"/>
        <n v="0.263"/>
        <n v="2.124"/>
        <n v="6.713"/>
        <n v="4.838"/>
        <n v="0.133"/>
        <n v="0.748"/>
        <n v="0.751"/>
        <n v="0.402"/>
        <n v="3.121"/>
        <n v="3.34"/>
        <n v="3.82"/>
        <n v="3.803"/>
        <n v="2.25"/>
        <n v="2.666"/>
        <n v="2.885"/>
        <n v="2.828"/>
        <n v="0.761"/>
        <n v="3.787"/>
        <n v="3.729"/>
        <n v="1.029"/>
        <n v="0.828"/>
        <n v="0.609"/>
        <n v="1.008"/>
        <n v="0.6568"/>
        <n v="1.001"/>
        <n v="1.635"/>
        <n v="7.496"/>
        <n v="0.409"/>
        <n v="3.651"/>
        <n v="3.997"/>
        <n v="5.194"/>
        <n v="8.05"/>
        <n v="8.284"/>
        <n v="0.636"/>
        <n v="3.968"/>
        <n v="1.98"/>
        <n v="5.79"/>
        <n v="1.984"/>
        <n v="2.958"/>
        <n v="1.709"/>
        <n v="7.359"/>
        <n v="4.446"/>
        <n v="7.241"/>
        <n v="0.735"/>
        <n v="3.276"/>
        <n v="3.097"/>
        <n v="0.624"/>
        <n v="3.741"/>
        <n v="0.5137"/>
        <n v="0.3225"/>
        <n v="0.04685"/>
      </sharedItems>
    </cacheField>
    <cacheField name="gap" numFmtId="0">
      <sharedItems containsSemiMixedTypes="0" containsString="0" containsNumber="1">
        <n v="25.0"/>
        <n v="40.0"/>
        <n v="28.0"/>
        <n v="36.0"/>
        <n v="172.8"/>
        <n v="37.0"/>
        <n v="23.0"/>
        <n v="24.0"/>
        <n v="129.0"/>
        <n v="56.0"/>
        <n v="15.0"/>
        <n v="17.0"/>
        <n v="50.0"/>
        <n v="58.0"/>
        <n v="10.0"/>
        <n v="31.0"/>
        <n v="30.0"/>
        <n v="33.0"/>
        <n v="13.0"/>
        <n v="22.0"/>
        <n v="18.0"/>
        <n v="45.0"/>
        <n v="20.0"/>
        <n v="44.0"/>
        <n v="32.0"/>
        <n v="61.0"/>
        <n v="21.0"/>
        <n v="26.0"/>
        <n v="34.0"/>
        <n v="27.0"/>
        <n v="92.0"/>
        <n v="69.0"/>
        <n v="54.0"/>
        <n v="12.0"/>
        <n v="94.0"/>
        <n v="42.0"/>
        <n v="29.0"/>
        <n v="43.0"/>
        <n v="46.0"/>
        <n v="57.0"/>
        <n v="108.0"/>
        <n v="208.8"/>
        <n v="49.0"/>
        <n v="126.0"/>
        <n v="205.2"/>
        <n v="19.0"/>
        <n v="0.0"/>
        <n v="114.0"/>
        <n v="48.0"/>
        <n v="78.0"/>
        <n v="38.0"/>
        <n v="66.0"/>
        <n v="9.0"/>
        <n v="35.0"/>
        <n v="11.0"/>
        <n v="16.0"/>
        <n v="14.0"/>
        <n v="60.0"/>
        <n v="55.79"/>
        <n v="39.0"/>
        <n v="98.0"/>
        <n v="68.0"/>
        <n v="63.0"/>
        <n v="210.0"/>
        <n v="82.0"/>
        <n v="55.0"/>
        <n v="74.0"/>
        <n v="41.0"/>
        <n v="62.0"/>
        <n v="123.0"/>
        <n v="8.0"/>
        <n v="51.0"/>
        <n v="119.0"/>
        <n v="229.0"/>
        <n v="53.0"/>
        <n v="25.2"/>
        <n v="16.6"/>
        <n v="12.6"/>
        <n v="10.1"/>
        <n v="26.6"/>
        <n v="11.5"/>
        <n v="11.4"/>
        <n v="14.2"/>
        <n v="20.7"/>
        <n v="15.3"/>
        <n v="23.7"/>
        <n v="16.5"/>
        <n v="17.5"/>
        <n v="26.5"/>
        <n v="18.4"/>
        <n v="20.9"/>
        <n v="19.3"/>
        <n v="13.7"/>
        <n v="8.7"/>
        <n v="14.8"/>
        <n v="57.3"/>
        <n v="25.5"/>
        <n v="42.7"/>
        <n v="34.4"/>
        <n v="17.7"/>
        <n v="15.5"/>
        <n v="34.3"/>
        <n v="10.2"/>
        <n v="14.6"/>
        <n v="13.8"/>
        <n v="11.7"/>
        <n v="15.7"/>
        <n v="15.4"/>
        <n v="26.9"/>
        <n v="95.9"/>
        <n v="54.1"/>
        <n v="14.9"/>
        <n v="15.2"/>
        <n v="37.9"/>
        <n v="13.4"/>
        <n v="11.1"/>
        <n v="17.6"/>
        <n v="10.6"/>
        <n v="38.6"/>
        <n v="46.5"/>
        <n v="19.7"/>
        <n v="10.9"/>
        <n v="12.3"/>
        <n v="33.5"/>
        <n v="24.9"/>
        <n v="12.5"/>
        <n v="37.2"/>
        <n v="18.2"/>
        <n v="9.5"/>
        <n v="18.7"/>
        <n v="10.8"/>
        <n v="48.4"/>
        <n v="17.4"/>
        <n v="33.9"/>
        <n v="34.7"/>
        <n v="25.3"/>
        <n v="13.3"/>
        <n v="30.1"/>
        <n v="24.3"/>
        <n v="18.5"/>
        <n v="50.3"/>
        <n v="15.1"/>
        <n v="15.8"/>
        <n v="12.4"/>
        <n v="20.2"/>
        <n v="12.7"/>
        <n v="52.8"/>
        <n v="18.1"/>
        <n v="18.6"/>
        <n v="20.6"/>
        <n v="12.1"/>
        <n v="19.2"/>
        <n v="239.0"/>
        <n v="16.7"/>
        <n v="17.1"/>
        <n v="23.2"/>
        <n v="27.8"/>
        <n v="17.8"/>
        <n v="22.7"/>
        <n v="220.0"/>
        <n v="20.4"/>
        <n v="21.4"/>
        <n v="30.2"/>
        <n v="20.3"/>
        <n v="20.8"/>
        <n v="16.3"/>
        <n v="14.1"/>
        <n v="16.8"/>
        <n v="27.2"/>
        <n v="21.1"/>
        <n v="22.6"/>
        <n v="29.8"/>
        <n v="33.7"/>
        <n v="28.6"/>
        <n v="22.3"/>
        <n v="22.2"/>
        <n v="11.3"/>
        <n v="25.9"/>
        <n v="28.3"/>
        <n v="16.4"/>
        <n v="30.7"/>
        <n v="30.6"/>
        <n v="27.6"/>
        <n v="18.8"/>
        <n v="30.3"/>
        <n v="27.5"/>
        <n v="15.9"/>
        <n v="40.1"/>
        <n v="22.4"/>
        <n v="23.9"/>
        <n v="23.1"/>
        <n v="26.2"/>
        <n v="29.1"/>
        <n v="32.3"/>
        <n v="21.3"/>
        <n v="12.8"/>
        <n v="25.7"/>
        <n v="24.1"/>
        <n v="37.7"/>
        <n v="14.7"/>
        <n v="40.3"/>
        <n v="21.6"/>
        <n v="31.6"/>
        <n v="53.4"/>
        <n v="15.6"/>
        <n v="124.0"/>
        <n v="28.4"/>
        <n v="47.4"/>
        <n v="36.8"/>
        <n v="46.3"/>
        <n v="25.6"/>
        <n v="48.2"/>
        <n v="20.5"/>
        <n v="48.8"/>
        <n v="19.6"/>
        <n v="26.4"/>
        <n v="31.4"/>
        <n v="16.1"/>
        <n v="21.2"/>
        <n v="22.1"/>
        <n v="22.9"/>
        <n v="33.8"/>
        <n v="31.8"/>
        <n v="47.3"/>
        <n v="78.5"/>
        <n v="31.9"/>
        <n v="27.9"/>
        <n v="59.3"/>
        <n v="21.8"/>
        <n v="23.6"/>
        <n v="28.8"/>
        <n v="50.2"/>
        <n v="21.5"/>
        <n v="37.3"/>
        <n v="24.7"/>
        <n v="32.2"/>
        <n v="18.3"/>
        <n v="31.2"/>
        <n v="46.9"/>
        <n v="29.9"/>
        <n v="33.3"/>
        <n v="42.5"/>
        <n v="46.6"/>
        <n v="44.8"/>
        <n v="71.0"/>
        <n v="27.7"/>
        <n v="25.1"/>
        <n v="45.9"/>
        <n v="61.2"/>
        <n v="55.4"/>
        <n v="24.5"/>
        <n v="71.3"/>
        <n v="78.8"/>
        <n v="39.1"/>
        <n v="26.7"/>
        <n v="19.1"/>
        <n v="19.4"/>
        <n v="28.7"/>
        <n v="38.4"/>
      </sharedItems>
    </cacheField>
    <cacheField name="magType" numFmtId="0">
      <sharedItems>
        <s v="mww"/>
        <s v="mi"/>
        <s v="mwc"/>
        <s v="mwb"/>
        <s v="ml"/>
        <s v="mw"/>
        <s v="ms"/>
        <s v="mb"/>
        <s v="md"/>
      </sharedItems>
    </cacheField>
    <cacheField name="depth" numFmtId="0">
      <sharedItems containsSemiMixedTypes="0" containsString="0" containsNumber="1">
        <n v="192.955"/>
        <n v="69.727"/>
        <n v="171.371"/>
        <n v="32.571"/>
        <n v="21.0"/>
        <n v="10.0"/>
        <n v="229.0"/>
        <n v="167.404"/>
        <n v="35.981"/>
        <n v="18.027"/>
        <n v="210.097"/>
        <n v="598.467"/>
        <n v="15.462"/>
        <n v="43.063"/>
        <n v="595.854"/>
        <n v="594.028"/>
        <n v="105.631"/>
        <n v="62.603"/>
        <n v="209.976"/>
        <n v="187.589"/>
        <n v="65.842"/>
        <n v="22.065"/>
        <n v="205.681"/>
        <n v="598.925"/>
        <n v="20.522"/>
        <n v="14.497"/>
        <n v="17.925"/>
        <n v="610.671"/>
        <n v="28.566"/>
        <n v="105.249"/>
        <n v="29.0"/>
        <n v="38.0"/>
        <n v="14.0"/>
        <n v="25.0"/>
        <n v="579.0"/>
        <n v="37.0"/>
        <n v="624.464"/>
        <n v="660.0"/>
        <n v="630.379"/>
        <n v="20.0"/>
        <n v="26.943"/>
        <n v="137.0"/>
        <n v="116.0"/>
        <n v="12.0"/>
        <n v="30.0"/>
        <n v="33.729"/>
        <n v="622.73"/>
        <n v="236.0"/>
        <n v="220.0"/>
        <n v="27.0"/>
        <n v="24.0"/>
        <n v="41.0"/>
        <n v="28.0"/>
        <n v="535.0"/>
        <n v="110.0"/>
        <n v="8.0"/>
        <n v="33.0"/>
        <n v="19.0"/>
        <n v="13.0"/>
        <n v="165.49"/>
        <n v="14.27"/>
        <n v="126.0"/>
        <n v="51.6"/>
        <n v="527.0"/>
        <n v="6.0"/>
        <n v="7.0"/>
        <n v="93.0"/>
        <n v="16.7"/>
        <n v="33.3"/>
        <n v="20.74"/>
        <n v="22.79"/>
        <n v="47.23"/>
        <n v="55.14"/>
        <n v="46.66"/>
        <n v="35.0"/>
        <n v="11.0"/>
        <n v="43.0"/>
        <n v="246.0"/>
        <n v="301.0"/>
        <n v="13.23"/>
        <n v="28.93"/>
        <n v="43.98"/>
        <n v="15.0"/>
        <n v="80.0"/>
        <n v="28.37"/>
        <n v="16.0"/>
        <n v="624.0"/>
        <n v="26.0"/>
        <n v="22.0"/>
        <n v="73.0"/>
        <n v="533.76"/>
        <n v="165.0"/>
        <n v="112.0"/>
        <n v="2.7"/>
        <n v="107.0"/>
        <n v="96.0"/>
        <n v="12.06"/>
        <n v="57.8"/>
        <n v="143.0"/>
        <n v="14.86"/>
        <n v="18.0"/>
        <n v="577.0"/>
        <n v="12.26"/>
        <n v="591.0"/>
        <n v="49.0"/>
        <n v="181.0"/>
        <n v="18.98"/>
        <n v="212.0"/>
        <n v="46.0"/>
        <n v="57.92"/>
        <n v="122.57"/>
        <n v="146.0"/>
        <n v="15.46"/>
        <n v="267.0"/>
        <n v="145.0"/>
        <n v="66.0"/>
        <n v="63.0"/>
        <n v="43.21"/>
        <n v="570.41"/>
        <n v="60.21"/>
        <n v="16.56"/>
        <n v="133.0"/>
        <n v="46.7"/>
        <n v="540.0"/>
        <n v="17.0"/>
        <n v="461.0"/>
        <n v="39.0"/>
        <n v="550.0"/>
        <n v="576.0"/>
        <n v="115.0"/>
        <n v="68.0"/>
        <n v="670.81"/>
        <n v="21.43"/>
        <n v="630.0"/>
        <n v="9.0"/>
        <n v="146.82"/>
        <n v="600.0"/>
        <n v="529.0"/>
        <n v="33.93"/>
        <n v="34.0"/>
        <n v="5.81"/>
        <n v="559.0"/>
        <n v="40.0"/>
        <n v="22.86"/>
        <n v="20.49"/>
        <n v="25.21"/>
        <n v="14.06"/>
        <n v="90.0"/>
        <n v="19.36"/>
        <n v="110.57"/>
        <n v="553.81"/>
        <n v="119.0"/>
        <n v="48.0"/>
        <n v="47.39"/>
        <n v="38.12"/>
        <n v="5.0"/>
        <n v="169.0"/>
        <n v="414.5"/>
        <n v="595.98"/>
        <n v="135.0"/>
        <n v="36.0"/>
        <n v="627.17"/>
        <n v="152.0"/>
        <n v="94.54"/>
        <n v="19.73"/>
        <n v="8.45"/>
        <n v="15.11"/>
        <n v="614.0"/>
        <n v="42.0"/>
        <n v="596.4"/>
        <n v="476.0"/>
        <n v="82.0"/>
        <n v="16.37"/>
        <n v="196.0"/>
        <n v="50.0"/>
        <n v="78.0"/>
        <n v="405.69"/>
        <n v="29.95"/>
        <n v="20.59"/>
        <n v="136.0"/>
        <n v="27.59"/>
        <n v="177.0"/>
        <n v="125.6"/>
        <n v="55.0"/>
        <n v="85.0"/>
        <n v="602.75"/>
        <n v="620.56"/>
        <n v="606.21"/>
        <n v="12.59"/>
        <n v="231.0"/>
        <n v="23.0"/>
        <n v="28.41"/>
        <n v="22.44"/>
        <n v="6.43"/>
        <n v="460.0"/>
        <n v="664.0"/>
        <n v="72.6"/>
        <n v="11.19"/>
        <n v="44.0"/>
        <n v="31.0"/>
        <n v="22.91"/>
        <n v="8.22"/>
        <n v="552.06"/>
        <n v="223.0"/>
        <n v="219.96"/>
        <n v="45.0"/>
        <n v="53.19"/>
        <n v="434.0"/>
        <n v="130.0"/>
        <n v="101.0"/>
        <n v="615.42"/>
        <n v="53.0"/>
        <n v="109.0"/>
        <n v="26.59"/>
        <n v="106.0"/>
        <n v="43.37"/>
        <n v="22.56"/>
        <n v="60.53"/>
        <n v="22.4"/>
        <n v="24.07"/>
        <n v="28.42"/>
        <n v="16.441"/>
        <n v="14.83"/>
        <n v="122.0"/>
        <n v="44.26"/>
        <n v="187.0"/>
        <n v="371.0"/>
        <n v="9.97"/>
        <n v="9.45"/>
        <n v="19.04"/>
        <n v="573.0"/>
        <n v="41.54"/>
        <n v="402.0"/>
        <n v="8.2"/>
        <n v="56.0"/>
        <n v="385.5"/>
        <n v="598.1"/>
        <n v="173.7"/>
        <n v="602.2"/>
        <n v="8.8"/>
        <n v="8.7"/>
        <n v="200.7"/>
        <n v="155.0"/>
        <n v="13.7"/>
        <n v="170.0"/>
        <n v="91.1"/>
        <n v="583.2"/>
        <n v="134.7"/>
        <n v="198.0"/>
        <n v="25.1"/>
        <n v="40.7"/>
        <n v="118.0"/>
        <n v="59.0"/>
        <n v="91.0"/>
        <n v="185.1"/>
        <n v="147.0"/>
        <n v="32.0"/>
        <n v="79.0"/>
        <n v="166.2"/>
        <n v="25.7"/>
        <n v="6.8"/>
        <n v="18.6"/>
        <n v="42.6"/>
        <n v="20.1"/>
        <n v="206.7"/>
        <n v="578.0"/>
        <n v="10.5"/>
        <n v="9.987"/>
        <n v="176.0"/>
        <n v="22.9"/>
        <n v="28.737"/>
        <n v="15.4"/>
        <n v="595.0"/>
        <n v="31.1"/>
        <n v="81.0"/>
        <n v="292.0"/>
        <n v="64.0"/>
        <n v="204.8"/>
        <n v="27.4"/>
        <n v="108.0"/>
        <n v="25.5"/>
        <n v="7.8"/>
        <n v="83.0"/>
        <n v="156.0"/>
        <n v="122.9"/>
        <n v="28.9"/>
        <n v="40.5"/>
        <n v="280.0"/>
        <n v="120.0"/>
        <n v="350.4"/>
        <n v="38.182"/>
        <n v="150.0"/>
        <n v="60.5"/>
        <n v="30.1"/>
        <n v="224.6"/>
        <n v="115.6"/>
        <n v="201.7"/>
        <n v="39.7"/>
        <n v="206.3"/>
        <n v="525.0"/>
        <n v="27.8"/>
        <n v="16.1"/>
        <n v="39.2"/>
        <n v="94.0"/>
        <n v="105.0"/>
        <n v="13.4"/>
        <n v="188.6"/>
        <n v="65.8"/>
        <n v="228.4"/>
        <n v="187.1"/>
        <n v="16.6"/>
        <n v="17.4"/>
        <n v="8.382"/>
        <n v="113.7"/>
        <n v="174.8"/>
        <n v="40.2"/>
        <n v="71.9"/>
        <n v="4.2"/>
        <n v="54.0"/>
        <n v="85.7"/>
        <n v="62.0"/>
        <n v="24.9"/>
        <n v="32.8"/>
        <n v="125.1"/>
        <n v="225.6"/>
        <n v="123.8"/>
        <n v="131.8"/>
        <n v="51.798"/>
        <n v="60.0"/>
        <n v="36.4"/>
        <n v="103.0"/>
        <n v="50.4"/>
        <n v="45.8"/>
        <n v="42.9"/>
        <n v="225.0"/>
        <n v="61.1"/>
        <n v="183.4"/>
        <n v="43.6"/>
        <n v="128.1"/>
        <n v="47.5"/>
        <n v="13.73"/>
        <n v="60.6"/>
        <n v="70.0"/>
        <n v="73.7"/>
        <n v="138.0"/>
        <n v="164.2"/>
        <n v="87.2"/>
        <n v="56.6"/>
        <n v="90.1"/>
        <n v="67.2"/>
        <n v="114.1"/>
        <n v="144.3"/>
        <n v="151.6"/>
        <n v="110.2"/>
        <n v="61.4"/>
        <n v="164.6"/>
        <n v="55.7"/>
        <n v="23.4"/>
        <n v="34.8"/>
        <n v="179.3"/>
        <n v="123.1"/>
        <n v="176.4"/>
        <n v="58.0"/>
        <n v="167.3"/>
        <n v="105.6"/>
        <n v="198.7"/>
        <n v="22.8"/>
        <n v="19.9"/>
        <n v="57.0"/>
        <n v="100.8"/>
        <n v="69.1"/>
        <n v="226.5"/>
        <n v="49.2"/>
        <n v="18.3"/>
        <n v="587.3"/>
        <n v="26.3"/>
        <n v="200.1"/>
        <n v="49.5"/>
        <n v="164.4"/>
        <n v="21.1"/>
        <n v="31.9"/>
        <n v="19.2"/>
        <n v="40.8"/>
        <n v="11.1"/>
        <n v="141.9"/>
        <n v="63.4"/>
        <n v="159.3"/>
        <n v="19.7"/>
        <n v="28.4"/>
        <n v="24.4"/>
        <n v="59.9"/>
        <n v="12.2"/>
        <n v="119.6"/>
        <n v="18.7"/>
        <n v="127.9"/>
        <n v="45.6"/>
        <n v="12.5"/>
        <n v="139.4"/>
        <n v="14.2"/>
        <n v="20.2"/>
        <n v="11.2"/>
      </sharedItems>
    </cacheField>
    <cacheField name="latitude" numFmtId="0">
      <sharedItems containsSemiMixedTypes="0" containsString="0" containsNumber="1">
        <n v="-13.8814"/>
        <n v="12.814"/>
        <n v="-38.1911"/>
        <n v="54.3844"/>
        <n v="54.49"/>
        <n v="20.0196"/>
        <n v="-17.853"/>
        <n v="-22.9824"/>
        <n v="8.8894"/>
        <n v="-23.0622"/>
        <n v="-23.2286"/>
        <n v="-15.6002"/>
        <n v="-25.2657"/>
        <n v="-0.781"/>
        <n v="-30.0249"/>
        <n v="-22.2844"/>
        <n v="-6.0255"/>
        <n v="52.7772"/>
        <n v="-4.2924"/>
        <n v="-23.4797"/>
        <n v="36.5227"/>
        <n v="-2.851"/>
        <n v="-30.1147"/>
        <n v="-29.4748"/>
        <n v="-15.3597"/>
        <n v="-4.8138"/>
        <n v="38.0726"/>
        <n v="38.0235"/>
        <n v="37.4135"/>
        <n v="37.2012"/>
        <n v="-26.7209"/>
        <n v="2.7401"/>
        <n v="-7.0852"/>
        <n v="-14.9383"/>
        <n v="-15.3983"/>
        <n v="-9.7963"/>
        <n v="-4.9559"/>
        <n v="-20.0508"/>
        <n v="-19.2918"/>
        <n v="-25.5948"/>
        <n v="-26.0442"/>
        <n v="-25.9678"/>
        <n v="7.6712"/>
        <n v="18.33"/>
        <n v="18.3667"/>
        <n v="23.1444"/>
        <n v="23.029"/>
        <n v="-21.2077"/>
        <n v="-6.2237"/>
        <n v="29.7263"/>
        <n v="-32.6922"/>
        <n v="17.5978"/>
        <n v="-9.0618"/>
        <n v="-14.8628"/>
        <n v="-54.1325"/>
        <n v="-23.6141"/>
        <n v="11.5538"/>
        <n v="-22.5732"/>
        <n v="-22.72"/>
        <n v="23.3421"/>
        <n v="37.7015"/>
        <n v="-0.6831"/>
        <n v="-30.0528"/>
        <n v="-23.7852"/>
        <n v="-4.455"/>
        <n v="-29.535"/>
        <n v="-6.9291"/>
        <n v="52.502"/>
        <n v="52.6252"/>
        <n v="52.48"/>
        <n v="52.6563"/>
        <n v="35.1456"/>
        <n v="37.8167"/>
        <n v="-7.5924"/>
        <n v="-7.6033"/>
        <n v="-4.4898"/>
        <n v="23.5414"/>
        <n v="56.2581"/>
        <n v="-21.1704"/>
        <n v="-21.1036"/>
        <n v="12.1598"/>
        <n v="16.9502"/>
        <n v="-60.3026"/>
        <n v="-60.1023"/>
        <n v="-14.892"/>
        <n v="-58.3814"/>
        <n v="18.3521"/>
        <n v="55.2364"/>
        <n v="55.2657"/>
        <n v="-58.4157"/>
        <n v="-57.5959"/>
        <n v="6.4547"/>
        <n v="55.4742"/>
        <n v="55.3154"/>
        <n v="13.6989"/>
        <n v="7.5904"/>
        <n v="-30.2144"/>
        <n v="-16.4796"/>
        <n v="34.5861"/>
        <n v="0.1684"/>
        <n v="-17.2495"/>
        <n v="38.2296"/>
        <n v="-21.6857"/>
        <n v="-18.9204"/>
        <n v="38.4752"/>
        <n v="54.7018"/>
        <n v="-28.4792"/>
        <n v="-29.7466"/>
        <n v="-29.6131"/>
        <n v="-37.596"/>
        <n v="37.6856"/>
        <n v="-23.2787"/>
        <n v="-61.8484"/>
        <n v="5.0074"/>
        <n v="51.2407"/>
        <n v="-39.3264"/>
        <n v="37.8973"/>
        <n v="54.662"/>
        <n v="0.9604"/>
        <n v="-27.9285"/>
        <n v="-28.013"/>
        <n v="0.8696"/>
        <n v="-6.6704"/>
        <n v="-4.2791"/>
        <n v="-4.3724"/>
        <n v="12.0065"/>
        <n v="55.1079"/>
        <n v="-7.847"/>
        <n v="-5.6368"/>
        <n v="15.9163"/>
        <n v="-33.2938"/>
        <n v="28.9386"/>
        <n v="-23.2966"/>
        <n v="38.1689"/>
        <n v="-12.0662"/>
        <n v="-6.7762"/>
        <n v="34.1818"/>
        <n v="44.4646"/>
        <n v="48.9638"/>
        <n v="45.6161"/>
        <n v="19.4193"/>
        <n v="38.4312"/>
        <n v="6.6969"/>
        <n v="1.6213"/>
        <n v="-21.9449"/>
        <n v="-18.5747"/>
        <n v="6.9098"/>
        <n v="6.7567"/>
        <n v="-35.4758"/>
        <n v="-3.4528"/>
        <n v="-20.3641"/>
        <n v="-60.2152"/>
        <n v="-7.2822"/>
        <n v="-34.2364"/>
        <n v="-16.1985"/>
        <n v="-0.5858"/>
        <n v="-18.2242"/>
        <n v="0.5126"/>
        <n v="35.7695"/>
        <n v="-6.4078"/>
        <n v="-30.6441"/>
        <n v="13.1994"/>
        <n v="-5.8119"/>
        <n v="-4.051"/>
        <n v="-6.9746"/>
        <n v="-1.8146"/>
        <n v="-58.6262"/>
        <n v="-14.7131"/>
        <n v="-2.1862"/>
        <n v="14.6802"/>
        <n v="-43.1219"/>
        <n v="-30.0404"/>
        <n v="-13.336"/>
        <n v="2.258"/>
        <n v="-8.144"/>
        <n v="5.8983"/>
        <n v="55.0999"/>
        <n v="-58.5446"/>
        <n v="-22.0629"/>
        <n v="-21.9496"/>
        <n v="61.3464"/>
        <n v="-17.8735"/>
        <n v="71.6312"/>
        <n v="37.5203"/>
        <n v="49.297"/>
        <n v="49.3346"/>
        <n v="49.2586"/>
        <n v="-21.7427"/>
        <n v="52.8549"/>
        <n v="49.2902"/>
        <n v="-5.7012"/>
        <n v="-18.3604"/>
        <n v="-0.2559"/>
        <n v="-25.415"/>
        <n v="-31.7447"/>
        <n v="-10.0207"/>
        <n v="-18.4743"/>
        <n v="42.6861"/>
        <n v="-22.0295"/>
        <n v="-11.0355"/>
        <n v="-16.0315"/>
        <n v="10.7731"/>
        <n v="-8.319"/>
        <n v="-18.1125"/>
        <n v="-7.3718"/>
        <n v="51.4234"/>
        <n v="-8.2581"/>
        <n v="19.3182"/>
        <n v="-20.6588"/>
        <n v="-5.5321"/>
        <n v="-5.5024"/>
        <n v="-4.3762"/>
        <n v="-6.3043"/>
        <n v="-6.0699"/>
        <n v="16.3855"/>
        <n v="56.0039"/>
        <n v="-15.7675"/>
        <n v="17.4825"/>
        <n v="-7.4921"/>
        <n v="-54.2189"/>
        <n v="-21.3246"/>
        <n v="-21.5027"/>
        <n v="9.5147"/>
        <n v="34.9109"/>
        <n v="-4.2433"/>
        <n v="-15.3197"/>
        <n v="-21.6484"/>
        <n v="-21.6971"/>
        <n v="-7.2168"/>
        <n v="52.3909"/>
        <n v="18.5499"/>
        <n v="15.0222"/>
        <n v="33.1926"/>
        <n v="36.9293"/>
        <n v="54.4434"/>
        <n v="-49.4837"/>
        <n v="11.1269"/>
        <n v="13.7174"/>
        <n v="14.9091"/>
        <n v="54.0312"/>
        <n v="-1.2923"/>
        <n v="-56.414"/>
        <n v="-14.5884"/>
        <n v="5.5043"/>
        <n v="-33.0375"/>
        <n v="-22.6784"/>
        <n v="56.9401"/>
        <n v="-23.2593"/>
        <n v="-19.2814"/>
        <n v="9.9071"/>
        <n v="-6.2464"/>
        <n v="-10.3506"/>
        <n v="4.4782"/>
        <n v="-19.3733"/>
        <n v="-43.4064"/>
        <n v="-7.5082"/>
        <n v="-4.5049"/>
        <n v="-10.749"/>
        <n v="-10.8416"/>
        <n v="-10.6812"/>
        <n v="40.4535"/>
        <n v="5.2834"/>
        <n v="39.2732"/>
        <n v="11.9097"/>
        <n v="37.3931"/>
        <n v="-42.6058"/>
        <n v="-42.3205"/>
        <n v="-42.7373"/>
        <n v="42.8621"/>
        <n v="-4.8626"/>
        <n v="-6.0033"/>
        <n v="-19.7819"/>
        <n v="-37.3586"/>
        <n v="-3.6849"/>
        <n v="20.9228"/>
        <n v="-22.4765"/>
        <n v="18.5429"/>
        <n v="-2.0967"/>
        <n v="-56.2409"/>
        <n v="-21.9724"/>
        <n v="0.4947"/>
        <n v="0.4261"/>
        <n v="-16.0429"/>
        <n v="0.3819"/>
        <n v="32.7906"/>
        <n v="23.0944"/>
        <n v="36.4725"/>
        <n v="-13.9805"/>
        <n v="-14.0683"/>
        <n v="-14.3235"/>
        <n v="-4.9521"/>
        <n v="53.9776"/>
        <n v="59.6204"/>
        <n v="18.8239"/>
        <n v="41.9723"/>
        <n v="3.8965"/>
        <n v="24.8036"/>
        <n v="15.8015"/>
        <n v="-4.1064"/>
        <n v="38.2107"/>
        <n v="-9.1825"/>
        <n v="-10.0598"/>
        <n v="-10.5372"/>
        <n v="-8.8994"/>
        <n v="38.67"/>
        <n v="31.0009"/>
        <n v="-29.5097"/>
        <n v="-29.5067"/>
        <n v="6.8431"/>
        <n v="-30.8796"/>
        <n v="-8.3381"/>
        <n v="36.5244"/>
        <n v="-14.8595"/>
        <n v="-0.6212"/>
        <n v="-31.7275"/>
        <n v="-31.5173"/>
        <n v="-31.4244"/>
        <n v="-31.5622"/>
        <n v="-31.5729"/>
        <n v="24.913"/>
        <n v="-9.3293"/>
        <n v="-9.3438"/>
        <n v="-2.6286"/>
        <n v="52.376"/>
        <n v="-10.4012"/>
        <n v="13.8672"/>
        <n v="-9.307"/>
        <n v="27.7375"/>
        <n v="27.8386"/>
        <n v="56.594"/>
        <n v="-11.1093"/>
        <n v="-11.0559"/>
        <n v="-10.8759"/>
        <n v="38.9056"/>
        <n v="27.8087"/>
        <n v="-7.2175"/>
        <n v="-5.4624"/>
        <n v="-5.2005"/>
        <n v="-5.375"/>
        <n v="27.7711"/>
        <n v="28.2244"/>
        <n v="28.2305"/>
        <n v="-15.8815"/>
        <n v="-15.4994"/>
        <n v="-4.7294"/>
        <n v="-7.2968"/>
        <n v="39.8558"/>
        <n v="-23.1125"/>
        <n v="-17.0309"/>
        <n v="5.9045"/>
        <n v="7.9401"/>
        <n v="-6.5108"/>
        <n v="6.1572"/>
        <n v="1.9604"/>
        <n v="2.2999"/>
        <n v="-37.6478"/>
        <n v="1.8929"/>
        <n v="-5.9873"/>
        <n v="-19.6903"/>
        <n v="12.5262"/>
        <n v="13.7641"/>
        <n v="-14.598"/>
        <n v="0.8295"/>
        <n v="-19.8015"/>
        <n v="37.0052"/>
        <n v="14.724"/>
        <n v="-6.2304"/>
        <n v="-14.9831"/>
        <n v="-55.4703"/>
        <n v="51.8486"/>
        <n v="-29.9414"/>
        <n v="-29.9379"/>
        <n v="-29.9772"/>
        <n v="40.2893"/>
        <n v="7.2096"/>
        <n v="-21.4542"/>
        <n v="49.6388"/>
        <n v="-6.7547"/>
        <n v="-6.6558"/>
        <n v="17.397"/>
        <n v="-11.1284"/>
        <n v="-11.4633"/>
        <n v="-11.2701"/>
        <n v="11.642"/>
        <n v="-6.7878"/>
        <n v="-6.5858"/>
        <n v="-20.5709"/>
        <n v="-20.3113"/>
        <n v="-19.8927"/>
        <n v="-19.6097"/>
        <n v="-19.9807"/>
        <n v="40.8287"/>
        <n v="27.4312"/>
        <n v="14.6682"/>
        <n v="35.9053"/>
        <n v="-15.0691"/>
        <n v="-32.9076"/>
        <n v="-13.8633"/>
        <n v="-17.1171"/>
        <n v="-60.2738"/>
        <n v="-60.2627"/>
        <n v="-30.2921"/>
        <n v="37.1557"/>
        <n v="26.0913"/>
        <n v="-6.4456"/>
        <n v="9.8796"/>
        <n v="35.5142"/>
        <n v="53.1995"/>
        <n v="-30.9255"/>
        <n v="27.1825"/>
        <n v="-15.8385"/>
        <n v="26.951"/>
        <n v="51.5573"/>
        <n v="29.9377"/>
        <n v="-7.44"/>
        <n v="51.537"/>
        <n v="-41.734"/>
        <n v="5.7732"/>
        <n v="-41.704"/>
        <n v="-60.857"/>
        <n v="-6.029"/>
        <n v="-3.917"/>
        <n v="10.701"/>
        <n v="11.763"/>
        <n v="-10.004"/>
        <n v="52.235"/>
        <n v="54.892"/>
        <n v="-23.009"/>
        <n v="18.728"/>
        <n v="-3.898"/>
        <n v="30.308"/>
        <n v="46.221"/>
        <n v="-3.214"/>
        <n v="28.033"/>
        <n v="-6.475"/>
        <n v="-3.517"/>
        <n v="-6.598"/>
        <n v="50.958"/>
        <n v="50.954"/>
        <n v="67.631"/>
        <n v="-10.994"/>
        <n v="1.135"/>
        <n v="-10.928"/>
        <n v="-10.838"/>
        <n v="-10.997"/>
        <n v="-10.499"/>
        <n v="-11.183"/>
        <n v="-10.799"/>
        <n v="42.77"/>
        <n v="-28.094"/>
        <n v="55.228"/>
        <n v="-14.344"/>
        <n v="-6.533"/>
        <n v="37.89"/>
        <n v="14.129"/>
        <n v="23.005"/>
        <n v="13.988"/>
        <n v="52.788"/>
        <n v="10.086"/>
        <n v="-4.892"/>
        <n v="1.929"/>
        <n v="10.085"/>
        <n v="10.811"/>
        <n v="12.139"/>
        <n v="2.19"/>
        <n v="49.8"/>
        <n v="-4.651"/>
        <n v="-18.685"/>
        <n v="-1.617"/>
        <n v="-5.462"/>
        <n v="-32.625"/>
        <n v="28.696"/>
        <n v="18.229"/>
        <n v="0.802"/>
        <n v="2.327"/>
        <n v="-35.2"/>
        <n v="-6.242"/>
        <n v="16.493"/>
        <n v="51.708"/>
        <n v="9.999"/>
        <n v="-17.827"/>
        <n v="2.433"/>
        <n v="51.842"/>
        <n v="-7.551"/>
        <n v="17.986"/>
        <n v="-14.438"/>
        <n v="38.721"/>
        <n v="-6.57"/>
        <n v="27.73"/>
        <n v="40.273"/>
        <n v="2.965"/>
        <n v="-20.671"/>
        <n v="-7.641"/>
        <n v="-18.311"/>
        <n v="-18.308"/>
        <n v="-18.365"/>
        <n v="-3.518"/>
        <n v="-29.539"/>
        <n v="39.955"/>
        <n v="-20.244"/>
        <n v="-10.375"/>
        <n v="37.001"/>
        <n v="38.276"/>
        <n v="17.208"/>
        <n v="20.687"/>
        <n v="39.241"/>
        <n v="36.166"/>
        <n v="38.058"/>
        <n v="36.281"/>
        <n v="38.297"/>
        <n v="38.435"/>
        <n v="-35.38"/>
        <n v="-36.422"/>
        <n v="28.777"/>
        <n v="-20.628"/>
        <n v="-38.355"/>
        <n v="-19.702"/>
        <n v="28.412"/>
        <n v="-6.001"/>
        <n v="-3.487"/>
        <n v="24.696"/>
        <n v="-4.963"/>
        <n v="-43.522"/>
        <n v="-1.266"/>
        <n v="-17.541"/>
        <n v="-5.746"/>
        <n v="-5.486"/>
        <n v="6.497"/>
        <n v="-5.931"/>
        <n v="-5.966"/>
        <n v="-38.067"/>
        <n v="-10.627"/>
        <n v="-2.329"/>
        <n v="-2.174"/>
        <n v="7.881"/>
        <n v="-13.698"/>
        <n v="3.748"/>
        <n v="33.165"/>
        <n v="-10.878"/>
        <n v="2.383"/>
        <n v="32.2862"/>
        <n v="13.667"/>
        <n v="-36.217"/>
        <n v="37.745"/>
        <n v="-34.326"/>
        <n v="-34.29"/>
        <n v="-3.762"/>
        <n v="-36.665"/>
        <n v="-13.571"/>
        <n v="-37.773"/>
        <n v="-36.122"/>
        <n v="25.93"/>
        <n v="18.443"/>
        <n v="40.652"/>
        <n v="-9.019"/>
        <n v="-8.783"/>
        <n v="-8.726"/>
        <n v="-19.394"/>
        <n v="-17.239"/>
        <n v="-8.207"/>
        <n v="29.218"/>
        <n v="-6.133"/>
        <n v="-13.298"/>
        <n v="-13.093"/>
        <n v="-12.517"/>
        <n v="-13.006"/>
        <n v="-2.482"/>
        <n v="-0.72"/>
        <n v="-15.489"/>
        <n v="-7.782"/>
        <n v="-1.479"/>
        <n v="32.821"/>
        <n v="14.099"/>
        <n v="33.167"/>
        <n v="29.039"/>
        <n v="-45.762"/>
        <n v="-5.157"/>
        <n v="16.731"/>
        <n v="-23.043"/>
        <n v="3.886"/>
        <n v="-0.691"/>
        <n v="36.419"/>
        <n v="-0.414"/>
        <n v="1.271"/>
        <n v="14.423"/>
        <n v="39.533"/>
        <n v="41.892"/>
        <n v="1.885"/>
        <n v="-13.501"/>
        <n v="30.901"/>
        <n v="39.802"/>
        <n v="37.552"/>
        <n v="37.55"/>
        <n v="11.005"/>
        <n v="39.03"/>
        <n v="31.002"/>
        <n v="36.164"/>
        <n v="-20.071"/>
        <n v="35.49"/>
        <n v="13.351"/>
        <n v="-2.245"/>
        <n v="-2.332"/>
        <n v="-2.486"/>
        <n v="-2.405"/>
        <n v="2.768"/>
        <n v="36.345"/>
        <n v="36.501"/>
        <n v="16.357"/>
        <n v="-39.011"/>
        <n v="-22.954"/>
        <n v="14.944"/>
        <n v="-10.95"/>
        <n v="-8.224"/>
        <n v="-8.292"/>
        <n v="-5.757"/>
        <n v="-2.312"/>
        <n v="-22.925"/>
        <n v="-22.247"/>
        <n v="-3.899"/>
        <n v="-44.796"/>
        <n v="-4.99"/>
        <n v="-1.999"/>
        <n v="-2.13"/>
        <n v="-1.689"/>
        <n v="-2.625"/>
        <n v="-2.52"/>
        <n v="-4.438"/>
        <n v="2.966"/>
        <n v="-11.61"/>
        <n v="-9.834"/>
        <n v="-13.386"/>
        <n v="-5.859"/>
        <n v="-15.595"/>
        <n v="2.872"/>
        <n v="36.808"/>
        <n v="37.535"/>
        <n v="13.554"/>
        <n v="-7.306"/>
        <n v="-7.169"/>
        <n v="-8.466"/>
        <n v="37.336"/>
        <n v="-20.617"/>
        <n v="-1.034"/>
        <n v="1.065"/>
        <n v="46.243"/>
        <n v="21.974"/>
        <n v="21.799"/>
        <n v="46.592"/>
        <n v="-6.482"/>
        <n v="-13.457"/>
        <n v="-5.881"/>
        <n v="19.877"/>
        <n v="-16.592"/>
        <n v="-6.759"/>
        <n v="51.148"/>
        <n v="-15.798"/>
        <n v="-9.284"/>
        <n v="-5.724"/>
        <n v="60.772"/>
        <n v="0.093"/>
        <n v="-20.187"/>
        <n v="-19.99"/>
        <n v="-27.211"/>
        <n v="-27.017"/>
        <n v="60.491"/>
        <n v="60.949"/>
        <n v="-16.527"/>
        <n v="-3.595"/>
        <n v="-21.324"/>
        <n v="36.311"/>
        <n v="28.164"/>
        <n v="36.357"/>
        <n v="-6.224"/>
        <n v="38.089"/>
        <n v="2.164"/>
        <n v="-22.361"/>
        <n v="34.539"/>
        <n v="-5.437"/>
        <n v="-5.678"/>
        <n v="-4.539"/>
        <n v="7.92"/>
        <n v="1.819"/>
        <n v="11.245"/>
        <n v="41.292"/>
        <n v="-19.987"/>
        <n v="1.989"/>
        <n v="0.587"/>
        <n v="-1.714"/>
        <n v="-1.644"/>
        <n v="2.085"/>
        <n v="33.807"/>
        <n v="-6.527"/>
        <n v="2.908"/>
        <n v="-5.562"/>
        <n v="4.756"/>
        <n v="-14.252"/>
        <n v="5.293"/>
        <n v="34.064"/>
        <n v="8.879"/>
        <n v="6.91"/>
        <n v="3.295"/>
        <n v="-49.312"/>
        <n v="18.958"/>
        <n v="42.9"/>
        <n v="43.006"/>
        <n v="-3.609"/>
        <n v="-46.676"/>
        <n v="4.695"/>
        <n v="-8.152"/>
        <n v="-11.128"/>
        <n v="49.277"/>
        <n v="37.226"/>
        <n v="24.53"/>
        <n v="11.422"/>
        <n v="13.925"/>
        <n v="-10.951"/>
        <n v="33.205"/>
        <n v="33.184"/>
        <n v="33.07"/>
        <n v="-35.173"/>
        <n v="-0.443"/>
        <n v="55.682"/>
        <n v="-37.695"/>
        <n v="-9.362"/>
        <n v="-13.174"/>
        <n v="36.512"/>
        <n v="-3.665"/>
        <n v="-4.003"/>
        <n v="-3.615"/>
        <n v="-3.12"/>
        <n v="-22.015"/>
        <n v="28.995"/>
        <n v="8.416"/>
        <n v="35.7005"/>
        <n v="23.039"/>
        <n v="-5.581"/>
        <n v="12.025"/>
        <n v="-19.262"/>
        <n v="37.812"/>
        <n v="42.648"/>
        <n v="50.211"/>
        <n v="42.45"/>
        <n v="50.038"/>
        <n v="41.774"/>
        <n v="41.815"/>
        <n v="19.917"/>
        <n v="-45.104"/>
        <n v="-60.532"/>
        <n v="-3.828"/>
        <n v="-30.608"/>
        <n v="55.492"/>
        <n v="-5.095"/>
        <n v="2.354"/>
        <n v="38.849"/>
        <n v="36.964"/>
        <n v="-8.294"/>
        <n v="-4.694"/>
        <n v="18.77"/>
        <n v="13.626"/>
        <n v="-10.491"/>
        <n v="-5.311"/>
        <n v="-4.786"/>
        <n v="63.5141"/>
        <n v="2.824"/>
        <n v="63.5144"/>
        <n v="-1.511"/>
        <n v="-1.757"/>
        <n v="13.036"/>
        <n v="-3.302"/>
        <n v="14.101"/>
        <n v="7.929"/>
        <n v="35.626"/>
        <n v="-30.805"/>
        <n v="-12.592"/>
        <n v="13.088"/>
        <n v="-27.535"/>
        <n v="16.985"/>
        <n v="24.279"/>
        <n v="-21.663"/>
        <n v="6.033"/>
        <n v="36.502"/>
        <n v="-5.345"/>
        <n v="38.573"/>
        <n v="-3.212"/>
        <n v="-17.664"/>
        <n v="-17.6"/>
        <n v="-9.613"/>
        <n v="23.954"/>
        <n v="39.402"/>
        <n v="35.946"/>
        <n v="-5.912"/>
        <n v="-4.102"/>
        <n v="12.686"/>
        <n v="-0.578"/>
        <n v="58.775"/>
        <n v="39.059"/>
        <n v="-17.543"/>
        <n v="-16.086"/>
        <n v="-17.745"/>
        <n v="-16.265"/>
        <n v="-7.41"/>
        <n v="34.083"/>
        <n v="-4.029"/>
        <n v="47.149"/>
        <n v="-4.68"/>
        <n v="13.671"/>
        <n v="23.419"/>
        <n v="-4.022"/>
        <n v="13.049"/>
        <n v="56.7744"/>
        <n v="-14.928"/>
        <n v="6.631"/>
        <n v="6.898"/>
        <n v="-4.218"/>
        <n v="39.566"/>
        <n v="40.167"/>
        <n v="40.245"/>
        <n v="-5.228"/>
        <n v="-5.097"/>
        <n v="-5.496"/>
        <n v="-4.827"/>
        <n v="-5.233"/>
        <n v="-3.98"/>
        <n v="7.042"/>
        <n v="-4.766"/>
        <n v="-6.549"/>
        <n v="35.456"/>
        <n v="-15.421"/>
        <n v="-7.977"/>
        <n v="-4.11"/>
        <n v="18.198"/>
        <n v="48.786"/>
        <n v="-12.037"/>
        <n v="33.901"/>
        <n v="-7.747"/>
        <n v="57.3546"/>
        <n v="63.98"/>
        <n v="-13.802"/>
        <n v="63.966"/>
        <n v="-4.612"/>
        <n v="-4.646"/>
        <n v="-4.721"/>
        <n v="-23.548"/>
        <n v="-1.105"/>
        <n v="-6.817"/>
        <n v="-5.844"/>
        <n v="43.046"/>
        <n v="-16.925"/>
        <n v="-10.86"/>
        <n v="-6.845"/>
        <n v="15.766"/>
        <n v="57.3424"/>
        <n v="-18.901"/>
        <n v="-16.423"/>
        <n v="-6.351"/>
        <n v="-5.978"/>
        <n v="40.758"/>
        <n v="36.522"/>
        <n v="34.6033"/>
        <n v="16.059"/>
        <n v="23.738"/>
        <n v="23.772"/>
        <n v="-16.117"/>
        <n v="9.044"/>
        <n v="40.748"/>
        <n v="15.782"/>
        <n v="18.386"/>
        <n v="-5.165"/>
        <n v="-4.751"/>
        <n v="-5.159"/>
        <n v="-21.422"/>
        <n v="-5.591"/>
        <n v="-16.66"/>
        <n v="30.512"/>
        <n v="51.587"/>
        <n v="52.056"/>
        <n v="5.397"/>
        <n v="28.343"/>
        <n v="-12.853"/>
        <n v="52.886"/>
        <n v="-4.596"/>
        <n v="-21.632"/>
        <n v="-2.071"/>
        <n v="-6.92"/>
        <n v="-6.954"/>
        <n v="-8.194"/>
        <n v="-29.45"/>
        <n v="5.41"/>
        <n v="-0.593"/>
        <n v="-2.693"/>
        <n v="-2.961"/>
        <n v="-11.04"/>
        <n v="37.106"/>
        <n v="-17.731"/>
        <n v="0.207"/>
        <n v="-5.147"/>
        <n v="22.306"/>
        <n v="-8.148"/>
        <n v="-0.544"/>
        <n v="30.154"/>
        <n v="-23.913"/>
        <n v="-15.848"/>
        <n v="-30.985"/>
        <n v="14.374"/>
        <n v="-5.495"/>
        <n v="54.841"/>
        <n v="1.241"/>
        <n v="37.57"/>
        <n v="-15.145"/>
        <n v="13.849"/>
        <n v="35.069"/>
        <n v="-4.368"/>
        <n v="-30.933"/>
        <n v="-22.101"/>
        <n v="9.79"/>
        <n v="3.849"/>
        <n v="-3.562"/>
        <n v="16.333"/>
        <n v="10.598"/>
        <n v="-30.058"/>
        <n v="18.684"/>
        <n v="-20.438"/>
        <n v="36.411"/>
        <n v="33.825"/>
        <n v="13.986"/>
        <n v="11.112"/>
        <n v="-12.584"/>
        <n v="-6.485"/>
        <n v="7.742"/>
        <n v="29.976"/>
        <n v="37.661"/>
        <n v="18.219"/>
        <n v="43.207"/>
        <n v="31.789"/>
        <n v="35.345"/>
        <n v="-14.993"/>
        <n v="31.885"/>
        <n v="30.568"/>
        <n v="-7.133"/>
        <n v="34.556"/>
        <n v="9.454"/>
        <n v="9.463"/>
        <n v="21.898"/>
        <n v="-10.769"/>
        <n v="1.0"/>
        <n v="1.016"/>
        <n v="17.6"/>
        <n v="-7.137"/>
        <n v="12.614"/>
        <n v="51.478"/>
        <n v="51.564"/>
        <n v="-13.481"/>
        <n v="-6.518"/>
        <n v="-23.944"/>
        <n v="-14.705"/>
        <n v="11.905"/>
        <n v="11.657"/>
        <n v="15.978"/>
        <n v="-9.593"/>
        <n v="-0.917"/>
        <n v="-0.567"/>
        <n v="-0.891"/>
        <n v="37.353"/>
        <n v="45.324"/>
        <n v="27.291"/>
        <n v="53.826"/>
        <n v="0.729"/>
        <n v="-6.903"/>
        <n v="-3.703"/>
        <n v="44.663"/>
        <n v="28.826"/>
        <n v="-28.906"/>
        <n v="16.84"/>
        <n v="28.094"/>
        <n v="27.929"/>
        <n v="19.055"/>
        <n v="-2.045"/>
        <n v="-2.778"/>
        <n v="-2.75"/>
        <n v="-10.68"/>
        <n v="16.779"/>
        <n v="26.092"/>
        <n v="5.139"/>
        <n v="-5.771"/>
        <n v="-5.429"/>
        <n v="-5.799"/>
        <n v="-4.836"/>
        <n v="-23.34"/>
        <n v="21.966"/>
        <n v="-19.544"/>
        <n v="38.401"/>
        <n v="52.629"/>
        <n v="-23.008"/>
        <n v="-8.378"/>
        <n v="40.149"/>
        <n v="12.626"/>
      </sharedItems>
    </cacheField>
    <cacheField name="longitude" numFmtId="0">
      <sharedItems containsSemiMixedTypes="0" containsString="0" containsNumber="1">
        <n v="167.158"/>
        <n v="-88.1265"/>
        <n v="-70.3731"/>
        <n v="-160.699"/>
        <n v="-160.796"/>
        <n v="-61.0955"/>
        <n v="-174.937"/>
        <n v="-177.208"/>
        <n v="-77.1231"/>
        <n v="170.456"/>
        <n v="170.694"/>
        <n v="-174.608"/>
        <n v="178.424"/>
        <n v="98.5339"/>
        <n v="-177.897"/>
        <n v="179.391"/>
        <n v="112.033"/>
        <n v="158.484"/>
        <n v="143.155"/>
        <n v="-66.5108"/>
        <n v="70.9787"/>
        <n v="-79.8001"/>
        <n v="-176.112"/>
        <n v="-178.787"/>
        <n v="166.385"/>
        <n v="149.487"/>
        <n v="73.2077"/>
        <n v="37.203"/>
        <n v="36.8306"/>
        <n v="36.9997"/>
        <n v="-63.0394"/>
        <n v="127.051"/>
        <n v="130.039"/>
        <n v="166.878"/>
        <n v="-172.968"/>
        <n v="159.596"/>
        <n v="100.738"/>
        <n v="-178.346"/>
        <n v="-172.129"/>
        <n v="178.278"/>
        <n v="178.381"/>
        <n v="178.363"/>
        <n v="-82.3396"/>
        <n v="-102.913"/>
        <n v="-103.252"/>
        <n v="121.307"/>
        <n v="121.348"/>
        <n v="170.239"/>
        <n v="146.471"/>
        <n v="102.279"/>
        <n v="-178.959"/>
        <n v="120.809"/>
        <n v="-71.1647"/>
        <n v="-70.3081"/>
        <n v="159.027"/>
        <n v="-66.7236"/>
        <n v="-86.9919"/>
        <n v="170.349"/>
        <n v="170.277"/>
        <n v="121.636"/>
        <n v="141.587"/>
        <n v="98.6034"/>
        <n v="-177.74"/>
        <n v="-179.968"/>
        <n v="-76.9395"/>
        <n v="-176.729"/>
        <n v="105.251"/>
        <n v="-168.08"/>
        <n v="-168.15"/>
        <n v="-167.736"/>
        <n v="-167.917"/>
        <n v="31.9095"/>
        <n v="101.299"/>
        <n v="127.581"/>
        <n v="122.2"/>
        <n v="-76.8461"/>
        <n v="126.48"/>
        <n v="-156.492"/>
        <n v="174.54"/>
        <n v="174.895"/>
        <n v="-87.8542"/>
        <n v="-99.7877"/>
        <n v="-24.9992"/>
        <n v="-24.4608"/>
        <n v="167.085"/>
        <n v="-23.3318"/>
        <n v="-73.4804"/>
        <n v="-157.707"/>
        <n v="-157.68"/>
        <n v="-25.3206"/>
        <n v="-25.1874"/>
        <n v="126.742"/>
        <n v="-157.917"/>
        <n v="-157.829"/>
        <n v="120.713"/>
        <n v="-82.8813"/>
        <n v="-177.773"/>
        <n v="-177.356"/>
        <n v="98.2551"/>
        <n v="96.6475"/>
        <n v="66.3745"/>
        <n v="141.665"/>
        <n v="-177.064"/>
        <n v="-176.235"/>
        <n v="141.607"/>
        <n v="163.208"/>
        <n v="-176.619"/>
        <n v="-177.224"/>
        <n v="-177.842"/>
        <n v="179.544"/>
        <n v="141.992"/>
        <n v="171.489"/>
        <n v="-55.559"/>
        <n v="127.517"/>
        <n v="100.443"/>
        <n v="-74.9067"/>
        <n v="26.7953"/>
        <n v="-159.675"/>
        <n v="-26.8332"/>
        <n v="-71.3937"/>
        <n v="-71.1958"/>
        <n v="-29.7046"/>
        <n v="123.493"/>
        <n v="101.215"/>
        <n v="101.095"/>
        <n v="124.13"/>
        <n v="-158.477"/>
        <n v="147.755"/>
        <n v="110.678"/>
        <n v="-95.9533"/>
        <n v="-177.838"/>
        <n v="128.262"/>
        <n v="-68.4204"/>
        <n v="-117.85"/>
        <n v="166.648"/>
        <n v="129.785"/>
        <n v="25.7101"/>
        <n v="-115.118"/>
        <n v="157.695"/>
        <n v="148.959"/>
        <n v="-78.756"/>
        <n v="39.0609"/>
        <n v="125.174"/>
        <n v="126.416"/>
        <n v="-179.511"/>
        <n v="-175.272"/>
        <n v="125.178"/>
        <n v="125.008"/>
        <n v="-73.163"/>
        <n v="128.37"/>
        <n v="-178.57"/>
        <n v="-26.5801"/>
        <n v="104.791"/>
        <n v="-72.3102"/>
        <n v="167.998"/>
        <n v="128.034"/>
        <n v="120.358"/>
        <n v="126.189"/>
        <n v="-117.599"/>
        <n v="129.169"/>
        <n v="-178.1"/>
        <n v="-89.3056"/>
        <n v="-75.2697"/>
        <n v="152.597"/>
        <n v="146.449"/>
        <n v="122.58"/>
        <n v="-25.304"/>
        <n v="-70.1546"/>
        <n v="-77.0505"/>
        <n v="-92.4527"/>
        <n v="42.3568"/>
        <n v="-71.3815"/>
        <n v="166.875"/>
        <n v="126.758"/>
        <n v="-71.587"/>
        <n v="126.921"/>
        <n v="164.699"/>
        <n v="-26.3856"/>
        <n v="169.733"/>
        <n v="169.427"/>
        <n v="-149.955"/>
        <n v="-178.927"/>
        <n v="-11.2431"/>
        <n v="20.5565"/>
        <n v="-129.724"/>
        <n v="-129.289"/>
        <n v="-129.412"/>
        <n v="169.522"/>
        <n v="153.243"/>
        <n v="156.297"/>
        <n v="151.205"/>
        <n v="-178.063"/>
        <n v="119.846"/>
        <n v="178.199"/>
        <n v="-179.373"/>
        <n v="161.503"/>
        <n v="179.35"/>
        <n v="141.929"/>
        <n v="170.126"/>
        <n v="-70.8284"/>
        <n v="168.143"/>
        <n v="-62.9019"/>
        <n v="116.627"/>
        <n v="-178.153"/>
        <n v="119.802"/>
        <n v="-178.026"/>
        <n v="116.438"/>
        <n v="-155.0"/>
        <n v="-63.0058"/>
        <n v="151.5"/>
        <n v="151.402"/>
        <n v="153.2"/>
        <n v="142.612"/>
        <n v="142.754"/>
        <n v="-97.9787"/>
        <n v="-149.166"/>
        <n v="-74.7092"/>
        <n v="-83.52"/>
        <n v="108.174"/>
        <n v="2.1628"/>
        <n v="168.671"/>
        <n v="168.598"/>
        <n v="-84.4865"/>
        <n v="45.9592"/>
        <n v="143.485"/>
        <n v="-173.168"/>
        <n v="168.859"/>
        <n v="169.148"/>
        <n v="123.074"/>
        <n v="176.769"/>
        <n v="-98.4887"/>
        <n v="-93.8993"/>
        <n v="103.855"/>
        <n v="27.4139"/>
        <n v="168.857"/>
        <n v="164.016"/>
        <n v="124.629"/>
        <n v="-90.9718"/>
        <n v="-92.0092"/>
        <n v="170.92"/>
        <n v="120.431"/>
        <n v="-25.7432"/>
        <n v="167.377"/>
        <n v="125.066"/>
        <n v="-72.0617"/>
        <n v="25.1558"/>
        <n v="162.786"/>
        <n v="-178.804"/>
        <n v="-63.9047"/>
        <n v="125.452"/>
        <n v="155.172"/>
        <n v="161.335"/>
        <n v="122.617"/>
        <n v="176.052"/>
        <n v="-73.9413"/>
        <n v="127.921"/>
        <n v="153.522"/>
        <n v="161.132"/>
        <n v="161.314"/>
        <n v="161.327"/>
        <n v="-126.194"/>
        <n v="96.1678"/>
        <n v="73.9776"/>
        <n v="-88.8968"/>
        <n v="141.387"/>
        <n v="173.254"/>
        <n v="173.669"/>
        <n v="173.054"/>
        <n v="13.0961"/>
        <n v="108.163"/>
        <n v="148.887"/>
        <n v="-178.244"/>
        <n v="179.146"/>
        <n v="152.792"/>
        <n v="94.569"/>
        <n v="173.117"/>
        <n v="145.507"/>
        <n v="100.665"/>
        <n v="-26.9353"/>
        <n v="-178.204"/>
        <n v="-79.616"/>
        <n v="-79.7899"/>
        <n v="167.379"/>
        <n v="-79.9218"/>
        <n v="130.754"/>
        <n v="94.8654"/>
        <n v="71.1311"/>
        <n v="166.594"/>
        <n v="166.624"/>
        <n v="166.855"/>
        <n v="94.3299"/>
        <n v="158.546"/>
        <n v="-153.339"/>
        <n v="-106.934"/>
        <n v="142.781"/>
        <n v="126.862"/>
        <n v="93.6505"/>
        <n v="-93.633"/>
        <n v="129.508"/>
        <n v="72.7797"/>
        <n v="-71.2574"/>
        <n v="-71.0184"/>
        <n v="-70.9437"/>
        <n v="158.422"/>
        <n v="20.6"/>
        <n v="128.873"/>
        <n v="-72.0585"/>
        <n v="-72.0068"/>
        <n v="94.648"/>
        <n v="-71.4519"/>
        <n v="124.875"/>
        <n v="70.3676"/>
        <n v="167.303"/>
        <n v="131.262"/>
        <n v="-71.3792"/>
        <n v="-71.804"/>
        <n v="-71.6876"/>
        <n v="-71.4262"/>
        <n v="-71.6744"/>
        <n v="-109.623"/>
        <n v="157.877"/>
        <n v="158.053"/>
        <n v="138.528"/>
        <n v="-169.446"/>
        <n v="165.141"/>
        <n v="-58.5479"/>
        <n v="158.403"/>
        <n v="139.725"/>
        <n v="140.493"/>
        <n v="-156.43"/>
        <n v="163.215"/>
        <n v="163.696"/>
        <n v="164.169"/>
        <n v="142.032"/>
        <n v="86.0655"/>
        <n v="154.557"/>
        <n v="151.875"/>
        <n v="151.777"/>
        <n v="151.771"/>
        <n v="86.0173"/>
        <n v="84.8216"/>
        <n v="84.7314"/>
        <n v="-178.6"/>
        <n v="-173.029"/>
        <n v="152.562"/>
        <n v="122.535"/>
        <n v="142.881"/>
        <n v="-66.688"/>
        <n v="168.52"/>
        <n v="-82.6576"/>
        <n v="-82.6865"/>
        <n v="154.46"/>
        <n v="123.126"/>
        <n v="126.575"/>
        <n v="127.056"/>
        <n v="179.662"/>
        <n v="126.522"/>
        <n v="148.232"/>
        <n v="-177.759"/>
        <n v="-88.1225"/>
        <n v="144.429"/>
        <n v="-73.5714"/>
        <n v="146.169"/>
        <n v="-178.4"/>
        <n v="142.452"/>
        <n v="-92.4614"/>
        <n v="152.807"/>
        <n v="-175.51"/>
        <n v="-28.3669"/>
        <n v="178.735"/>
        <n v="-177.607"/>
        <n v="-177.516"/>
        <n v="-177.725"/>
        <n v="25.3889"/>
        <n v="-82.3045"/>
        <n v="170.355"/>
        <n v="-127.732"/>
        <n v="155.024"/>
        <n v="155.087"/>
        <n v="-100.972"/>
        <n v="162.052"/>
        <n v="162.051"/>
        <n v="162.148"/>
        <n v="-85.8779"/>
        <n v="154.95"/>
        <n v="155.048"/>
        <n v="-70.4931"/>
        <n v="-70.5756"/>
        <n v="-70.9455"/>
        <n v="-70.7691"/>
        <n v="-70.7022"/>
        <n v="-125.134"/>
        <n v="127.367"/>
        <n v="-58.9272"/>
        <n v="82.5864"/>
        <n v="167.372"/>
        <n v="-177.881"/>
        <n v="167.249"/>
        <n v="-176.545"/>
        <n v="-46.4011"/>
        <n v="-47.0621"/>
        <n v="-71.5215"/>
        <n v="144.661"/>
        <n v="-110.321"/>
        <n v="154.931"/>
        <n v="124.117"/>
        <n v="23.2523"/>
        <n v="152.786"/>
        <n v="-178.323"/>
        <n v="65.5052"/>
        <n v="-74.5112"/>
        <n v="65.5009"/>
        <n v="-174.767"/>
        <n v="138.833"/>
        <n v="128.221"/>
        <n v="-175.23"/>
        <n v="174.152"/>
        <n v="-78.1999"/>
        <n v="174.337"/>
        <n v="-25.07"/>
        <n v="149.706"/>
        <n v="153.927"/>
        <n v="-42.594"/>
        <n v="-86.926"/>
        <n v="107.236"/>
        <n v="151.444"/>
        <n v="153.221"/>
        <n v="-177.232"/>
        <n v="145.288"/>
        <n v="152.127"/>
        <n v="102.888"/>
        <n v="150.788"/>
        <n v="142.542"/>
        <n v="61.996"/>
        <n v="154.607"/>
        <n v="138.476"/>
        <n v="148.174"/>
        <n v="157.408"/>
        <n v="157.283"/>
        <n v="142.508"/>
        <n v="165.741"/>
        <n v="-77.393"/>
        <n v="166.018"/>
        <n v="165.969"/>
        <n v="165.655"/>
        <n v="165.588"/>
        <n v="164.882"/>
        <n v="165.114"/>
        <n v="143.092"/>
        <n v="-70.653"/>
        <n v="-134.859"/>
        <n v="167.286"/>
        <n v="129.825"/>
        <n v="143.949"/>
        <n v="-92.164"/>
        <n v="95.885"/>
        <n v="-91.895"/>
        <n v="-132.101"/>
        <n v="-85.298"/>
        <n v="134.03"/>
        <n v="-76.362"/>
        <n v="-85.315"/>
        <n v="126.638"/>
        <n v="-88.59"/>
        <n v="126.837"/>
        <n v="145.064"/>
        <n v="153.173"/>
        <n v="-174.705"/>
        <n v="134.276"/>
        <n v="147.117"/>
        <n v="-71.365"/>
        <n v="-113.104"/>
        <n v="-102.689"/>
        <n v="92.463"/>
        <n v="93.063"/>
        <n v="-72.217"/>
        <n v="145.955"/>
        <n v="-98.231"/>
        <n v="95.991"/>
        <n v="123.206"/>
        <n v="167.133"/>
        <n v="93.21"/>
        <n v="95.911"/>
        <n v="146.809"/>
        <n v="-99.789"/>
        <n v="-75.966"/>
        <n v="43.508"/>
        <n v="147.881"/>
        <n v="88.155"/>
        <n v="142.779"/>
        <n v="97.893"/>
        <n v="169.716"/>
        <n v="-74.525"/>
        <n v="168.218"/>
        <n v="168.156"/>
        <n v="144.828"/>
        <n v="-176.34"/>
        <n v="142.205"/>
        <n v="168.226"/>
        <n v="161.2"/>
        <n v="140.401"/>
        <n v="141.588"/>
        <n v="-94.338"/>
        <n v="99.822"/>
        <n v="142.463"/>
        <n v="141.562"/>
        <n v="144.59"/>
        <n v="141.111"/>
        <n v="142.373"/>
        <n v="142.842"/>
        <n v="-72.834"/>
        <n v="-72.96"/>
        <n v="63.951"/>
        <n v="168.471"/>
        <n v="-73.326"/>
        <n v="167.947"/>
        <n v="59.18"/>
        <n v="149.977"/>
        <n v="100.082"/>
        <n v="-109.156"/>
        <n v="133.76"/>
        <n v="171.83"/>
        <n v="-77.306"/>
        <n v="168.069"/>
        <n v="150.765"/>
        <n v="146.822"/>
        <n v="123.48"/>
        <n v="150.59"/>
        <n v="150.428"/>
        <n v="-73.31"/>
        <n v="161.447"/>
        <n v="136.484"/>
        <n v="136.543"/>
        <n v="91.936"/>
        <n v="166.643"/>
        <n v="96.018"/>
        <n v="96.548"/>
        <n v="161.116"/>
        <n v="97.048"/>
        <n v="-115.295"/>
        <n v="92.831"/>
        <n v="-73.257"/>
        <n v="141.59"/>
        <n v="-71.799"/>
        <n v="-71.891"/>
        <n v="100.991"/>
        <n v="-73.374"/>
        <n v="167.227"/>
        <n v="-75.048"/>
        <n v="-72.898"/>
        <n v="128.425"/>
        <n v="-72.571"/>
        <n v="-124.692"/>
        <n v="157.551"/>
        <n v="157.354"/>
        <n v="157.487"/>
        <n v="-70.321"/>
        <n v="178.331"/>
        <n v="118.631"/>
        <n v="129.782"/>
        <n v="130.385"/>
        <n v="165.91"/>
        <n v="166.497"/>
        <n v="166.382"/>
        <n v="166.51"/>
        <n v="101.524"/>
        <n v="99.867"/>
        <n v="-172.095"/>
        <n v="107.297"/>
        <n v="99.49"/>
        <n v="140.395"/>
        <n v="92.902"/>
        <n v="137.944"/>
        <n v="-112.903"/>
        <n v="166.562"/>
        <n v="153.782"/>
        <n v="-86.217"/>
        <n v="-174.66"/>
        <n v="126.387"/>
        <n v="133.305"/>
        <n v="70.743"/>
        <n v="132.885"/>
        <n v="122.091"/>
        <n v="-92.364"/>
        <n v="73.824"/>
        <n v="143.754"/>
        <n v="127.363"/>
        <n v="166.967"/>
        <n v="83.52"/>
        <n v="141.464"/>
        <n v="142.214"/>
        <n v="142.714"/>
        <n v="91.824"/>
        <n v="140.881"/>
        <n v="103.322"/>
        <n v="141.526"/>
        <n v="168.892"/>
        <n v="81.467"/>
        <n v="125.63"/>
        <n v="99.808"/>
        <n v="99.891"/>
        <n v="99.972"/>
        <n v="99.931"/>
        <n v="95.964"/>
        <n v="21.863"/>
        <n v="21.67"/>
        <n v="-94.304"/>
        <n v="178.291"/>
        <n v="-70.182"/>
        <n v="-61.274"/>
        <n v="162.149"/>
        <n v="118.467"/>
        <n v="118.37"/>
        <n v="147.098"/>
        <n v="-77.838"/>
        <n v="-70.237"/>
        <n v="-69.89"/>
        <n v="101.02"/>
        <n v="167.553"/>
        <n v="153.5"/>
        <n v="100.141"/>
        <n v="99.627"/>
        <n v="99.668"/>
        <n v="100.841"/>
        <n v="100.139"/>
        <n v="101.367"/>
        <n v="-77.963"/>
        <n v="165.762"/>
        <n v="159.465"/>
        <n v="-76.603"/>
        <n v="107.419"/>
        <n v="167.68"/>
        <n v="127.464"/>
        <n v="134.85"/>
        <n v="138.446"/>
        <n v="-90.618"/>
        <n v="155.741"/>
        <n v="155.777"/>
        <n v="157.043"/>
        <n v="136.588"/>
        <n v="169.357"/>
        <n v="126.976"/>
        <n v="126.282"/>
        <n v="154.524"/>
        <n v="120.493"/>
        <n v="120.547"/>
        <n v="153.266"/>
        <n v="151.195"/>
        <n v="-76.677"/>
        <n v="150.982"/>
        <n v="-155.935"/>
        <n v="-172.033"/>
        <n v="155.512"/>
        <n v="157.522"/>
        <n v="167.789"/>
        <n v="151.133"/>
        <n v="165.743"/>
        <n v="97.05"/>
        <n v="-174.123"/>
        <n v="-173.907"/>
        <n v="-71.056"/>
        <n v="-71.022"/>
        <n v="167.516"/>
        <n v="167.089"/>
        <n v="176.989"/>
        <n v="127.214"/>
        <n v="33.583"/>
        <n v="23.212"/>
        <n v="-112.117"/>
        <n v="71.093"/>
        <n v="29.83"/>
        <n v="142.122"/>
        <n v="96.786"/>
        <n v="-67.895"/>
        <n v="73.588"/>
        <n v="151.84"/>
        <n v="-76.398"/>
        <n v="153.474"/>
        <n v="142.039"/>
        <n v="92.19"/>
        <n v="97.082"/>
        <n v="-86.172"/>
        <n v="-125.953"/>
        <n v="-69.197"/>
        <n v="97.041"/>
        <n v="98.459"/>
        <n v="99.779"/>
        <n v="99.607"/>
        <n v="97.108"/>
        <n v="130.131"/>
        <n v="129.933"/>
        <n v="95.592"/>
        <n v="122.129"/>
        <n v="126.421"/>
        <n v="167.259"/>
        <n v="123.337"/>
        <n v="141.491"/>
        <n v="92.375"/>
        <n v="92.958"/>
        <n v="95.982"/>
        <n v="161.345"/>
        <n v="-81.409"/>
        <n v="145.228"/>
        <n v="145.119"/>
        <n v="135.404"/>
        <n v="164.721"/>
        <n v="-77.508"/>
        <n v="124.868"/>
        <n v="162.208"/>
        <n v="-128.772"/>
        <n v="138.779"/>
        <n v="122.694"/>
        <n v="-86.665"/>
        <n v="120.534"/>
        <n v="162.161"/>
        <n v="137.227"/>
        <n v="137.071"/>
        <n v="136.618"/>
        <n v="-70.525"/>
        <n v="133.091"/>
        <n v="160.003"/>
        <n v="-73.406"/>
        <n v="122.839"/>
        <n v="167.198"/>
        <n v="71.029"/>
        <n v="135.339"/>
        <n v="135.023"/>
        <n v="135.538"/>
        <n v="127.4"/>
        <n v="169.766"/>
        <n v="58.311"/>
        <n v="-82.824"/>
        <n v="-121.101"/>
        <n v="121.362"/>
        <n v="150.88"/>
        <n v="125.416"/>
        <n v="142.619"/>
        <n v="144.57"/>
        <n v="87.721"/>
        <n v="144.38"/>
        <n v="87.813"/>
        <n v="143.593"/>
        <n v="143.91"/>
        <n v="95.672"/>
        <n v="167.144"/>
        <n v="-43.411"/>
        <n v="152.174"/>
        <n v="-71.637"/>
        <n v="159.999"/>
        <n v="152.502"/>
        <n v="128.855"/>
        <n v="141.568"/>
        <n v="3.634"/>
        <n v="120.743"/>
        <n v="153.238"/>
        <n v="-104.104"/>
        <n v="-90.774"/>
        <n v="160.77"/>
        <n v="153.701"/>
        <n v="153.275"/>
        <n v="-147.453"/>
        <n v="96.085"/>
        <n v="-147.912"/>
        <n v="133.973"/>
        <n v="134.297"/>
        <n v="93.068"/>
        <n v="142.945"/>
        <n v="146.199"/>
        <n v="-82.793"/>
        <n v="49.047"/>
        <n v="-71.124"/>
        <n v="166.383"/>
        <n v="144.619"/>
        <n v="-70.586"/>
        <n v="-100.865"/>
        <n v="122.179"/>
        <n v="-68.329"/>
        <n v="124.249"/>
        <n v="70.482"/>
        <n v="151.248"/>
        <n v="31.271"/>
        <n v="142.427"/>
        <n v="168.004"/>
        <n v="167.856"/>
        <n v="159.53"/>
        <n v="122.734"/>
        <n v="141.089"/>
        <n v="90.541"/>
        <n v="150.196"/>
        <n v="123.907"/>
        <n v="144.98"/>
        <n v="133.13"/>
        <n v="-154.701"/>
        <n v="24.244"/>
        <n v="-72.077"/>
        <n v="-73.987"/>
        <n v="-71.649"/>
        <n v="-73.641"/>
        <n v="155.865"/>
        <n v="132.526"/>
        <n v="128.02"/>
        <n v="-122.727"/>
        <n v="126.249"/>
        <n v="102.562"/>
        <n v="-88.938"/>
        <n v="70.232"/>
        <n v="101.776"/>
        <n v="-88.66"/>
        <n v="-153.281"/>
        <n v="167.17"/>
        <n v="126.899"/>
        <n v="126.579"/>
        <n v="152.725"/>
        <n v="54.799"/>
        <n v="49.954"/>
        <n v="49.946"/>
        <n v="153.181"/>
        <n v="151.781"/>
        <n v="153.226"/>
        <n v="153.102"/>
        <n v="152.169"/>
        <n v="-77.829"/>
        <n v="153.945"/>
        <n v="105.63"/>
        <n v="133.134"/>
        <n v="166.91"/>
        <n v="30.709"/>
        <n v="127.394"/>
        <n v="-102.48"/>
        <n v="142.246"/>
        <n v="166.448"/>
        <n v="139.376"/>
        <n v="150.917"/>
        <n v="-154.198"/>
        <n v="-20.758"/>
        <n v="97.453"/>
        <n v="-20.487"/>
        <n v="101.905"/>
        <n v="102.102"/>
        <n v="102.087"/>
        <n v="-66.452"/>
        <n v="123.573"/>
        <n v="143.807"/>
        <n v="150.876"/>
        <n v="146.837"/>
        <n v="-174.248"/>
        <n v="165.354"/>
        <n v="105.555"/>
        <n v="119.74"/>
        <n v="-154.347"/>
        <n v="-69.171"/>
        <n v="168.214"/>
        <n v="148.763"/>
        <n v="148.82"/>
        <n v="31.161"/>
        <n v="71.24"/>
        <n v="-116.265"/>
        <n v="-96.931"/>
        <n v="121.158"/>
        <n v="120.982"/>
        <n v="168.039"/>
        <n v="-84.159"/>
        <n v="29.864"/>
        <n v="-88.33"/>
        <n v="-97.436"/>
        <n v="152.877"/>
        <n v="152.486"/>
        <n v="-176.46"/>
        <n v="149.568"/>
        <n v="-72.662"/>
        <n v="79.403"/>
        <n v="-177.668"/>
        <n v="159.52"/>
        <n v="121.937"/>
        <n v="57.193"/>
        <n v="166.697"/>
        <n v="-169.123"/>
        <n v="153.235"/>
        <n v="-176.376"/>
        <n v="124.891"/>
        <n v="128.946"/>
        <n v="129.022"/>
        <n v="112.413"/>
        <n v="-71.715"/>
        <n v="126.764"/>
        <n v="-80.393"/>
        <n v="138.901"/>
        <n v="141.926"/>
        <n v="166.16"/>
        <n v="70.11"/>
        <n v="-65.431"/>
        <n v="119.584"/>
        <n v="151.714"/>
        <n v="125.308"/>
        <n v="-74.238"/>
        <n v="99.261"/>
        <n v="57.605"/>
        <n v="-70.207"/>
        <n v="-179.376"/>
        <n v="-71.41"/>
        <n v="-91.473"/>
        <n v="147.867"/>
        <n v="162.035"/>
        <n v="122.536"/>
        <n v="20.656"/>
        <n v="167.375"/>
        <n v="-88.808"/>
        <n v="87.325"/>
        <n v="-76.681"/>
        <n v="-71.22"/>
        <n v="-176.772"/>
        <n v="125.779"/>
        <n v="-75.749"/>
        <n v="144.362"/>
        <n v="-98.216"/>
        <n v="-63.486"/>
        <n v="-71.872"/>
        <n v="-101.604"/>
        <n v="169.287"/>
        <n v="70.945"/>
        <n v="59.809"/>
        <n v="144.901"/>
        <n v="-60.892"/>
        <n v="166.676"/>
        <n v="147.408"/>
        <n v="127.647"/>
        <n v="68.208"/>
        <n v="57.291"/>
        <n v="-102.756"/>
        <n v="138.92"/>
        <n v="131.314"/>
        <n v="78.133"/>
        <n v="-75.675"/>
        <n v="131.468"/>
        <n v="131.093"/>
        <n v="155.568"/>
        <n v="32.126"/>
        <n v="126.334"/>
        <n v="126.284"/>
        <n v="121.498"/>
        <n v="161.445"/>
        <n v="120.45"/>
        <n v="120.254"/>
        <n v="-100.965"/>
        <n v="122.589"/>
        <n v="125.154"/>
        <n v="-176.847"/>
        <n v="-177.632"/>
        <n v="167.13"/>
        <n v="154.999"/>
        <n v="-70.093"/>
        <n v="167.297"/>
        <n v="-86.772"/>
        <n v="-86.856"/>
        <n v="-98.07"/>
        <n v="-79.587"/>
        <n v="136.225"/>
        <n v="135.84"/>
        <n v="136.952"/>
        <n v="142.38"/>
        <n v="149.892"/>
        <n v="100.276"/>
        <n v="159.586"/>
        <n v="119.931"/>
        <n v="129.151"/>
        <n v="140.233"/>
        <n v="149.3"/>
        <n v="34.799"/>
        <n v="-71.417"/>
        <n v="-93.469"/>
        <n v="130.148"/>
        <n v="130.175"/>
        <n v="-104.205"/>
        <n v="101.436"/>
        <n v="-77.851"/>
        <n v="-77.881"/>
        <n v="-78.581"/>
        <n v="-98.597"/>
        <n v="-110.284"/>
        <n v="-75.577"/>
        <n v="154.347"/>
        <n v="153.773"/>
        <n v="154.178"/>
        <n v="151.515"/>
        <n v="-70.294"/>
        <n v="99.196"/>
        <n v="22.283"/>
        <n v="142.827"/>
        <n v="169.9"/>
        <n v="125.127"/>
        <n v="21.695"/>
        <n v="125.297"/>
      </sharedItems>
    </cacheField>
    <cacheField name="location_cleaned" numFmtId="0">
      <sharedItems containsBlank="1">
        <s v="Sola, Vanuatu"/>
        <s v="Intipucá, El Salvador"/>
        <s v="Loncopué, Argentina"/>
        <s v="Sand Point, Alaska"/>
        <s v="Alaska Peninsula"/>
        <s v="Codrington, Antigua and Barbuda"/>
        <s v="Tonga"/>
        <s v="the Fiji Islands"/>
        <s v="Panama-Colombia border region"/>
        <s v="the Loyalty Islands"/>
        <s v="Hihifo, Tonga"/>
        <s v="Teluk Dalam, Indonesia"/>
        <s v="Kermadec Islands, New Zealand"/>
        <s v="Tuban, Indonesia"/>
        <s v="the Kamchatka Peninsula, Russia"/>
        <s v="New Guinea, Papua New Guinea"/>
        <s v="San Antonio de los Cobres, Argentina"/>
        <s v="Jurm, Afghanistan"/>
        <s v="Ecuador"/>
        <s v="Kermadec Islands region"/>
        <s v="Port-Olry, Vanuatu"/>
        <s v="Kimbe, Papua New Guinea"/>
        <s v="Murghob, Tajikistan"/>
        <s v="Ekinözü, Turkey"/>
        <s v="Nurdağı, Turkey"/>
        <s v="Central Turkey"/>
        <m/>
        <s v="Tobelo, Indonesia"/>
        <s v="Pulau Pulau Tanimbar, Indonesia"/>
        <s v="Vanuatu"/>
        <s v="Malango, Solomon Islands"/>
        <s v="Bengkulu, Indonesia"/>
        <s v="Neiafu, Tonga"/>
        <s v="Boca Chica, Panama"/>
        <s v="Aguililla, Mexico"/>
        <s v="Yujing, Taiwan"/>
        <s v="Lugu, Taiwan"/>
        <s v="Isangel, Vanuatu"/>
        <s v="Kainantu, Papua New Guinea"/>
        <s v="Kangding, China"/>
        <s v="the Kermadec Islands"/>
        <s v="Bantay, Philippines"/>
        <s v="Tarauacá, Brazil"/>
        <s v="Azángaro, Peru"/>
        <s v="Masachapa, Nicaragua"/>
        <s v="Tadine, New Caledonia"/>
        <s v="Hualien City, Taiwan"/>
        <s v="Namie, Japan"/>
        <s v="Pariaman, Indonesia"/>
        <s v="Barranca, Peru"/>
        <s v="Labuan, Indonesia"/>
        <s v="Nikolski, Alaska"/>
        <s v="Pólis, Cyprus"/>
        <s v="northern Qinghai, China"/>
        <s v="Lospalos, Timor Leste"/>
        <s v="Flores Sea"/>
        <s v="Hirara, Japan"/>
        <s v="Chignik, Alaska"/>
        <s v="Vanuatu region"/>
        <s v="Jiquilillo, Nicaragua"/>
        <s v="Acapulco, Mexico"/>
        <s v="South Sandwich Islands region"/>
        <s v="Nippes, Haiti"/>
        <s v="Perryville, Alaska"/>
        <s v="Pondaguitan, Philippines"/>
        <s v="Hukay, Philippines"/>
        <s v="Burica, Panama"/>
        <s v="Alo, Wallis and Futuna"/>
        <s v="Southern Qinghai, China"/>
        <s v="Sinabang, Indonesia"/>
        <s v="Mauritius - Reunion region"/>
        <s v="Haveluloto, Tonga"/>
        <s v="Pangai, Tonga"/>
        <s v="Ishinomaki, Japan"/>
        <s v="Ust’-Kamchatsk Staryy, Russia"/>
        <s v="Gisborne, New Zealand"/>
        <s v="South Shetland Islands"/>
        <s v="Turt, Mongolia"/>
        <s v="Corral, Chile"/>
        <s v="Néon Karlovásion, Greece"/>
        <s v="central Mid-Atlantic Ridge"/>
        <s v="Vallenar, Chile"/>
        <s v="Katabu, Indonesia"/>
        <s v="San Pedro, Philippines"/>
        <s v="Popondetta, Papua New Guinea"/>
        <s v="Batang, Indonesia"/>
        <s v="Santa María Xadani, Mexico"/>
        <s v="Naze, Japan"/>
        <s v="San Pedro de Atacama, Chile"/>
        <s v="Monte Cristo Range, NV Earthquake"/>
        <s v="Lata, Solomon Islands"/>
        <s v="Banda Sea"/>
        <s v="Néa Anatolí, Greece"/>
        <s v="Stanley, Idaho"/>
        <s v="Severo-Kuril’sk, Russia"/>
        <s v="Kuril’sk, Russia"/>
        <s v="Lucea, Jamaica"/>
        <s v="Do?anyol, Turkey"/>
        <s v="Magsaysay, Philippines"/>
        <s v="Bitung, Indonesia"/>
        <s v="Ndoi Island, Fiji"/>
        <s v="Kisante, Philippines"/>
        <s v="Columbio, Philippines"/>
        <s v="Constitución, Chile"/>
        <s v="Kairatu, Indonesia"/>
        <s v="Bristol Island, South Sandwich Islands"/>
        <s v="San Antonio, Chile"/>
        <s v="Lakatoro, Vanuatu"/>
        <s v="Laiwui, Indonesia"/>
        <s v="Broome, Australia"/>
        <s v="Kota Ternate, Indonesia"/>
        <s v="Searles Valley, CA"/>
        <s v="Saumlaki, Indonesia"/>
        <s v="L'Esperance Rock, New Zealand"/>
        <s v="La Libertad, El Salvador"/>
        <s v="Navarro, Peru"/>
        <s v="Namatanai, Papua New Guinea"/>
        <s v="Bulolo, Papua New Guinea"/>
        <s v="Luwuk, Indonesia"/>
        <s v="Palora, Ecuador"/>
        <s v="Puerto Madero, Mexico"/>
        <s v="Prince Edward Islands region"/>
        <s v="Coquimbo, Chile"/>
        <s v="Molucca Sea"/>
        <s v="Tarauaca, Brazil"/>
        <s v="Point MacKenzie, Alaska"/>
        <s v="Levuka, Fiji"/>
        <s v="Olonkinbyen, Svalbard and Jan Mayen"/>
        <s v="Lithakiá, Greece"/>
        <s v="Port McNeill, Canada"/>
        <s v="Ozernovskiy, Russia"/>
        <s v="Palu, Indonesia"/>
        <s v="Kirakira, Solomon Islands"/>
        <s v="Chitose, Japan"/>
        <s v="Iñapari, Peru"/>
        <s v="Carúpano, Venezuela"/>
        <s v="Labuan Lombok, Indonesia"/>
        <s v="Labuan Bajo, Indonesia"/>
        <s v="Adak, Alaska"/>
        <s v="Leilani Estates, Hawaii"/>
        <s v="Boyuibe, Bolivia"/>
        <s v="Kokopo, Papua New Guinea"/>
        <s v="Tari, Papua New Guinea"/>
        <s v="Pinotepa de Don Luis, Mexico"/>
        <s v="Chiniak, Alaska"/>
        <s v="Atiquipa, Peru"/>
        <s v="Barra Patuca, Honduras"/>
        <s v="Kawalu, Indonesia"/>
        <s v="Bouvet Island region"/>
        <s v="Parrita, Costa Rica"/>
        <s v="?alabja, Iraq"/>
        <s v="Angoram, Papua New Guinea"/>
        <s v="Maumere, Indonesia"/>
        <s v="Attu Station, Alaska"/>
        <s v="Matzaco, Mexico"/>
        <s v="Chiapas, Mexico"/>
        <s v="Mawu, China"/>
        <s v="Kos, Greece"/>
        <s v="Komandorskiye Ostrova, Russia region"/>
        <s v="Auckland Islands, New Zealand region"/>
        <s v="Lim-oo, Philippines"/>
        <s v="Puerto San José, Guatemala"/>
        <s v="San Pablo, Guatemala"/>
        <s v="Poso, Indonesia"/>
        <s v="Burias, Philippines"/>
        <s v="Valparaíso, Chile"/>
        <s v="Moijabana, Botswana"/>
        <s v="Padilla, Bolivia"/>
        <s v="Mabua, Philippines"/>
        <s v="Panguna, Papua New Guinea"/>
        <s v="Tabiauan, Philippines"/>
        <s v="Nadi, Fiji"/>
        <s v="Quellón, Chile"/>
        <s v="Ferndale, California"/>
        <s v="Reuleuet, Indonesia"/>
        <s v="Puerto El Triunfo, El Salvador"/>
        <s v="Amberley, New Zealand"/>
        <s v="Blenheim, New Zealand"/>
        <s v="Preci, Italy"/>
        <s v="Pamanukan, Indonesia"/>
        <s v="Kandrian, Papua New Guinea"/>
        <s v="Fiji region"/>
        <s v="Rabaul, Papua New Guinea"/>
        <s v="Chauk, Myanmar"/>
        <s v="Pagan region, Northern Mariana Islands"/>
        <s v="Sungai Penuh, Indonesia"/>
        <s v="Rosa Zarate, Ecuador"/>
        <s v="Muisne, Ecuador"/>
        <s v="Norsup, Vanuatu"/>
        <s v="Kumamoto, Japan"/>
        <s v="Mawlaik, Myanmar"/>
        <s v="Ashk?sham, Afghanistan"/>
        <s v="Sumatra, Indonesia"/>
        <s v="Mil’kovo, Russia"/>
        <s v="Pedro Bay, Alaska"/>
        <s v="La Cruz de Loreto, Mexico"/>
        <s v="Shizunai-furukawach?, Japan"/>
        <s v="Sarangani, Philippines"/>
        <s v="Imph?l, India"/>
        <s v="Manuel Ávila Camacho (Ponte Duro), Mexico"/>
        <s v="Amahai, Indonesia"/>
        <s v="Buala, Solomon Islands"/>
        <s v="Lefkáda, Greece"/>
        <s v="Makurazaki, Japan"/>
        <s v="Nicobar Islands, India region"/>
        <s v="Ovalle, Chile"/>
        <s v="Maubara, Timor Leste"/>
        <s v="Hindu Kush region, Afghanistan"/>
        <s v="Sorong, Indonesia"/>
        <s v="Illapel, Chile"/>
        <s v="Topolobampo, Mexico"/>
        <s v="Gizo, Solomon Islands"/>
        <s v="Abepura, Indonesia"/>
        <s v="Fox Islands, Aleutian Islands, Alaska"/>
        <s v="Bathsheba, Barbados"/>
        <s v="Bonin Islands, Japan region"/>
        <s v="Ugashik, Alaska"/>
        <s v="?funato, Japan"/>
        <s v="Nepal"/>
        <s v="Kod?ri??, Nepal"/>
        <s v="Bharatpur, Nepal"/>
        <s v="Miyako, Japan"/>
        <s v="El Aguilar, Argentina"/>
        <s v="Port-Vila, Vanuatu"/>
        <s v="Punta de Burica, Panama"/>
        <s v="Sangay, Philippines"/>
        <s v="Ternate, Indonesia"/>
        <s v="Finschhafen, Papua New Guinea"/>
        <s v="Piti Village, Guam"/>
        <s v="Aniso, Peru"/>
        <s v="Micronesia region"/>
        <s v="Mata-Utu, Wallis and Futuna"/>
        <s v="Rat Islands, Aleutian Islands, Alaska"/>
        <s v="Kamariótissa, Greece"/>
        <s v="Vernon, Canada"/>
        <s v="Coyuquilla Norte, Mexico"/>
        <s v="Belén, Nicaragua"/>
        <s v="Iquique, Chile"/>
        <s v="Indianola, California"/>
        <s v="Nago, Japan"/>
        <s v="Greenland, Barbados"/>
        <s v="Hotan, China"/>
        <s v="Scotia Sea"/>
        <s v="off the east coast of Honshu, Japan"/>
        <s v="Etchoropo, Mexico"/>
        <s v="Sagbayan, Philippines"/>
        <s v="Kíssamos, Greece"/>
        <s v="Okhotsk"/>
        <s v="Khuzdar, Pakistan"/>
        <s v="Bela, Pakistan"/>
        <s v="Atka, Alaska"/>
        <s v="Izu Islands, Japan region"/>
        <s v="Bahía Solano, Colombia"/>
        <s v="northern Mid-Atlantic Ridge"/>
        <s v="Java, Indonesia"/>
        <s v="Vaini, Tonga"/>
        <s v="Linqiong, China"/>
        <s v="Aitape, Papua New Guinea"/>
        <s v="Kh?sh, Iran"/>
        <s v="Belaya Gora, Russia"/>
        <s v="Yacuanquer, Colombia"/>
        <s v="Obihiro, Japan"/>
        <s v="Edna Bay, Alaska"/>
        <s v="Champerico, Guatemala"/>
        <s v="Shwebo, Myanmar"/>
        <s v="Prince Rupert, Canada"/>
        <s v="Costa Rica"/>
        <s v="Tual, Indonesia"/>
        <s v="San Agustín, Colombia"/>
        <s v="Hojancha, Costa Rica"/>
        <s v="Sulangan, Philippines"/>
        <s v="Poronaysk, Russia"/>
        <s v="Manokwari, Indonesia"/>
        <s v="Lae, Papua New Guinea"/>
        <s v="Hacienda La Calera, Chile"/>
        <s v="San Luis, Mexico"/>
        <s v="El Habillal, Mexico"/>
        <s v="off the west coast of northern Sumatra"/>
        <s v="Santiago Llano Grande, Mexico"/>
        <s v="Saryg-Sep, Russia"/>
        <s v="Jimalalud, Philippines"/>
        <s v="Wau, Papua New Guinea"/>
        <s v="Nuevo Balsas, Mexico"/>
        <s v="Santiago, Peru"/>
        <s v="Van, Turkey"/>
        <s v="Mangan, India"/>
        <s v="Kabanjahe, Indonesia"/>
        <s v="Contamana, Peru"/>
        <s v="Wé, New Caledonia"/>
        <s v="Ishikawa, Japan"/>
        <s v="Helio García Alfaro, Mexico"/>
        <s v="Tachilek, Myanmar"/>
        <s v="?tsuchi, Japan"/>
        <s v="Hasaki, Japan"/>
        <s v="Kamaishi, Japan"/>
        <s v="?arai, Japan"/>
        <s v="2011 Great Tohoku Earthquake, Japan"/>
        <s v="Tomé, Chile"/>
        <s v="Dalbandin, Pakistan"/>
        <s v="Carahue, Chile"/>
        <s v="Bam, Iran"/>
        <s v="El Huitusi, Mexico"/>
        <s v="Papua, Indonesia"/>
        <s v="Methven, New Zealand"/>
        <s v="Madang, Papua New Guinea"/>
        <s v="Bantogon, Philippines"/>
        <s v="New Britain region, Papua New Guinea"/>
        <s v="Cañete, Chile"/>
        <s v="Biak, Indonesia"/>
        <s v="Meulaboh, Indonesia"/>
        <s v="Qamdo, China"/>
        <s v="Delta, B.C., MX"/>
        <s v="Bamboo Flat, India"/>
        <s v="Santa Cruz, Chile"/>
        <s v="Talcahuano, Chile"/>
        <s v="Lebu, Chile"/>
        <s v="Quirihue, Chile"/>
        <s v="Katsuren-haebaru, Japan"/>
        <s v="Léogâne, Haiti"/>
        <s v="Ba, Fiji"/>
        <s v="Bima, Indonesia"/>
        <s v="Matavai, Samoa"/>
        <s v="Banjar, Indonesia"/>
        <s v="Padang, Indonesia"/>
        <s v="Tateyama, Japan"/>
        <s v="?yama, Japan"/>
        <s v="Bahía de Kino, Mexico"/>
        <s v="Te Anau, New Zealand"/>
        <s v="Guanaja, Honduras"/>
        <s v="‘Ohonua, Tonga"/>
        <s v="Gorontalo, Indonesia"/>
        <s v="Brisas Barra de Suchiate, Mexico"/>
        <s v="Nookat, Kyrgyzstan"/>
        <s v="Jumla, Nepal"/>
        <s v="Morioka, Japan"/>
        <s v="Mizusawa, Japan"/>
        <s v="Tianpeng, China"/>
        <s v="Philippine Islands region"/>
        <s v="Koróni, Greece"/>
        <s v="Methóni, Greece"/>
        <s v="General Pascual Fentes, Mexico"/>
        <s v="Ant"/>
        <s v="Basse-Pointe, Martinique"/>
        <s v="Dompu, Indonesia"/>
        <s v="Macas, Ecuador"/>
        <s v="Tocopilla, Chile"/>
        <s v="Kepulauan Mentawai region, Indonesia"/>
        <s v="Timbiquí, Colombia"/>
        <s v="San Vicente de Cañete, Peru"/>
        <s v="Rengasdengklok, Indonesia"/>
        <s v="Luganville, Vanuatu"/>
        <s v="Mikuni, Japan"/>
        <s v="Kashiwazaki, Japan"/>
        <s v="Iztapa, Guatemala"/>
        <s v="Nanao, Japan"/>
        <s v="S"/>
        <s v="the Kuril Islands"/>
        <s v="Hengchun, Taiwan"/>
        <s v="Kuril Islands"/>
        <s v="Puako, Hawaii"/>
        <s v="Singaparna, Indonesia"/>
        <s v="Tilichiki, Russia"/>
        <s v="Singkil, Indonesia"/>
        <s v="Copiapó, Chile"/>
        <s v="Lautoka, Fiji"/>
        <s v="Ambon, Indonesia"/>
        <s v="Chipinge, Zimbabwe"/>
        <s v="Kýthira, Greece"/>
        <s v="Kalemie, Democratic Republic"/>
        <s v="Muzaffar?b?d, Pakistan"/>
        <s v="Yurimaguas, Peru"/>
        <s v="San Juan del Sur, Nicaragua"/>
        <s v="Big Lagoon, California"/>
        <s v="Padangsidempuan, Indonesia"/>
        <s v="Maebaru-ch??, Japan"/>
        <s v="Pulau-Pulau Talaud, Indonesia"/>
        <s v="Palimbang, Philippines"/>
        <s v="Katsuura, Japan"/>
        <s v="Sabang, Indonesia"/>
        <s v="2004 Sumatra - Andaman Islands Earthquake"/>
        <s v="Macquarie Island"/>
        <s v="George Town, Cayman Islands"/>
        <s v="Nemuro, Japan"/>
        <s v="Nabire, Indonesia"/>
        <s v="Riverton, New Zealand"/>
        <s v="Pizarro, Colombia"/>
        <s v="Ojiya, Japan"/>
        <s v="Yonakuni, Japan"/>
        <s v="Talisay, Philippines"/>
        <s v="Shing?, Japan"/>
        <s v="Teno, Chile"/>
        <s v="Atlasovo, Russia"/>
        <s v="Naisano Dua, Indonesia"/>
        <s v="Afghanistan-Tajikistan-Pakistan region"/>
        <s v="Progreso, Panama"/>
        <s v="San Simeon, California"/>
        <s v="Can-Avid, Philippines"/>
        <s v="Kushiro, Japan"/>
        <s v="Aktash, Russia"/>
        <s v="Taungdwingyi, Myanmar"/>
        <s v="Dellys, Algeria"/>
        <s v="Ruteng, Indonesia"/>
        <s v="Cuyutlán, Mexico"/>
        <s v="New Ireland region, Papua New Guinea"/>
        <s v="Cantwell, Alaska"/>
        <s v="San Jose Village, Northern Mariana Islands"/>
        <s v="Abhar, Iran"/>
        <s v="Monte Patria, Chile"/>
        <s v="Merizo Village, Guam"/>
        <s v="Nuxco, Mexico"/>
        <s v="Calama, Chile"/>
        <s v="Mindanao, Philippines"/>
        <s v="Sultanda??, Turkey"/>
        <s v="Hanamaki, Japan"/>
        <s v="Kendari, Indonesia"/>
        <s v="Inarajan Village, Guam"/>
        <s v="Kokhanok, Alaska"/>
        <s v="Skýros, Greece"/>
        <s v="Punta de Bombón, Peru"/>
        <s v="Achanizo, Peru"/>
        <s v="Pacocha, Peru"/>
        <s v="Atico, Peru"/>
        <s v="Kure, Japan"/>
        <s v="Longbranch, Washington"/>
        <s v="Cojutepeque, El Salvador"/>
        <s v="Bhach?u, India"/>
        <s v="Old Harbor, Alaska"/>
        <s v="Lukatan, Philippines"/>
        <s v="Balkanabat, Turkmenistan"/>
        <s v="Badamdar, Azerbaijan"/>
        <s v="Baku, Azerbaijan"/>
        <s v="Juradó, Colombia"/>
        <s v="Matsue, Japan"/>
        <s v="Nkove, Tanzania"/>
        <s v="Uglegorsk, Russia"/>
        <s v="Shimoda, Japan"/>
        <s v="Larsen Bay, Alaska"/>
        <s v="Selfoss, Iceland"/>
        <s v="South Indian Ocean"/>
        <s v="Ialibu, Papua New Guinea"/>
        <s v="Shikotan, Russia"/>
        <s v="Bolitoc, Philippines"/>
        <s v="Karluk, Alaska"/>
        <s v="Arica, Chile"/>
        <s v="Düzce, Turkey"/>
        <s v="Hector Mine, CA Earthquake"/>
        <s v="San Baltazar Loxicha, Mexico"/>
        <s v="Puli, Taiwan"/>
        <s v="Quepos, Costa Rica"/>
        <s v="Derince, Turkey"/>
        <s v="Potrerillos, Honduras"/>
        <s v="Texcala, Mexico"/>
        <s v="Camaná, Peru"/>
        <s v="P?palkoti, India"/>
        <s v="Vilyuchinsk, Russia"/>
        <s v="K?h Sef?d, Iran"/>
        <s v="Sumberpucung, Indonesia"/>
        <s v="Bahía de Caráquez, Ecuador"/>
        <s v="Rust?q, Afghanistan"/>
        <s v="Mizque, Bolivia"/>
        <s v="Ishigaki, Japan"/>
        <s v="San Fernando, Peru"/>
        <s v="Kerman, Iran"/>
        <s v="Labasa, Fiji"/>
        <s v="San José El Ídolo, Guatemala"/>
        <s v="San Sebastián, El Salvador"/>
        <s v="western Xizang"/>
        <s v="Roncesvalles, Colombia"/>
        <s v="El Ciruelo, Mexico"/>
        <s v="Churumuco de Morelos, Mexico"/>
        <s v="Q?’en, Iran"/>
        <s v="Yigo Village, Guam"/>
        <s v="Scarborough, Trinidad and Tobago"/>
        <s v="Kinablangan, Philippines"/>
        <s v="Harnai, Pakistan"/>
        <s v="Turkmenistan-Iran border region"/>
        <s v="Iwanai, Japan"/>
        <s v="Miyazaki, Japan"/>
        <s v="Thang, India"/>
        <s v="Changuillo, Peru"/>
        <s v="Nishinoomote, Japan"/>
        <s v="Paphos, Cyprus"/>
        <s v="Cortes, Philippines"/>
        <s v="Palapag, Philippines"/>
        <s v="Villa El Carmen, Nicaragua"/>
        <s v="Santa María Chico Ometepec, Mexico"/>
        <s v="Puerto Santa, Peru"/>
        <s v="Insrom, Indonesia"/>
        <s v="Lijiang, China"/>
        <s v="Yelizovo, Russia"/>
        <s v="Nuwaybi‘a, Egypt"/>
        <s v="Ocozocoautla de Espinosa, Mexico"/>
        <s v="El Colomo, Mexico"/>
        <s v="Sucúa, Ecuador"/>
        <s v="Paramonga, Peru"/>
        <s v="Azoyú, Mexico"/>
        <s v="Neira, Colombia"/>
        <s v="Jinghong, China"/>
        <s v="Galaxídhion, Greece"/>
        <s v="Tungor, Russia"/>
        <s v="Vao, New Caledonia"/>
        <s v="Aianí, Greece"/>
        <s v="Cabatuan, Philippines"/>
      </sharedItems>
    </cacheField>
    <cacheField name="continent_cleaned" numFmtId="0">
      <sharedItems containsBlank="1">
        <m/>
        <s v="South America"/>
        <s v="Asia"/>
        <s v="Oceania"/>
        <s v="North America"/>
        <s v="Europe"/>
        <s v="Africa"/>
      </sharedItems>
    </cacheField>
    <cacheField name="country_cleaned" numFmtId="0">
      <sharedItems containsBlank="1">
        <s v="Vanuatu"/>
        <m/>
        <s v="Argentina"/>
        <s v="Colombia"/>
        <s v="Indonesia"/>
        <s v="Russian Federation (the)"/>
        <s v="Papua New Guinea"/>
        <s v="Afghanistan"/>
        <s v="Ecuador"/>
        <s v="Tajikistan"/>
        <s v="Turkiye"/>
        <s v="Solomon Islands"/>
        <s v="Fiji"/>
        <s v="Panama"/>
        <s v="Mexico"/>
        <s v="Taiwan"/>
        <s v="People's Republic of China"/>
        <s v="Philippines"/>
        <s v="Brazil"/>
        <s v="Peru"/>
        <s v="United States of America"/>
        <s v="Antarctica"/>
        <s v="Haiti"/>
        <s v="Japan"/>
        <s v="Mongolia"/>
        <s v="Greece"/>
        <s v="Chile"/>
        <s v="Russia"/>
        <s v="Turkey"/>
        <s v="United Kingdom of Great Britain and Northern Ireland (the)"/>
        <s v="South Georgia and the South Sandwich Islands"/>
        <s v="Venezuela"/>
        <s v="Bolivia"/>
        <s v="Costa Rica"/>
        <s v="Iran"/>
        <s v="Guatemala"/>
        <s v="Botswana"/>
        <s v="New Zealand"/>
        <s v="Italy"/>
        <s v="Myanmar"/>
        <s v="India"/>
        <s v="Nepal"/>
        <s v="Nicaragua"/>
        <s v="Pakistan"/>
        <s v="Canada"/>
        <s v="Tonga"/>
        <s v="Kyrgyzstan"/>
        <s v="Martinique"/>
        <s v="Mozambique"/>
        <s v="Tanzania"/>
        <s v="Algeria"/>
        <s v="El Salvador"/>
        <s v="Turkmenistan"/>
        <s v="Azerbaijan"/>
        <s v="Iceland"/>
        <s v="Trinidad and Tobago"/>
        <s v="Saudi Arabia"/>
      </sharedItems>
    </cacheField>
    <cacheField name="date_status" numFmtId="0">
      <sharedItems>
        <s v="Valid"/>
      </sharedItems>
    </cacheField>
    <cacheField name="duplicate_count" numFmtId="0">
      <sharedItems containsSemiMixedTypes="0" containsString="0" containsNumber="1" containsInteger="1">
        <n v="1.0"/>
        <n v="2.0"/>
      </sharedItems>
    </cacheField>
    <cacheField name="duplicate_flag" numFmtId="0">
      <sharedItems>
        <s v="Unique"/>
        <s v="Duplicate"/>
      </sharedItems>
    </cacheField>
    <cacheField name="alert_cleaned2" numFmtId="0">
      <sharedItems>
        <s v="green"/>
        <s v="yellow"/>
        <s v="Unknown"/>
        <s v="orange"/>
        <s v="red"/>
      </sharedItems>
    </cacheField>
    <cacheField name="location_cleaned2" numFmtId="0">
      <sharedItems>
        <s v="Sola, Vanuatu"/>
        <s v="Intipucá, El Salvador"/>
        <s v="Loncopué, Argentina"/>
        <s v="Sand Point, Alaska"/>
        <s v="Alaska Peninsula"/>
        <s v="Codrington, Antigua and Barbuda"/>
        <s v="Tonga"/>
        <s v="the Fiji Islands"/>
        <s v="Panama-Colombia border region"/>
        <s v="the Loyalty Islands"/>
        <s v="Hihifo, Tonga"/>
        <s v="Teluk Dalam, Indonesia"/>
        <s v="Kermadec Islands, New Zealand"/>
        <s v="Tuban, Indonesia"/>
        <s v="the Kamchatka Peninsula, Russia"/>
        <s v="New Guinea, Papua New Guinea"/>
        <s v="San Antonio de los Cobres, Argentina"/>
        <s v="Jurm, Afghanistan"/>
        <s v="Ecuador"/>
        <s v="Kermadec Islands region"/>
        <s v="Port-Olry, Vanuatu"/>
        <s v="Kimbe, Papua New Guinea"/>
        <s v="Murghob, Tajikistan"/>
        <s v="Ekinözü, Turkey"/>
        <s v="Nurdağı, Turkey"/>
        <s v="Central Turkey"/>
        <s v="Unknown"/>
        <s v="Tobelo, Indonesia"/>
        <s v="Pulau Pulau Tanimbar, Indonesia"/>
        <s v="Vanuatu"/>
        <s v="Malango, Solomon Islands"/>
        <s v="Bengkulu, Indonesia"/>
        <s v="Neiafu, Tonga"/>
        <s v="Boca Chica, Panama"/>
        <s v="Aguililla, Mexico"/>
        <s v="Yujing, Taiwan"/>
        <s v="Lugu, Taiwan"/>
        <s v="Isangel, Vanuatu"/>
        <s v="Kainantu, Papua New Guinea"/>
        <s v="Kangding, China"/>
        <s v="the Kermadec Islands"/>
        <s v="Bantay, Philippines"/>
        <s v="Tarauacá, Brazil"/>
        <s v="Azángaro, Peru"/>
        <s v="Masachapa, Nicaragua"/>
        <s v="Tadine, New Caledonia"/>
        <s v="Hualien City, Taiwan"/>
        <s v="Namie, Japan"/>
        <s v="Pariaman, Indonesia"/>
        <s v="Barranca, Peru"/>
        <s v="Labuan, Indonesia"/>
        <s v="Nikolski, Alaska"/>
        <s v="Pólis, Cyprus"/>
        <s v="northern Qinghai, China"/>
        <s v="Lospalos, Timor Leste"/>
        <s v="Flores Sea"/>
        <s v="Hirara, Japan"/>
        <s v="Chignik, Alaska"/>
        <s v="Vanuatu region"/>
        <s v="Jiquilillo, Nicaragua"/>
        <s v="Acapulco, Mexico"/>
        <s v="South Sandwich Islands region"/>
        <s v="Nippes, Haiti"/>
        <s v="Perryville, Alaska"/>
        <s v="Pondaguitan, Philippines"/>
        <s v="Hukay, Philippines"/>
        <s v="Burica, Panama"/>
        <s v="Alo, Wallis and Futuna"/>
        <s v="Southern Qinghai, China"/>
        <s v="Sinabang, Indonesia"/>
        <s v="Mauritius - Reunion region"/>
        <s v="Haveluloto, Tonga"/>
        <s v="Pangai, Tonga"/>
        <s v="Ishinomaki, Japan"/>
        <s v="Ust’-Kamchatsk Staryy, Russia"/>
        <s v="Gisborne, New Zealand"/>
        <s v="South Shetland Islands"/>
        <s v="Turt, Mongolia"/>
        <s v="Corral, Chile"/>
        <s v="Néon Karlovásion, Greece"/>
        <s v="central Mid-Atlantic Ridge"/>
        <s v="Vallenar, Chile"/>
        <s v="Katabu, Indonesia"/>
        <s v="San Pedro, Philippines"/>
        <s v="Popondetta, Papua New Guinea"/>
        <s v="Batang, Indonesia"/>
        <s v="Santa María Xadani, Mexico"/>
        <s v="Naze, Japan"/>
        <s v="San Pedro de Atacama, Chile"/>
        <s v="Monte Cristo Range, NV Earthquake"/>
        <s v="Lata, Solomon Islands"/>
        <s v="Banda Sea"/>
        <s v="Néa Anatolí, Greece"/>
        <s v="Stanley, Idaho"/>
        <s v="Severo-Kuril’sk, Russia"/>
        <s v="Kuril’sk, Russia"/>
        <s v="Lucea, Jamaica"/>
        <s v="Do?anyol, Turkey"/>
        <s v="Magsaysay, Philippines"/>
        <s v="Bitung, Indonesia"/>
        <s v="Ndoi Island, Fiji"/>
        <s v="Kisante, Philippines"/>
        <s v="Columbio, Philippines"/>
        <s v="Constitución, Chile"/>
        <s v="Kairatu, Indonesia"/>
        <s v="Bristol Island, South Sandwich Islands"/>
        <s v="San Antonio, Chile"/>
        <s v="Lakatoro, Vanuatu"/>
        <s v="Laiwui, Indonesia"/>
        <s v="Broome, Australia"/>
        <s v="Kota Ternate, Indonesia"/>
        <s v="Searles Valley, CA"/>
        <s v="Saumlaki, Indonesia"/>
        <s v="L'Esperance Rock, New Zealand"/>
        <s v="La Libertad, El Salvador"/>
        <s v="Navarro, Peru"/>
        <s v="Namatanai, Papua New Guinea"/>
        <s v="Bulolo, Papua New Guinea"/>
        <s v="Luwuk, Indonesia"/>
        <s v="Palora, Ecuador"/>
        <s v="Puerto Madero, Mexico"/>
        <s v="Prince Edward Islands region"/>
        <s v="Coquimbo, Chile"/>
        <s v="Molucca Sea"/>
        <s v="Tarauaca, Brazil"/>
        <s v="Point MacKenzie, Alaska"/>
        <s v="Levuka, Fiji"/>
        <s v="Olonkinbyen, Svalbard and Jan Mayen"/>
        <s v="Lithakiá, Greece"/>
        <s v="Port McNeill, Canada"/>
        <s v="Ozernovskiy, Russia"/>
        <s v="Palu, Indonesia"/>
        <s v="Kirakira, Solomon Islands"/>
        <s v="Chitose, Japan"/>
        <s v="Iñapari, Peru"/>
        <s v="Carúpano, Venezuela"/>
        <s v="Labuan Lombok, Indonesia"/>
        <s v="Labuan Bajo, Indonesia"/>
        <s v="Adak, Alaska"/>
        <s v="Leilani Estates, Hawaii"/>
        <s v="Boyuibe, Bolivia"/>
        <s v="Kokopo, Papua New Guinea"/>
        <s v="Tari, Papua New Guinea"/>
        <s v="Pinotepa de Don Luis, Mexico"/>
        <s v="Chiniak, Alaska"/>
        <s v="Atiquipa, Peru"/>
        <s v="Barra Patuca, Honduras"/>
        <s v="Kawalu, Indonesia"/>
        <s v="Bouvet Island region"/>
        <s v="Parrita, Costa Rica"/>
        <s v="?alabja, Iraq"/>
        <s v="Angoram, Papua New Guinea"/>
        <s v="Maumere, Indonesia"/>
        <s v="Attu Station, Alaska"/>
        <s v="Matzaco, Mexico"/>
        <s v="Chiapas, Mexico"/>
        <s v="Mawu, China"/>
        <s v="Kos, Greece"/>
        <s v="Komandorskiye Ostrova, Russia region"/>
        <s v="Auckland Islands, New Zealand region"/>
        <s v="Lim-oo, Philippines"/>
        <s v="Puerto San José, Guatemala"/>
        <s v="San Pablo, Guatemala"/>
        <s v="Poso, Indonesia"/>
        <s v="Burias, Philippines"/>
        <s v="Valparaíso, Chile"/>
        <s v="Moijabana, Botswana"/>
        <s v="Padilla, Bolivia"/>
        <s v="Mabua, Philippines"/>
        <s v="Panguna, Papua New Guinea"/>
        <s v="Tabiauan, Philippines"/>
        <s v="Nadi, Fiji"/>
        <s v="Quellón, Chile"/>
        <s v="Ferndale, California"/>
        <s v="Reuleuet, Indonesia"/>
        <s v="Puerto El Triunfo, El Salvador"/>
        <s v="Amberley, New Zealand"/>
        <s v="Blenheim, New Zealand"/>
        <s v="Preci, Italy"/>
        <s v="Pamanukan, Indonesia"/>
        <s v="Kandrian, Papua New Guinea"/>
        <s v="Fiji region"/>
        <s v="Rabaul, Papua New Guinea"/>
        <s v="Chauk, Myanmar"/>
        <s v="Pagan region, Northern Mariana Islands"/>
        <s v="Sungai Penuh, Indonesia"/>
        <s v="Rosa Zarate, Ecuador"/>
        <s v="Muisne, Ecuador"/>
        <s v="Norsup, Vanuatu"/>
        <s v="Kumamoto, Japan"/>
        <s v="Mawlaik, Myanmar"/>
        <s v="Ashk?sham, Afghanistan"/>
        <s v="Sumatra, Indonesia"/>
        <s v="Mil’kovo, Russia"/>
        <s v="Pedro Bay, Alaska"/>
        <s v="La Cruz de Loreto, Mexico"/>
        <s v="Shizunai-furukawach?, Japan"/>
        <s v="Sarangani, Philippines"/>
        <s v="Imph?l, India"/>
        <s v="Manuel Ávila Camacho (Ponte Duro), Mexico"/>
        <s v="Amahai, Indonesia"/>
        <s v="Buala, Solomon Islands"/>
        <s v="Lefkáda, Greece"/>
        <s v="Makurazaki, Japan"/>
        <s v="Nicobar Islands, India region"/>
        <s v="Ovalle, Chile"/>
        <s v="Maubara, Timor Leste"/>
        <s v="Hindu Kush region, Afghanistan"/>
        <s v="Sorong, Indonesia"/>
        <s v="Illapel, Chile"/>
        <s v="Topolobampo, Mexico"/>
        <s v="Gizo, Solomon Islands"/>
        <s v="Abepura, Indonesia"/>
        <s v="Fox Islands, Aleutian Islands, Alaska"/>
        <s v="Bathsheba, Barbados"/>
        <s v="Bonin Islands, Japan region"/>
        <s v="Ugashik, Alaska"/>
        <s v="?funato, Japan"/>
        <s v="Nepal"/>
        <s v="Kod?ri??, Nepal"/>
        <s v="Bharatpur, Nepal"/>
        <s v="Miyako, Japan"/>
        <s v="El Aguilar, Argentina"/>
        <s v="Port-Vila, Vanuatu"/>
        <s v="Punta de Burica, Panama"/>
        <s v="Sangay, Philippines"/>
        <s v="Ternate, Indonesia"/>
        <s v="Finschhafen, Papua New Guinea"/>
        <s v="Piti Village, Guam"/>
        <s v="Aniso, Peru"/>
        <s v="Micronesia region"/>
        <s v="Mata-Utu, Wallis and Futuna"/>
        <s v="Rat Islands, Aleutian Islands, Alaska"/>
        <s v="Kamariótissa, Greece"/>
        <s v="Vernon, Canada"/>
        <s v="Coyuquilla Norte, Mexico"/>
        <s v="Belén, Nicaragua"/>
        <s v="Iquique, Chile"/>
        <s v="Indianola, California"/>
        <s v="Nago, Japan"/>
        <s v="Greenland, Barbados"/>
        <s v="Hotan, China"/>
        <s v="Scotia Sea"/>
        <s v="off the east coast of Honshu, Japan"/>
        <s v="Etchoropo, Mexico"/>
        <s v="Sagbayan, Philippines"/>
        <s v="Kíssamos, Greece"/>
        <s v="Okhotsk"/>
        <s v="Khuzdar, Pakistan"/>
        <s v="Bela, Pakistan"/>
        <s v="Atka, Alaska"/>
        <s v="Izu Islands, Japan region"/>
        <s v="Bahía Solano, Colombia"/>
        <s v="northern Mid-Atlantic Ridge"/>
        <s v="Java, Indonesia"/>
        <s v="Vaini, Tonga"/>
        <s v="Linqiong, China"/>
        <s v="Aitape, Papua New Guinea"/>
        <s v="Kh?sh, Iran"/>
        <s v="Belaya Gora, Russia"/>
        <s v="Yacuanquer, Colombia"/>
        <s v="Obihiro, Japan"/>
        <s v="Edna Bay, Alaska"/>
        <s v="Champerico, Guatemala"/>
        <s v="Shwebo, Myanmar"/>
        <s v="Prince Rupert, Canada"/>
        <s v="Costa Rica"/>
        <s v="Tual, Indonesia"/>
        <s v="San Agustín, Colombia"/>
        <s v="Hojancha, Costa Rica"/>
        <s v="Sulangan, Philippines"/>
        <s v="Poronaysk, Russia"/>
        <s v="Manokwari, Indonesia"/>
        <s v="Lae, Papua New Guinea"/>
        <s v="Hacienda La Calera, Chile"/>
        <s v="San Luis, Mexico"/>
        <s v="El Habillal, Mexico"/>
        <s v="off the west coast of northern Sumatra"/>
        <s v="Santiago Llano Grande, Mexico"/>
        <s v="Saryg-Sep, Russia"/>
        <s v="Jimalalud, Philippines"/>
        <s v="Wau, Papua New Guinea"/>
        <s v="Nuevo Balsas, Mexico"/>
        <s v="Santiago, Peru"/>
        <s v="Van, Turkey"/>
        <s v="Mangan, India"/>
        <s v="Kabanjahe, Indonesia"/>
        <s v="Contamana, Peru"/>
        <s v="Wé, New Caledonia"/>
        <s v="Ishikawa, Japan"/>
        <s v="Helio García Alfaro, Mexico"/>
        <s v="Tachilek, Myanmar"/>
        <s v="?tsuchi, Japan"/>
        <s v="Hasaki, Japan"/>
        <s v="Kamaishi, Japan"/>
        <s v="?arai, Japan"/>
        <s v="2011 Great Tohoku Earthquake, Japan"/>
        <s v="Tomé, Chile"/>
        <s v="Dalbandin, Pakistan"/>
        <s v="Carahue, Chile"/>
        <s v="Bam, Iran"/>
        <s v="El Huitusi, Mexico"/>
        <s v="Papua, Indonesia"/>
        <s v="Methven, New Zealand"/>
        <s v="Madang, Papua New Guinea"/>
        <s v="Bantogon, Philippines"/>
        <s v="New Britain region, Papua New Guinea"/>
        <s v="Cañete, Chile"/>
        <s v="Biak, Indonesia"/>
        <s v="Meulaboh, Indonesia"/>
        <s v="Qamdo, China"/>
        <s v="Delta, B.C., MX"/>
        <s v="Bamboo Flat, India"/>
        <s v="Santa Cruz, Chile"/>
        <s v="Talcahuano, Chile"/>
        <s v="Lebu, Chile"/>
        <s v="Quirihue, Chile"/>
        <s v="Katsuren-haebaru, Japan"/>
        <s v="Léogâne, Haiti"/>
        <s v="Ba, Fiji"/>
        <s v="Bima, Indonesia"/>
        <s v="Matavai, Samoa"/>
        <s v="Banjar, Indonesia"/>
        <s v="Padang, Indonesia"/>
        <s v="Tateyama, Japan"/>
        <s v="?yama, Japan"/>
        <s v="Bahía de Kino, Mexico"/>
        <s v="Te Anau, New Zealand"/>
        <s v="Guanaja, Honduras"/>
        <s v="‘Ohonua, Tonga"/>
        <s v="Gorontalo, Indonesia"/>
        <s v="Brisas Barra de Suchiate, Mexico"/>
        <s v="Nookat, Kyrgyzstan"/>
        <s v="Jumla, Nepal"/>
        <s v="Morioka, Japan"/>
        <s v="Mizusawa, Japan"/>
        <s v="Tianpeng, China"/>
        <s v="Philippine Islands region"/>
        <s v="Koróni, Greece"/>
        <s v="Methóni, Greece"/>
        <s v="General Pascual Fentes, Mexico"/>
        <s v="Ant"/>
        <s v="Basse-Pointe, Martinique"/>
        <s v="Dompu, Indonesia"/>
        <s v="Macas, Ecuador"/>
        <s v="Tocopilla, Chile"/>
        <s v="Kepulauan Mentawai region, Indonesia"/>
        <s v="Timbiquí, Colombia"/>
        <s v="San Vicente de Cañete, Peru"/>
        <s v="Rengasdengklok, Indonesia"/>
        <s v="Luganville, Vanuatu"/>
        <s v="Mikuni, Japan"/>
        <s v="Kashiwazaki, Japan"/>
        <s v="Iztapa, Guatemala"/>
        <s v="Nanao, Japan"/>
        <s v="S"/>
        <s v="the Kuril Islands"/>
        <s v="Hengchun, Taiwan"/>
        <s v="Kuril Islands"/>
        <s v="Puako, Hawaii"/>
        <s v="Singaparna, Indonesia"/>
        <s v="Tilichiki, Russia"/>
        <s v="Singkil, Indonesia"/>
        <s v="Copiapó, Chile"/>
        <s v="Lautoka, Fiji"/>
        <s v="Ambon, Indonesia"/>
        <s v="Chipinge, Zimbabwe"/>
        <s v="Kýthira, Greece"/>
        <s v="Kalemie, Democratic Republic"/>
        <s v="Muzaffar?b?d, Pakistan"/>
        <s v="Yurimaguas, Peru"/>
        <s v="San Juan del Sur, Nicaragua"/>
        <s v="Big Lagoon, California"/>
        <s v="Padangsidempuan, Indonesia"/>
        <s v="Maebaru-ch??, Japan"/>
        <s v="Pulau-Pulau Talaud, Indonesia"/>
        <s v="Palimbang, Philippines"/>
        <s v="Katsuura, Japan"/>
        <s v="Sabang, Indonesia"/>
        <s v="2004 Sumatra - Andaman Islands Earthquake"/>
        <s v="Macquarie Island"/>
        <s v="George Town, Cayman Islands"/>
        <s v="Nemuro, Japan"/>
        <s v="Nabire, Indonesia"/>
        <s v="Riverton, New Zealand"/>
        <s v="Pizarro, Colombia"/>
        <s v="Ojiya, Japan"/>
        <s v="Yonakuni, Japan"/>
        <s v="Talisay, Philippines"/>
        <s v="Shing?, Japan"/>
        <s v="Teno, Chile"/>
        <s v="Atlasovo, Russia"/>
        <s v="Naisano Dua, Indonesia"/>
        <s v="Afghanistan-Tajikistan-Pakistan region"/>
        <s v="Progreso, Panama"/>
        <s v="San Simeon, California"/>
        <s v="Can-Avid, Philippines"/>
        <s v="Kushiro, Japan"/>
        <s v="Aktash, Russia"/>
        <s v="Taungdwingyi, Myanmar"/>
        <s v="Dellys, Algeria"/>
        <s v="Ruteng, Indonesia"/>
        <s v="Cuyutlán, Mexico"/>
        <s v="New Ireland region, Papua New Guinea"/>
        <s v="Cantwell, Alaska"/>
        <s v="San Jose Village, Northern Mariana Islands"/>
        <s v="Abhar, Iran"/>
        <s v="Monte Patria, Chile"/>
        <s v="Merizo Village, Guam"/>
        <s v="Nuxco, Mexico"/>
        <s v="Calama, Chile"/>
        <s v="Mindanao, Philippines"/>
        <s v="Sultanda??, Turkey"/>
        <s v="Hanamaki, Japan"/>
        <s v="Kendari, Indonesia"/>
        <s v="Inarajan Village, Guam"/>
        <s v="Kokhanok, Alaska"/>
        <s v="Skýros, Greece"/>
        <s v="Punta de Bombón, Peru"/>
        <s v="Achanizo, Peru"/>
        <s v="Pacocha, Peru"/>
        <s v="Atico, Peru"/>
        <s v="Kure, Japan"/>
        <s v="Longbranch, Washington"/>
        <s v="Cojutepeque, El Salvador"/>
        <s v="Bhach?u, India"/>
        <s v="Old Harbor, Alaska"/>
        <s v="Lukatan, Philippines"/>
        <s v="Balkanabat, Turkmenistan"/>
        <s v="Badamdar, Azerbaijan"/>
        <s v="Baku, Azerbaijan"/>
        <s v="Juradó, Colombia"/>
        <s v="Matsue, Japan"/>
        <s v="Nkove, Tanzania"/>
        <s v="Uglegorsk, Russia"/>
        <s v="Shimoda, Japan"/>
        <s v="Larsen Bay, Alaska"/>
        <s v="Selfoss, Iceland"/>
        <s v="South Indian Ocean"/>
        <s v="Ialibu, Papua New Guinea"/>
        <s v="Shikotan, Russia"/>
        <s v="Bolitoc, Philippines"/>
        <s v="Karluk, Alaska"/>
        <s v="Arica, Chile"/>
        <s v="Düzce, Turkey"/>
        <s v="Hector Mine, CA Earthquake"/>
        <s v="San Baltazar Loxicha, Mexico"/>
        <s v="Puli, Taiwan"/>
        <s v="Quepos, Costa Rica"/>
        <s v="Derince, Turkey"/>
        <s v="Potrerillos, Honduras"/>
        <s v="Texcala, Mexico"/>
        <s v="Camaná, Peru"/>
        <s v="P?palkoti, India"/>
        <s v="Vilyuchinsk, Russia"/>
        <s v="K?h Sef?d, Iran"/>
        <s v="Sumberpucung, Indonesia"/>
        <s v="Bahía de Caráquez, Ecuador"/>
        <s v="Rust?q, Afghanistan"/>
        <s v="Mizque, Bolivia"/>
        <s v="Ishigaki, Japan"/>
        <s v="San Fernando, Peru"/>
        <s v="Kerman, Iran"/>
        <s v="Labasa, Fiji"/>
        <s v="San José El Ídolo, Guatemala"/>
        <s v="San Sebastián, El Salvador"/>
        <s v="western Xizang"/>
        <s v="Roncesvalles, Colombia"/>
        <s v="El Ciruelo, Mexico"/>
        <s v="Churumuco de Morelos, Mexico"/>
        <s v="Q?’en, Iran"/>
        <s v="Yigo Village, Guam"/>
        <s v="Scarborough, Trinidad and Tobago"/>
        <s v="Kinablangan, Philippines"/>
        <s v="Harnai, Pakistan"/>
        <s v="Turkmenistan-Iran border region"/>
        <s v="Iwanai, Japan"/>
        <s v="Miyazaki, Japan"/>
        <s v="Thang, India"/>
        <s v="Changuillo, Peru"/>
        <s v="Nishinoomote, Japan"/>
        <s v="Paphos, Cyprus"/>
        <s v="Cortes, Philippines"/>
        <s v="Palapag, Philippines"/>
        <s v="Villa El Carmen, Nicaragua"/>
        <s v="Santa María Chico Ometepec, Mexico"/>
        <s v="Puerto Santa, Peru"/>
        <s v="Insrom, Indonesia"/>
        <s v="Lijiang, China"/>
        <s v="Yelizovo, Russia"/>
        <s v="Nuwaybi‘a, Egypt"/>
        <s v="Ocozocoautla de Espinosa, Mexico"/>
        <s v="El Colomo, Mexico"/>
        <s v="Sucúa, Ecuador"/>
        <s v="Paramonga, Peru"/>
        <s v="Azoyú, Mexico"/>
        <s v="Neira, Colombia"/>
        <s v="Jinghong, China"/>
        <s v="Galaxídhion, Greece"/>
        <s v="Tungor, Russia"/>
        <s v="Vao, New Caledonia"/>
        <s v="Aianí, Greece"/>
        <s v="Cabatuan, Philippines"/>
      </sharedItems>
    </cacheField>
    <cacheField name="continent_cleaned2" numFmtId="0">
      <sharedItems>
        <s v="Unknown"/>
        <s v="South America"/>
        <s v="Asia"/>
        <s v="Oceania"/>
        <s v="North America"/>
        <s v="Europe"/>
        <s v="Africa"/>
      </sharedItems>
    </cacheField>
    <cacheField name="country_cleaned2" numFmtId="0">
      <sharedItems>
        <s v="Vanuatu"/>
        <s v="Unknown"/>
        <s v="Argentina"/>
        <s v="Colombia"/>
        <s v="Indonesia"/>
        <s v="Russian Federation (the)"/>
        <s v="Papua New Guinea"/>
        <s v="Afghanistan"/>
        <s v="Ecuador"/>
        <s v="Tajikistan"/>
        <s v="Turkiye"/>
        <s v="Solomon Islands"/>
        <s v="Fiji"/>
        <s v="Panama"/>
        <s v="Mexico"/>
        <s v="Taiwan"/>
        <s v="People's Republic of China"/>
        <s v="Philippines"/>
        <s v="Brazil"/>
        <s v="Peru"/>
        <s v="United States of America"/>
        <s v="Antarctica"/>
        <s v="Haiti"/>
        <s v="Japan"/>
        <s v="Mongolia"/>
        <s v="Greece"/>
        <s v="Chile"/>
        <s v="Russia"/>
        <s v="Turkey"/>
        <s v="United Kingdom of Great Britain and Northern Ireland (the)"/>
        <s v="South Georgia and the South Sandwich Islands"/>
        <s v="Venezuela"/>
        <s v="Bolivia"/>
        <s v="Costa Rica"/>
        <s v="Iran"/>
        <s v="Guatemala"/>
        <s v="Botswana"/>
        <s v="New Zealand"/>
        <s v="Italy"/>
        <s v="Myanmar"/>
        <s v="India"/>
        <s v="Nepal"/>
        <s v="Nicaragua"/>
        <s v="Pakistan"/>
        <s v="Canada"/>
        <s v="Tonga"/>
        <s v="Kyrgyzstan"/>
        <s v="Martinique"/>
        <s v="Mozambique"/>
        <s v="Tanzania"/>
        <s v="Algeria"/>
        <s v="El Salvador"/>
        <s v="Turkmenistan"/>
        <s v="Azerbaijan"/>
        <s v="Iceland"/>
        <s v="Trinidad and Tobago"/>
        <s v="Saudi Arabia"/>
      </sharedItems>
    </cacheField>
    <cacheField name="magType_normalized" numFmtId="0">
      <sharedItems>
        <s v="mww"/>
        <s v="mi"/>
        <s v="mwc"/>
        <s v="mwb"/>
        <s v="ml"/>
        <s v="mw"/>
        <s v="ms"/>
        <s v="mb"/>
        <s v="md"/>
      </sharedItems>
    </cacheField>
    <cacheField name="date_time2" databaseField="0">
      <fieldGroup base="2">
        <rangePr autoStart="0" autoEnd="0" groupBy="years" startDate="1995-05-05T03:53:00Z" endDate="2023-08-17T12:47:00Z"/>
        <groupItems>
          <s v="&lt;05/05/95"/>
          <s v="95"/>
          <s v="96"/>
          <s v="97"/>
          <s v="98"/>
          <s v="99"/>
          <s v="100"/>
          <s v="101"/>
          <s v="102"/>
          <s v="103"/>
          <s v="104"/>
          <s v="105"/>
          <s v="106"/>
          <s v="107"/>
          <s v="108"/>
          <s v="109"/>
          <s v="110"/>
          <s v="111"/>
          <s v="112"/>
          <s v="113"/>
          <s v="114"/>
          <s v="115"/>
          <s v="116"/>
          <s v="117"/>
          <s v="118"/>
          <s v="119"/>
          <s v="120"/>
          <s v="121"/>
          <s v="122"/>
          <s v="123"/>
          <s v="&gt;08/17/23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itle Pattern PivotTable." cacheId="0" dataCaption="" compact="0" compactData="0">
  <location ref="A1:B4" firstHeaderRow="0" firstDataRow="1" firstDataCol="0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t="default"/>
      </items>
    </pivotField>
    <pivotField name="magn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cd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er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sunami" compact="0" outline="0" multipleItemSelectionAllowed="1" showAll="0">
      <items>
        <item x="0"/>
        <item x="1"/>
        <item t="default"/>
      </items>
    </pivotField>
    <pivotField name="s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mag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_time_conver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converted_is_number" compact="0" outline="0" multipleItemSelectionAllowed="1" showAll="0">
      <items>
        <item x="0"/>
        <item t="default"/>
      </items>
    </pivotField>
    <pivotField name="raw_date_is_number" compact="0" outline="0" multipleItemSelectionAllowed="1" showAll="0">
      <items>
        <item x="0"/>
        <item x="1"/>
        <item t="default"/>
      </items>
    </pivotField>
    <pivotField name="title_pattern" axis="axisRow" dataField="1" compact="0" outline="0" multipleItemSelectionAllowed="1" showAll="0" sortType="ascending">
      <items>
        <item x="0"/>
        <item x="1"/>
        <item t="default"/>
      </items>
    </pivotField>
    <pivotField name="magType_normaliz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uplicate_count" compact="0" outline="0" multipleItemSelectionAllowed="1" showAll="0">
      <items>
        <item x="0"/>
        <item x="1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date_status" compact="0" outline="0" multipleItemSelectionAllowed="1" showAll="0">
      <items>
        <item x="0"/>
        <item t="default"/>
      </items>
    </pivotField>
  </pivotFields>
  <rowFields>
    <field x="22"/>
  </rowFields>
  <dataFields>
    <dataField name="COUNT of title_pattern" fld="22" subtotal="count" baseField="0"/>
  </dataFields>
</pivotTableDefinition>
</file>

<file path=xl/pivotTables/pivotTable2.xml><?xml version="1.0" encoding="utf-8"?>
<pivotTableDefinition xmlns="http://schemas.openxmlformats.org/spreadsheetml/2006/main" name="Pivot_Year" cacheId="3" dataCaption="" compact="0" compactData="0">
  <location ref="A1:B31" firstHeaderRow="0" firstDataRow="1" firstDataCol="0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t="default"/>
      </items>
    </pivotField>
    <pivotField name="magn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e_ti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cd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ert_clean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sunami" compact="0" outline="0" multipleItemSelectionAllowed="1" showAll="0">
      <items>
        <item x="0"/>
        <item x="1"/>
        <item t="default"/>
      </items>
    </pivotField>
    <pivotField name="s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mag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location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continent_cleane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_status" compact="0" outline="0" multipleItemSelectionAllowed="1" showAll="0">
      <items>
        <item x="0"/>
        <item t="default"/>
      </items>
    </pivotField>
    <pivotField name="duplicate_count" compact="0" outline="0" multipleItemSelectionAllowed="1" showAll="0">
      <items>
        <item x="0"/>
        <item x="1"/>
        <item t="default"/>
      </items>
    </pivotField>
    <pivotField name="duplicate_flag" compact="0" outline="0" multipleItemSelectionAllowed="1" showAll="0">
      <items>
        <item x="0"/>
        <item x="1"/>
        <item t="default"/>
      </items>
    </pivotField>
    <pivotField name="alert_cleaned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_cleane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continent_cleaned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_cleane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magType_normaliz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_tim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27"/>
  </rowFields>
  <dataFields>
    <dataField name="COUNT of date_time" fld="2" subtotal="count" baseField="0"/>
  </dataFields>
</pivotTableDefinition>
</file>

<file path=xl/pivotTables/pivotTable3.xml><?xml version="1.0" encoding="utf-8"?>
<pivotTableDefinition xmlns="http://schemas.openxmlformats.org/spreadsheetml/2006/main" name="Pivot_MagType_Normalized" cacheId="1" dataCaption="" compact="0" compactData="0">
  <location ref="A1:B11" firstHeaderRow="0" firstDataRow="1" firstDataCol="0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t="default"/>
      </items>
    </pivotField>
    <pivotField name="magn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cd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er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sunami" compact="0" outline="0" multipleItemSelectionAllowed="1" showAll="0">
      <items>
        <item x="0"/>
        <item x="1"/>
        <item t="default"/>
      </items>
    </pivotField>
    <pivotField name="s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mag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_time_conver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converted_is_number" compact="0" outline="0" multipleItemSelectionAllowed="1" showAll="0">
      <items>
        <item x="0"/>
        <item t="default"/>
      </items>
    </pivotField>
    <pivotField name="raw_date_is_number" compact="0" outline="0" multipleItemSelectionAllowed="1" showAll="0">
      <items>
        <item x="0"/>
        <item x="1"/>
        <item t="default"/>
      </items>
    </pivotField>
    <pivotField name="title_pattern" compact="0" outline="0" multipleItemSelectionAllowed="1" showAll="0">
      <items>
        <item x="0"/>
        <item x="1"/>
        <item t="default"/>
      </items>
    </pivotField>
    <pivotField name="magType_normalized" axis="axisRow" dataField="1" compact="0" outline="0" multipleItemSelectionAllowed="1" showAll="0" sortType="ascending">
      <items>
        <item x="7"/>
        <item x="8"/>
        <item x="1"/>
        <item x="4"/>
        <item x="6"/>
        <item x="5"/>
        <item x="3"/>
        <item x="2"/>
        <item x="0"/>
        <item t="default"/>
      </items>
    </pivotField>
  </pivotFields>
  <rowFields>
    <field x="23"/>
  </rowFields>
  <dataFields>
    <dataField name="COUNT of magType_normalized" fld="23" subtotal="count" baseField="0"/>
  </dataFields>
</pivotTableDefinition>
</file>

<file path=xl/pivotTables/pivotTable4.xml><?xml version="1.0" encoding="utf-8"?>
<pivotTableDefinition xmlns="http://schemas.openxmlformats.org/spreadsheetml/2006/main" name="Pivot_Alert" cacheId="2" dataCaption="" compact="0" compactData="0">
  <location ref="A1:B7" firstHeaderRow="0" firstDataRow="1" firstDataCol="0"/>
  <pivotFields>
    <pivotField name="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name="magn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cd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lert" axis="axisRow" compact="0" outline="0" multipleItemSelectionAllowed="1" showAll="0" sortType="ascending">
      <items>
        <item x="2"/>
        <item x="0"/>
        <item x="3"/>
        <item x="4"/>
        <item x="1"/>
        <item t="default"/>
      </items>
    </pivotField>
    <pivotField name="tsunami" compact="0" outline="0" multipleItemSelectionAllowed="1" showAll="0">
      <items>
        <item x="0"/>
        <item x="1"/>
        <item x="2"/>
        <item t="default"/>
      </items>
    </pivotField>
    <pivotField name="s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mag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_time_conver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converted_is_number" compact="0" outline="0" multipleItemSelectionAllowed="1" showAll="0">
      <items>
        <item x="0"/>
        <item x="1"/>
        <item t="default"/>
      </items>
    </pivotField>
    <pivotField name="raw_date_is_number" compact="0" outline="0" multipleItemSelectionAllowed="1" showAll="0">
      <items>
        <item x="0"/>
        <item x="1"/>
        <item x="2"/>
        <item t="default"/>
      </items>
    </pivotField>
    <pivotField name="title_pattern" compact="0" outline="0" multipleItemSelectionAllowed="1" showAll="0">
      <items>
        <item x="0"/>
        <item x="1"/>
        <item x="2"/>
        <item t="default"/>
      </items>
    </pivotField>
    <pivotField name="magType_normaliz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uplicate_count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x="2"/>
        <item t="default"/>
      </items>
    </pivotField>
    <pivotField name="date_status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count" fld="0" subtotal="count" baseField="0"/>
  </dataFields>
</pivotTableDefinition>
</file>

<file path=xl/pivotTables/pivotTable5.xml><?xml version="1.0" encoding="utf-8"?>
<pivotTableDefinition xmlns="http://schemas.openxmlformats.org/spreadsheetml/2006/main" name="Pivot_MagType" cacheId="2" dataCaption="" compact="0" compactData="0">
  <location ref="A1:B12" firstHeaderRow="0" firstDataRow="1" firstDataCol="0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name="magn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cd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ler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sunami" compact="0" outline="0" multipleItemSelectionAllowed="1" showAll="0">
      <items>
        <item x="0"/>
        <item x="1"/>
        <item x="2"/>
        <item t="default"/>
      </items>
    </pivotField>
    <pivotField name="s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d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magType" axis="axisRow" dataField="1" compact="0" outline="0" multipleItemSelectionAllowed="1" showAll="0" sortType="ascending">
      <items>
        <item x="9"/>
        <item x="7"/>
        <item x="8"/>
        <item x="1"/>
        <item x="4"/>
        <item x="6"/>
        <item x="5"/>
        <item x="3"/>
        <item x="2"/>
        <item x="0"/>
        <item t="default"/>
      </items>
    </pivotField>
    <pivotField name="dep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e_time_conver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</pivotField>
    <pivotField name="converted_is_number" compact="0" outline="0" multipleItemSelectionAllowed="1" showAll="0">
      <items>
        <item x="0"/>
        <item x="1"/>
        <item t="default"/>
      </items>
    </pivotField>
    <pivotField name="raw_date_is_number" compact="0" outline="0" multipleItemSelectionAllowed="1" showAll="0">
      <items>
        <item x="0"/>
        <item x="1"/>
        <item x="2"/>
        <item t="default"/>
      </items>
    </pivotField>
    <pivotField name="title_pattern" compact="0" outline="0" multipleItemSelectionAllowed="1" showAll="0">
      <items>
        <item x="0"/>
        <item x="1"/>
        <item x="2"/>
        <item t="default"/>
      </items>
    </pivotField>
    <pivotField name="magType_normaliz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uplicate_count" compact="0" outline="0" multipleItemSelectionAllowed="1" showAll="0">
      <items>
        <item x="0"/>
        <item x="1"/>
        <item x="2"/>
        <item t="default"/>
      </items>
    </pivotField>
    <pivotField name="duplicate_flag" compact="0" outline="0" multipleItemSelectionAllowed="1" showAll="0">
      <items>
        <item x="0"/>
        <item x="1"/>
        <item x="2"/>
        <item t="default"/>
      </items>
    </pivotField>
    <pivotField name="date_status" compact="0" outline="0" multipleItemSelectionAllowed="1" showAll="0">
      <items>
        <item x="0"/>
        <item x="1"/>
        <item t="default"/>
      </items>
    </pivotField>
  </pivotFields>
  <rowFields>
    <field x="12"/>
  </rowFields>
  <dataFields>
    <dataField name="COUNT of magType" fld="12" subtotal="count" baseField="0"/>
  </dataFields>
</pivotTableDefinition>
</file>

<file path=xl/tables/table1.xml><?xml version="1.0" encoding="utf-8"?>
<table xmlns="http://schemas.openxmlformats.org/spreadsheetml/2006/main" ref="A3:C22" displayName="Table_1" name="Table_1" id="1">
  <tableColumns count="3">
    <tableColumn name="Column" id="1"/>
    <tableColumn name="Data Type" id="2"/>
    <tableColumn name="Reason" id="3"/>
  </tableColumns>
  <tableStyleInfo name="Data_Type_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7" max="7" width="16.63"/>
    <col customWidth="1" min="10" max="10" width="19.25"/>
  </cols>
  <sheetData>
    <row r="1">
      <c r="A1" s="2" t="s">
        <v>19</v>
      </c>
    </row>
    <row r="3">
      <c r="A3" s="3" t="s">
        <v>20</v>
      </c>
      <c r="B3" s="3" t="s">
        <v>21</v>
      </c>
      <c r="G3" s="3" t="s">
        <v>22</v>
      </c>
      <c r="H3" s="3" t="s">
        <v>23</v>
      </c>
      <c r="J3" s="3" t="s">
        <v>24</v>
      </c>
      <c r="K3" s="3" t="s">
        <v>23</v>
      </c>
    </row>
    <row r="4">
      <c r="A4" s="3" t="s">
        <v>25</v>
      </c>
      <c r="B4" s="4">
        <f>COUNTA(Raw_Data!A2:A1001)</f>
        <v>1000</v>
      </c>
      <c r="G4" s="3" t="s">
        <v>26</v>
      </c>
      <c r="H4" s="4">
        <f>COUNTIFS(Raw_Data!B2:B1001,"&gt;=6.5",Raw_Data!B2:B1001,"&lt;7")</f>
        <v>627</v>
      </c>
      <c r="J4" s="3" t="s">
        <v>27</v>
      </c>
      <c r="K4" s="4">
        <f>COUNTIF(Raw_Data!W2:W1001,J4)</f>
        <v>849</v>
      </c>
    </row>
    <row r="5">
      <c r="A5" s="3" t="s">
        <v>28</v>
      </c>
      <c r="B5" s="4">
        <f>COUNTA(Raw_Data!B1:S1)</f>
        <v>18</v>
      </c>
      <c r="G5" s="3" t="s">
        <v>29</v>
      </c>
      <c r="H5" s="4">
        <f>COUNTIFS(Raw_Data!B2:B1001,"&gt;=7",Raw_Data!B2:B1001,"&lt;7.5")</f>
        <v>229</v>
      </c>
      <c r="J5" s="3" t="s">
        <v>30</v>
      </c>
      <c r="K5" s="4">
        <f>COUNTIF(Raw_Data!W2:W1001,J5)</f>
        <v>0</v>
      </c>
    </row>
    <row r="6">
      <c r="A6" s="3" t="s">
        <v>31</v>
      </c>
      <c r="B6" s="4">
        <f>MIN(Raw_Data!B2:B1001)</f>
        <v>6.5</v>
      </c>
      <c r="G6" s="3" t="s">
        <v>32</v>
      </c>
      <c r="H6" s="4">
        <f>COUNTIFS(Raw_Data!B2:B1001,"&gt;=7.5",Raw_Data!B2:B1001,"&lt;8")</f>
        <v>112</v>
      </c>
    </row>
    <row r="7">
      <c r="A7" s="3" t="s">
        <v>33</v>
      </c>
      <c r="B7" s="4">
        <f>MAX(Raw_Data!B2:B1001)</f>
        <v>9.1</v>
      </c>
      <c r="G7" s="3" t="s">
        <v>34</v>
      </c>
      <c r="H7" s="4">
        <f>COUNTIFS(Raw_Data!B2:B1001,"&gt;=8",Raw_Data!B2:B1001,"&lt;8.5")</f>
        <v>27</v>
      </c>
    </row>
    <row r="8">
      <c r="A8" s="3" t="s">
        <v>35</v>
      </c>
      <c r="B8" s="4">
        <f>AVERAGE(Raw_Data!B2:B1001)</f>
        <v>6.94015</v>
      </c>
      <c r="G8" s="3" t="s">
        <v>36</v>
      </c>
      <c r="H8" s="4">
        <f>COUNTIFS(Raw_Data!B2:B1001,"&gt;=8.5",Raw_Data!B2:B1001,"&lt;9")</f>
        <v>3</v>
      </c>
    </row>
    <row r="9">
      <c r="A9" s="3" t="s">
        <v>37</v>
      </c>
      <c r="B9" s="4">
        <f>MIN(Raw_Data!N2:N1001)</f>
        <v>2.7</v>
      </c>
      <c r="G9" s="3" t="s">
        <v>38</v>
      </c>
      <c r="H9" s="4">
        <f>COUNTIF(Raw_Data!B2:B1001,"&gt;=9")</f>
        <v>2</v>
      </c>
    </row>
    <row r="10">
      <c r="A10" s="3" t="s">
        <v>39</v>
      </c>
      <c r="B10" s="4">
        <f>MAX(Raw_Data!N2:N1001)</f>
        <v>670.81</v>
      </c>
    </row>
    <row r="11">
      <c r="A11" s="3" t="s">
        <v>40</v>
      </c>
      <c r="B11" s="4">
        <f>AVERAGE(Raw_Data!N2:N1001)</f>
        <v>74.612541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3" max="3" width="32.63"/>
  </cols>
  <sheetData>
    <row r="1">
      <c r="A1" s="5" t="s">
        <v>41</v>
      </c>
      <c r="B1" s="6"/>
    </row>
    <row r="3">
      <c r="A3" s="7" t="s">
        <v>42</v>
      </c>
      <c r="B3" s="7" t="s">
        <v>43</v>
      </c>
      <c r="C3" s="7" t="s">
        <v>44</v>
      </c>
    </row>
    <row r="4">
      <c r="A4" s="8" t="s">
        <v>45</v>
      </c>
      <c r="B4" s="8" t="s">
        <v>46</v>
      </c>
      <c r="C4" s="7" t="s">
        <v>47</v>
      </c>
    </row>
    <row r="5">
      <c r="A5" s="8" t="s">
        <v>48</v>
      </c>
      <c r="B5" s="8" t="s">
        <v>49</v>
      </c>
      <c r="C5" s="7" t="s">
        <v>50</v>
      </c>
    </row>
    <row r="6">
      <c r="A6" s="8" t="s">
        <v>51</v>
      </c>
      <c r="B6" s="8" t="s">
        <v>46</v>
      </c>
      <c r="C6" s="7" t="s">
        <v>52</v>
      </c>
    </row>
    <row r="7">
      <c r="A7" s="8" t="s">
        <v>3</v>
      </c>
      <c r="B7" s="8" t="s">
        <v>49</v>
      </c>
      <c r="C7" s="7" t="s">
        <v>53</v>
      </c>
    </row>
    <row r="8">
      <c r="A8" s="8" t="s">
        <v>4</v>
      </c>
      <c r="B8" s="8" t="s">
        <v>49</v>
      </c>
      <c r="C8" s="7" t="s">
        <v>53</v>
      </c>
    </row>
    <row r="9">
      <c r="A9" s="8" t="s">
        <v>54</v>
      </c>
      <c r="B9" s="8" t="s">
        <v>55</v>
      </c>
      <c r="C9" s="7" t="s">
        <v>56</v>
      </c>
    </row>
    <row r="10">
      <c r="A10" s="8" t="s">
        <v>57</v>
      </c>
      <c r="B10" s="8" t="s">
        <v>55</v>
      </c>
      <c r="C10" s="7" t="s">
        <v>58</v>
      </c>
    </row>
    <row r="11">
      <c r="A11" s="8" t="s">
        <v>7</v>
      </c>
      <c r="B11" s="8" t="s">
        <v>49</v>
      </c>
      <c r="C11" s="7" t="s">
        <v>59</v>
      </c>
    </row>
    <row r="12">
      <c r="A12" s="8" t="s">
        <v>8</v>
      </c>
      <c r="B12" s="8" t="s">
        <v>55</v>
      </c>
      <c r="C12" s="7" t="s">
        <v>60</v>
      </c>
    </row>
    <row r="13">
      <c r="A13" s="8" t="s">
        <v>9</v>
      </c>
      <c r="B13" s="8" t="s">
        <v>49</v>
      </c>
      <c r="C13" s="7" t="s">
        <v>61</v>
      </c>
    </row>
    <row r="14">
      <c r="A14" s="8" t="s">
        <v>10</v>
      </c>
      <c r="B14" s="8" t="s">
        <v>49</v>
      </c>
      <c r="C14" s="7" t="s">
        <v>62</v>
      </c>
    </row>
    <row r="15">
      <c r="A15" s="8" t="s">
        <v>11</v>
      </c>
      <c r="B15" s="8" t="s">
        <v>49</v>
      </c>
      <c r="C15" s="7" t="s">
        <v>63</v>
      </c>
    </row>
    <row r="16">
      <c r="A16" s="8" t="s">
        <v>64</v>
      </c>
      <c r="B16" s="8" t="s">
        <v>55</v>
      </c>
      <c r="C16" s="7" t="s">
        <v>65</v>
      </c>
    </row>
    <row r="17">
      <c r="A17" s="8" t="s">
        <v>66</v>
      </c>
      <c r="B17" s="8" t="s">
        <v>49</v>
      </c>
      <c r="C17" s="7" t="s">
        <v>67</v>
      </c>
    </row>
    <row r="18">
      <c r="A18" s="8" t="s">
        <v>68</v>
      </c>
      <c r="B18" s="8" t="s">
        <v>49</v>
      </c>
      <c r="C18" s="7" t="s">
        <v>69</v>
      </c>
    </row>
    <row r="19">
      <c r="A19" s="8" t="s">
        <v>70</v>
      </c>
      <c r="B19" s="8" t="s">
        <v>49</v>
      </c>
      <c r="C19" s="7" t="s">
        <v>69</v>
      </c>
    </row>
    <row r="20">
      <c r="A20" s="8" t="s">
        <v>71</v>
      </c>
      <c r="B20" s="8" t="s">
        <v>46</v>
      </c>
      <c r="C20" s="7" t="s">
        <v>72</v>
      </c>
    </row>
    <row r="21">
      <c r="A21" s="8" t="s">
        <v>73</v>
      </c>
      <c r="B21" s="8" t="s">
        <v>55</v>
      </c>
      <c r="C21" s="7" t="s">
        <v>74</v>
      </c>
    </row>
    <row r="22">
      <c r="A22" s="8" t="s">
        <v>75</v>
      </c>
      <c r="B22" s="8" t="s">
        <v>55</v>
      </c>
      <c r="C22" s="7" t="s">
        <v>74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9" t="s">
        <v>76</v>
      </c>
      <c r="B1" s="10"/>
    </row>
    <row r="3">
      <c r="A3" s="11" t="s">
        <v>77</v>
      </c>
      <c r="B3" s="11" t="s">
        <v>78</v>
      </c>
      <c r="C3" s="11" t="s">
        <v>79</v>
      </c>
    </row>
    <row r="4">
      <c r="A4" s="11" t="s">
        <v>80</v>
      </c>
      <c r="B4" s="12">
        <f>COUNTBLANK(Raw_Data!F2:F1001)</f>
        <v>551</v>
      </c>
      <c r="C4" s="13">
        <f t="shared" ref="C4:C7" si="1">B4/1000</f>
        <v>0.551</v>
      </c>
    </row>
    <row r="5">
      <c r="A5" s="11" t="s">
        <v>81</v>
      </c>
      <c r="B5" s="12">
        <f>COUNTBLANK(Raw_Data!R2:R1001)</f>
        <v>716</v>
      </c>
      <c r="C5" s="13">
        <f t="shared" si="1"/>
        <v>0.716</v>
      </c>
    </row>
    <row r="6">
      <c r="A6" s="11" t="s">
        <v>82</v>
      </c>
      <c r="B6" s="12">
        <f>COUNTBLANK(Raw_Data!S2:S1001)</f>
        <v>349</v>
      </c>
      <c r="C6" s="13">
        <f t="shared" si="1"/>
        <v>0.349</v>
      </c>
    </row>
    <row r="7">
      <c r="A7" s="11" t="s">
        <v>83</v>
      </c>
      <c r="B7" s="12">
        <f>COUNTBLANK(Raw_Data!Q2:Q1001)</f>
        <v>6</v>
      </c>
      <c r="C7" s="13">
        <f t="shared" si="1"/>
        <v>0.006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3" max="3" width="13.63"/>
    <col customWidth="1" min="17" max="17" width="33.0"/>
    <col customWidth="1" min="18" max="18" width="16.0"/>
    <col customWidth="1" min="19" max="19" width="21.0"/>
    <col customWidth="1" min="20" max="20" width="17.0"/>
    <col customWidth="1" min="21" max="27" width="17.88"/>
  </cols>
  <sheetData>
    <row r="1">
      <c r="A1" s="14" t="s">
        <v>84</v>
      </c>
      <c r="B1" s="15" t="s">
        <v>85</v>
      </c>
      <c r="C1" s="15" t="s">
        <v>86</v>
      </c>
      <c r="D1" s="15" t="s">
        <v>87</v>
      </c>
      <c r="E1" s="15" t="s">
        <v>88</v>
      </c>
      <c r="F1" s="15" t="s">
        <v>80</v>
      </c>
      <c r="G1" s="15" t="s">
        <v>89</v>
      </c>
      <c r="H1" s="15" t="s">
        <v>90</v>
      </c>
      <c r="I1" s="15" t="s">
        <v>91</v>
      </c>
      <c r="J1" s="15" t="s">
        <v>92</v>
      </c>
      <c r="K1" s="15" t="s">
        <v>93</v>
      </c>
      <c r="L1" s="15" t="s">
        <v>94</v>
      </c>
      <c r="M1" s="15" t="s">
        <v>95</v>
      </c>
      <c r="N1" s="15" t="s">
        <v>96</v>
      </c>
      <c r="O1" s="15" t="s">
        <v>97</v>
      </c>
      <c r="P1" s="15" t="s">
        <v>98</v>
      </c>
      <c r="Q1" s="15" t="s">
        <v>83</v>
      </c>
      <c r="R1" s="15" t="s">
        <v>81</v>
      </c>
      <c r="S1" s="15" t="s">
        <v>82</v>
      </c>
      <c r="T1" s="15" t="s">
        <v>99</v>
      </c>
      <c r="U1" s="15" t="s">
        <v>100</v>
      </c>
      <c r="V1" s="15" t="s">
        <v>101</v>
      </c>
      <c r="W1" s="15" t="s">
        <v>102</v>
      </c>
      <c r="X1" s="15" t="s">
        <v>103</v>
      </c>
      <c r="Y1" s="15" t="s">
        <v>104</v>
      </c>
      <c r="Z1" s="15" t="s">
        <v>105</v>
      </c>
      <c r="AA1" s="15" t="s">
        <v>106</v>
      </c>
    </row>
    <row r="2">
      <c r="A2" s="3" t="s">
        <v>107</v>
      </c>
      <c r="B2" s="3">
        <v>6.5</v>
      </c>
      <c r="C2" s="3" t="s">
        <v>108</v>
      </c>
      <c r="D2" s="3">
        <v>7.0</v>
      </c>
      <c r="E2" s="3">
        <v>4.0</v>
      </c>
      <c r="F2" s="3" t="s">
        <v>109</v>
      </c>
      <c r="G2" s="3">
        <v>0.0</v>
      </c>
      <c r="H2" s="3">
        <v>657.0</v>
      </c>
      <c r="I2" s="3" t="s">
        <v>110</v>
      </c>
      <c r="J2" s="3">
        <v>114.0</v>
      </c>
      <c r="K2" s="3">
        <v>7.177</v>
      </c>
      <c r="L2" s="3">
        <v>25.0</v>
      </c>
      <c r="M2" s="3" t="s">
        <v>111</v>
      </c>
      <c r="N2" s="3">
        <v>192.955</v>
      </c>
      <c r="O2" s="3">
        <v>-13.8814</v>
      </c>
      <c r="P2" s="3">
        <v>167.158</v>
      </c>
      <c r="Q2" s="3" t="s">
        <v>112</v>
      </c>
      <c r="R2" s="4"/>
      <c r="S2" s="3" t="s">
        <v>113</v>
      </c>
      <c r="T2" s="16">
        <f t="shared" ref="T2:T1001" si="1">IF(C2="","",IF(ISNUMBER(C2),DATE(YEAR(C2),DAY(C2),MONTH(C2))+TIME(HOUR(C2),MINUTE(C2),SECOND(C2)),DATE(VALUE(MID(C2,7,4)),VALUE(MID(C2,4,2)),VALUE(MID(C2,1,2)))+TIME(VALUE(MID(C2,12,2)),VALUE(MID(C2,15,2)),0)))</f>
        <v>45154.53264</v>
      </c>
      <c r="U2" s="4" t="b">
        <f t="shared" ref="U2:U1001" si="2">ISNUMBER(T2)</f>
        <v>1</v>
      </c>
      <c r="V2" s="4" t="b">
        <f t="shared" ref="V2:V1001" si="3">ISNUMBER(C2)</f>
        <v>0</v>
      </c>
      <c r="W2" s="4" t="str">
        <f>IFERROR(__xludf.DUMMYFUNCTION("IF(REGEXMATCH(A2,""[0-9]+(\.[0-9]+)?\s*km""),""Distance/Location"",""Named Region"")"),"Distance/Location")</f>
        <v>Distance/Location</v>
      </c>
      <c r="X2" s="4" t="str">
        <f t="shared" ref="X2:X1001" si="4">LOWER(M2)</f>
        <v>mww</v>
      </c>
      <c r="Y2" s="4">
        <f t="shared" ref="Y2:Y1001" si="5">COUNTIFS($A$2:$A$1001,A2,$C$2:$C$1001,C2)</f>
        <v>1</v>
      </c>
      <c r="Z2" s="4" t="str">
        <f t="shared" ref="Z2:Z1001" si="6">IF(Y2&gt;1,"Duplicate","Unique")</f>
        <v>Unique</v>
      </c>
      <c r="AA2" s="4" t="str">
        <f t="shared" ref="AA2:AA1001" si="7">IF(U2=TRUE,"Valid","Invalid")</f>
        <v>Valid</v>
      </c>
    </row>
    <row r="3">
      <c r="A3" s="3" t="s">
        <v>114</v>
      </c>
      <c r="B3" s="3">
        <v>6.5</v>
      </c>
      <c r="C3" s="3" t="s">
        <v>115</v>
      </c>
      <c r="D3" s="3">
        <v>8.0</v>
      </c>
      <c r="E3" s="3">
        <v>6.0</v>
      </c>
      <c r="F3" s="3" t="s">
        <v>116</v>
      </c>
      <c r="G3" s="3">
        <v>0.0</v>
      </c>
      <c r="H3" s="3">
        <v>775.0</v>
      </c>
      <c r="I3" s="3" t="s">
        <v>110</v>
      </c>
      <c r="J3" s="3">
        <v>92.0</v>
      </c>
      <c r="K3" s="3">
        <v>0.679</v>
      </c>
      <c r="L3" s="3">
        <v>40.0</v>
      </c>
      <c r="M3" s="3" t="s">
        <v>111</v>
      </c>
      <c r="N3" s="3">
        <v>69.727</v>
      </c>
      <c r="O3" s="3">
        <v>12.814</v>
      </c>
      <c r="P3" s="3">
        <v>-88.1265</v>
      </c>
      <c r="Q3" s="3" t="s">
        <v>117</v>
      </c>
      <c r="R3" s="4"/>
      <c r="S3" s="4"/>
      <c r="T3" s="16">
        <f t="shared" si="1"/>
        <v>45126.01528</v>
      </c>
      <c r="U3" s="4" t="b">
        <f t="shared" si="2"/>
        <v>1</v>
      </c>
      <c r="V3" s="4" t="b">
        <f t="shared" si="3"/>
        <v>0</v>
      </c>
      <c r="W3" s="4" t="str">
        <f>IFERROR(__xludf.DUMMYFUNCTION("IF(REGEXMATCH(A3,""[0-9]+(\.[0-9]+)?\s*km""),""Distance/Location"",""Named Region"")"),"Distance/Location")</f>
        <v>Distance/Location</v>
      </c>
      <c r="X3" s="4" t="str">
        <f t="shared" si="4"/>
        <v>mww</v>
      </c>
      <c r="Y3" s="4">
        <f t="shared" si="5"/>
        <v>1</v>
      </c>
      <c r="Z3" s="4" t="str">
        <f t="shared" si="6"/>
        <v>Unique</v>
      </c>
      <c r="AA3" s="4" t="str">
        <f t="shared" si="7"/>
        <v>Valid</v>
      </c>
    </row>
    <row r="4">
      <c r="A4" s="3" t="s">
        <v>118</v>
      </c>
      <c r="B4" s="3">
        <v>6.6</v>
      </c>
      <c r="C4" s="3" t="s">
        <v>119</v>
      </c>
      <c r="D4" s="3">
        <v>7.0</v>
      </c>
      <c r="E4" s="3">
        <v>5.0</v>
      </c>
      <c r="F4" s="3" t="s">
        <v>109</v>
      </c>
      <c r="G4" s="3">
        <v>0.0</v>
      </c>
      <c r="H4" s="3">
        <v>899.0</v>
      </c>
      <c r="I4" s="3" t="s">
        <v>110</v>
      </c>
      <c r="J4" s="3">
        <v>70.0</v>
      </c>
      <c r="K4" s="3">
        <v>1.634</v>
      </c>
      <c r="L4" s="3">
        <v>28.0</v>
      </c>
      <c r="M4" s="3" t="s">
        <v>111</v>
      </c>
      <c r="N4" s="3">
        <v>171.371</v>
      </c>
      <c r="O4" s="3">
        <v>-38.1911</v>
      </c>
      <c r="P4" s="3">
        <v>-70.3731</v>
      </c>
      <c r="Q4" s="3" t="s">
        <v>120</v>
      </c>
      <c r="R4" s="3" t="s">
        <v>121</v>
      </c>
      <c r="S4" s="3" t="s">
        <v>122</v>
      </c>
      <c r="T4" s="16">
        <f t="shared" si="1"/>
        <v>45124.12847</v>
      </c>
      <c r="U4" s="4" t="b">
        <f t="shared" si="2"/>
        <v>1</v>
      </c>
      <c r="V4" s="4" t="b">
        <f t="shared" si="3"/>
        <v>0</v>
      </c>
      <c r="W4" s="4" t="str">
        <f>IFERROR(__xludf.DUMMYFUNCTION("IF(REGEXMATCH(A4,""[0-9]+(\.[0-9]+)?\s*km""),""Distance/Location"",""Named Region"")"),"Distance/Location")</f>
        <v>Distance/Location</v>
      </c>
      <c r="X4" s="4" t="str">
        <f t="shared" si="4"/>
        <v>mww</v>
      </c>
      <c r="Y4" s="4">
        <f t="shared" si="5"/>
        <v>1</v>
      </c>
      <c r="Z4" s="4" t="str">
        <f t="shared" si="6"/>
        <v>Unique</v>
      </c>
      <c r="AA4" s="4" t="str">
        <f t="shared" si="7"/>
        <v>Valid</v>
      </c>
    </row>
    <row r="5">
      <c r="A5" s="3" t="s">
        <v>123</v>
      </c>
      <c r="B5" s="3">
        <v>7.2</v>
      </c>
      <c r="C5" s="3" t="s">
        <v>124</v>
      </c>
      <c r="D5" s="3">
        <v>6.0</v>
      </c>
      <c r="E5" s="3">
        <v>6.0</v>
      </c>
      <c r="F5" s="3" t="s">
        <v>109</v>
      </c>
      <c r="G5" s="3">
        <v>1.0</v>
      </c>
      <c r="H5" s="3">
        <v>860.0</v>
      </c>
      <c r="I5" s="3" t="s">
        <v>110</v>
      </c>
      <c r="J5" s="3">
        <v>173.0</v>
      </c>
      <c r="K5" s="3">
        <v>0.907</v>
      </c>
      <c r="L5" s="3">
        <v>36.0</v>
      </c>
      <c r="M5" s="3" t="s">
        <v>111</v>
      </c>
      <c r="N5" s="3">
        <v>32.571</v>
      </c>
      <c r="O5" s="3">
        <v>54.3844</v>
      </c>
      <c r="P5" s="3">
        <v>-160.699</v>
      </c>
      <c r="Q5" s="3" t="s">
        <v>125</v>
      </c>
      <c r="R5" s="4"/>
      <c r="S5" s="4"/>
      <c r="T5" s="16">
        <f t="shared" si="1"/>
        <v>45123.28333</v>
      </c>
      <c r="U5" s="4" t="b">
        <f t="shared" si="2"/>
        <v>1</v>
      </c>
      <c r="V5" s="4" t="b">
        <f t="shared" si="3"/>
        <v>0</v>
      </c>
      <c r="W5" s="4" t="str">
        <f>IFERROR(__xludf.DUMMYFUNCTION("IF(REGEXMATCH(A5,""[0-9]+(\.[0-9]+)?\s*km""),""Distance/Location"",""Named Region"")"),"Distance/Location")</f>
        <v>Distance/Location</v>
      </c>
      <c r="X5" s="4" t="str">
        <f t="shared" si="4"/>
        <v>mww</v>
      </c>
      <c r="Y5" s="4">
        <f t="shared" si="5"/>
        <v>1</v>
      </c>
      <c r="Z5" s="4" t="str">
        <f t="shared" si="6"/>
        <v>Unique</v>
      </c>
      <c r="AA5" s="4" t="str">
        <f t="shared" si="7"/>
        <v>Valid</v>
      </c>
    </row>
    <row r="6">
      <c r="A6" s="3" t="s">
        <v>126</v>
      </c>
      <c r="B6" s="3">
        <v>7.3</v>
      </c>
      <c r="C6" s="3" t="s">
        <v>124</v>
      </c>
      <c r="D6" s="3">
        <v>0.0</v>
      </c>
      <c r="E6" s="3">
        <v>5.0</v>
      </c>
      <c r="F6" s="4"/>
      <c r="G6" s="3">
        <v>1.0</v>
      </c>
      <c r="H6" s="3">
        <v>820.0</v>
      </c>
      <c r="I6" s="3" t="s">
        <v>127</v>
      </c>
      <c r="J6" s="3">
        <v>79.0</v>
      </c>
      <c r="K6" s="3">
        <v>0.879451</v>
      </c>
      <c r="L6" s="3">
        <v>172.8</v>
      </c>
      <c r="M6" s="3" t="s">
        <v>128</v>
      </c>
      <c r="N6" s="3">
        <v>21.0</v>
      </c>
      <c r="O6" s="3">
        <v>54.49</v>
      </c>
      <c r="P6" s="3">
        <v>-160.796</v>
      </c>
      <c r="Q6" s="3" t="s">
        <v>129</v>
      </c>
      <c r="R6" s="4"/>
      <c r="S6" s="4"/>
      <c r="T6" s="16">
        <f t="shared" si="1"/>
        <v>45123.28333</v>
      </c>
      <c r="U6" s="4" t="b">
        <f t="shared" si="2"/>
        <v>1</v>
      </c>
      <c r="V6" s="4" t="b">
        <f t="shared" si="3"/>
        <v>0</v>
      </c>
      <c r="W6" s="4" t="str">
        <f>IFERROR(__xludf.DUMMYFUNCTION("IF(REGEXMATCH(A6,""[0-9]+(\.[0-9]+)?\s*km""),""Distance/Location"",""Named Region"")"),"Named Region")</f>
        <v>Named Region</v>
      </c>
      <c r="X6" s="4" t="str">
        <f t="shared" si="4"/>
        <v>mi</v>
      </c>
      <c r="Y6" s="4">
        <f t="shared" si="5"/>
        <v>1</v>
      </c>
      <c r="Z6" s="4" t="str">
        <f t="shared" si="6"/>
        <v>Unique</v>
      </c>
      <c r="AA6" s="4" t="str">
        <f t="shared" si="7"/>
        <v>Valid</v>
      </c>
    </row>
    <row r="7">
      <c r="A7" s="3" t="s">
        <v>130</v>
      </c>
      <c r="B7" s="3">
        <v>6.6</v>
      </c>
      <c r="C7" s="17">
        <v>45206.85277777778</v>
      </c>
      <c r="D7" s="3">
        <v>5.0</v>
      </c>
      <c r="E7" s="3">
        <v>4.0</v>
      </c>
      <c r="F7" s="3" t="s">
        <v>109</v>
      </c>
      <c r="G7" s="3">
        <v>1.0</v>
      </c>
      <c r="H7" s="3">
        <v>802.0</v>
      </c>
      <c r="I7" s="3" t="s">
        <v>110</v>
      </c>
      <c r="J7" s="3">
        <v>95.0</v>
      </c>
      <c r="K7" s="3">
        <v>2.454</v>
      </c>
      <c r="L7" s="3">
        <v>37.0</v>
      </c>
      <c r="M7" s="3" t="s">
        <v>111</v>
      </c>
      <c r="N7" s="3">
        <v>10.0</v>
      </c>
      <c r="O7" s="3">
        <v>20.0196</v>
      </c>
      <c r="P7" s="3">
        <v>-61.0955</v>
      </c>
      <c r="Q7" s="3" t="s">
        <v>131</v>
      </c>
      <c r="R7" s="4"/>
      <c r="S7" s="4"/>
      <c r="T7" s="16">
        <f t="shared" si="1"/>
        <v>45117.85278</v>
      </c>
      <c r="U7" s="4" t="b">
        <f t="shared" si="2"/>
        <v>1</v>
      </c>
      <c r="V7" s="4" t="b">
        <f t="shared" si="3"/>
        <v>1</v>
      </c>
      <c r="W7" s="4" t="str">
        <f>IFERROR(__xludf.DUMMYFUNCTION("IF(REGEXMATCH(A7,""[0-9]+(\.[0-9]+)?\s*km""),""Distance/Location"",""Named Region"")"),"Distance/Location")</f>
        <v>Distance/Location</v>
      </c>
      <c r="X7" s="4" t="str">
        <f t="shared" si="4"/>
        <v>mww</v>
      </c>
      <c r="Y7" s="4">
        <f t="shared" si="5"/>
        <v>1</v>
      </c>
      <c r="Z7" s="4" t="str">
        <f t="shared" si="6"/>
        <v>Unique</v>
      </c>
      <c r="AA7" s="4" t="str">
        <f t="shared" si="7"/>
        <v>Valid</v>
      </c>
    </row>
    <row r="8">
      <c r="A8" s="3" t="s">
        <v>132</v>
      </c>
      <c r="B8" s="3">
        <v>6.9</v>
      </c>
      <c r="C8" s="17">
        <v>44964.43541666667</v>
      </c>
      <c r="D8" s="3">
        <v>4.0</v>
      </c>
      <c r="E8" s="3">
        <v>4.0</v>
      </c>
      <c r="F8" s="3" t="s">
        <v>109</v>
      </c>
      <c r="G8" s="3">
        <v>1.0</v>
      </c>
      <c r="H8" s="3">
        <v>741.0</v>
      </c>
      <c r="I8" s="3" t="s">
        <v>110</v>
      </c>
      <c r="J8" s="3">
        <v>136.0</v>
      </c>
      <c r="K8" s="3">
        <v>1.179</v>
      </c>
      <c r="L8" s="3">
        <v>23.0</v>
      </c>
      <c r="M8" s="3" t="s">
        <v>111</v>
      </c>
      <c r="N8" s="3">
        <v>229.0</v>
      </c>
      <c r="O8" s="3">
        <v>-17.853</v>
      </c>
      <c r="P8" s="3">
        <v>-174.937</v>
      </c>
      <c r="Q8" s="3" t="s">
        <v>133</v>
      </c>
      <c r="R8" s="4"/>
      <c r="S8" s="4"/>
      <c r="T8" s="16">
        <f t="shared" si="1"/>
        <v>45109.43542</v>
      </c>
      <c r="U8" s="4" t="b">
        <f t="shared" si="2"/>
        <v>1</v>
      </c>
      <c r="V8" s="4" t="b">
        <f t="shared" si="3"/>
        <v>1</v>
      </c>
      <c r="W8" s="4" t="str">
        <f t="shared" ref="W8:W1001" si="8">IF(ISNUMBER(SEARCH(" km ",A8)),"Distance/Location","Named Region")</f>
        <v>Named Region</v>
      </c>
      <c r="X8" s="4" t="str">
        <f t="shared" si="4"/>
        <v>mww</v>
      </c>
      <c r="Y8" s="4">
        <f t="shared" si="5"/>
        <v>1</v>
      </c>
      <c r="Z8" s="4" t="str">
        <f t="shared" si="6"/>
        <v>Unique</v>
      </c>
      <c r="AA8" s="4" t="str">
        <f t="shared" si="7"/>
        <v>Valid</v>
      </c>
    </row>
    <row r="9">
      <c r="A9" s="3" t="s">
        <v>134</v>
      </c>
      <c r="B9" s="3">
        <v>7.2</v>
      </c>
      <c r="C9" s="3" t="s">
        <v>135</v>
      </c>
      <c r="D9" s="3">
        <v>8.0</v>
      </c>
      <c r="E9" s="3">
        <v>6.0</v>
      </c>
      <c r="F9" s="3" t="s">
        <v>109</v>
      </c>
      <c r="G9" s="3">
        <v>1.0</v>
      </c>
      <c r="H9" s="3">
        <v>804.0</v>
      </c>
      <c r="I9" s="3" t="s">
        <v>110</v>
      </c>
      <c r="J9" s="3">
        <v>85.0</v>
      </c>
      <c r="K9" s="3">
        <v>2.59</v>
      </c>
      <c r="L9" s="3">
        <v>24.0</v>
      </c>
      <c r="M9" s="3" t="s">
        <v>111</v>
      </c>
      <c r="N9" s="3">
        <v>167.404</v>
      </c>
      <c r="O9" s="3">
        <v>-22.9824</v>
      </c>
      <c r="P9" s="3">
        <v>-177.208</v>
      </c>
      <c r="Q9" s="3" t="s">
        <v>136</v>
      </c>
      <c r="R9" s="4"/>
      <c r="S9" s="4"/>
      <c r="T9" s="16">
        <f t="shared" si="1"/>
        <v>45092.75417</v>
      </c>
      <c r="U9" s="4" t="b">
        <f t="shared" si="2"/>
        <v>1</v>
      </c>
      <c r="V9" s="4" t="b">
        <f t="shared" si="3"/>
        <v>0</v>
      </c>
      <c r="W9" s="4" t="str">
        <f t="shared" si="8"/>
        <v>Named Region</v>
      </c>
      <c r="X9" s="4" t="str">
        <f t="shared" si="4"/>
        <v>mww</v>
      </c>
      <c r="Y9" s="4">
        <f t="shared" si="5"/>
        <v>1</v>
      </c>
      <c r="Z9" s="4" t="str">
        <f t="shared" si="6"/>
        <v>Unique</v>
      </c>
      <c r="AA9" s="4" t="str">
        <f t="shared" si="7"/>
        <v>Valid</v>
      </c>
    </row>
    <row r="10">
      <c r="A10" s="3" t="s">
        <v>137</v>
      </c>
      <c r="B10" s="3">
        <v>6.6</v>
      </c>
      <c r="C10" s="3" t="s">
        <v>138</v>
      </c>
      <c r="D10" s="3">
        <v>6.0</v>
      </c>
      <c r="E10" s="3">
        <v>6.0</v>
      </c>
      <c r="F10" s="3" t="s">
        <v>109</v>
      </c>
      <c r="G10" s="3">
        <v>1.0</v>
      </c>
      <c r="H10" s="3">
        <v>733.0</v>
      </c>
      <c r="I10" s="3" t="s">
        <v>110</v>
      </c>
      <c r="J10" s="3">
        <v>50.0</v>
      </c>
      <c r="K10" s="3">
        <v>2.163</v>
      </c>
      <c r="L10" s="3">
        <v>129.0</v>
      </c>
      <c r="M10" s="3" t="s">
        <v>111</v>
      </c>
      <c r="N10" s="3">
        <v>10.0</v>
      </c>
      <c r="O10" s="3">
        <v>8.8894</v>
      </c>
      <c r="P10" s="3">
        <v>-77.1231</v>
      </c>
      <c r="Q10" s="3" t="s">
        <v>139</v>
      </c>
      <c r="R10" s="4"/>
      <c r="S10" s="3" t="s">
        <v>140</v>
      </c>
      <c r="T10" s="16">
        <f t="shared" si="1"/>
        <v>45071.12847</v>
      </c>
      <c r="U10" s="4" t="b">
        <f t="shared" si="2"/>
        <v>1</v>
      </c>
      <c r="V10" s="4" t="b">
        <f t="shared" si="3"/>
        <v>0</v>
      </c>
      <c r="W10" s="4" t="str">
        <f t="shared" si="8"/>
        <v>Named Region</v>
      </c>
      <c r="X10" s="4" t="str">
        <f t="shared" si="4"/>
        <v>mww</v>
      </c>
      <c r="Y10" s="4">
        <f t="shared" si="5"/>
        <v>1</v>
      </c>
      <c r="Z10" s="4" t="str">
        <f t="shared" si="6"/>
        <v>Unique</v>
      </c>
      <c r="AA10" s="4" t="str">
        <f t="shared" si="7"/>
        <v>Valid</v>
      </c>
    </row>
    <row r="11">
      <c r="A11" s="3" t="s">
        <v>141</v>
      </c>
      <c r="B11" s="3">
        <v>7.1</v>
      </c>
      <c r="C11" s="3" t="s">
        <v>142</v>
      </c>
      <c r="D11" s="3">
        <v>3.0</v>
      </c>
      <c r="E11" s="3">
        <v>4.0</v>
      </c>
      <c r="F11" s="3" t="s">
        <v>109</v>
      </c>
      <c r="G11" s="3">
        <v>1.0</v>
      </c>
      <c r="H11" s="3">
        <v>777.0</v>
      </c>
      <c r="I11" s="3" t="s">
        <v>110</v>
      </c>
      <c r="J11" s="3">
        <v>98.0</v>
      </c>
      <c r="K11" s="3">
        <v>2.812</v>
      </c>
      <c r="L11" s="3">
        <v>56.0</v>
      </c>
      <c r="M11" s="3" t="s">
        <v>111</v>
      </c>
      <c r="N11" s="3">
        <v>35.981</v>
      </c>
      <c r="O11" s="3">
        <v>-23.0622</v>
      </c>
      <c r="P11" s="3">
        <v>170.456</v>
      </c>
      <c r="Q11" s="3" t="s">
        <v>143</v>
      </c>
      <c r="R11" s="4"/>
      <c r="S11" s="4"/>
      <c r="T11" s="16">
        <f t="shared" si="1"/>
        <v>45066.07708</v>
      </c>
      <c r="U11" s="4" t="b">
        <f t="shared" si="2"/>
        <v>1</v>
      </c>
      <c r="V11" s="4" t="b">
        <f t="shared" si="3"/>
        <v>0</v>
      </c>
      <c r="W11" s="4" t="str">
        <f t="shared" si="8"/>
        <v>Named Region</v>
      </c>
      <c r="X11" s="4" t="str">
        <f t="shared" si="4"/>
        <v>mww</v>
      </c>
      <c r="Y11" s="4">
        <f t="shared" si="5"/>
        <v>1</v>
      </c>
      <c r="Z11" s="4" t="str">
        <f t="shared" si="6"/>
        <v>Unique</v>
      </c>
      <c r="AA11" s="4" t="str">
        <f t="shared" si="7"/>
        <v>Valid</v>
      </c>
    </row>
    <row r="12">
      <c r="A12" s="3" t="s">
        <v>144</v>
      </c>
      <c r="B12" s="3">
        <v>7.7</v>
      </c>
      <c r="C12" s="3" t="s">
        <v>145</v>
      </c>
      <c r="D12" s="3">
        <v>5.0</v>
      </c>
      <c r="E12" s="3">
        <v>4.0</v>
      </c>
      <c r="F12" s="3" t="s">
        <v>109</v>
      </c>
      <c r="G12" s="3">
        <v>1.0</v>
      </c>
      <c r="H12" s="3">
        <v>927.0</v>
      </c>
      <c r="I12" s="3" t="s">
        <v>110</v>
      </c>
      <c r="J12" s="3">
        <v>277.0</v>
      </c>
      <c r="K12" s="3">
        <v>3.111</v>
      </c>
      <c r="L12" s="3">
        <v>15.0</v>
      </c>
      <c r="M12" s="3" t="s">
        <v>111</v>
      </c>
      <c r="N12" s="3">
        <v>18.027</v>
      </c>
      <c r="O12" s="3">
        <v>-23.2286</v>
      </c>
      <c r="P12" s="3">
        <v>170.694</v>
      </c>
      <c r="Q12" s="3" t="s">
        <v>143</v>
      </c>
      <c r="R12" s="4"/>
      <c r="S12" s="4"/>
      <c r="T12" s="16">
        <f t="shared" si="1"/>
        <v>45065.12292</v>
      </c>
      <c r="U12" s="4" t="b">
        <f t="shared" si="2"/>
        <v>1</v>
      </c>
      <c r="V12" s="4" t="b">
        <f t="shared" si="3"/>
        <v>0</v>
      </c>
      <c r="W12" s="4" t="str">
        <f t="shared" si="8"/>
        <v>Named Region</v>
      </c>
      <c r="X12" s="4" t="str">
        <f t="shared" si="4"/>
        <v>mww</v>
      </c>
      <c r="Y12" s="4">
        <f t="shared" si="5"/>
        <v>1</v>
      </c>
      <c r="Z12" s="4" t="str">
        <f t="shared" si="6"/>
        <v>Unique</v>
      </c>
      <c r="AA12" s="4" t="str">
        <f t="shared" si="7"/>
        <v>Valid</v>
      </c>
    </row>
    <row r="13">
      <c r="A13" s="3" t="s">
        <v>146</v>
      </c>
      <c r="B13" s="3">
        <v>7.6</v>
      </c>
      <c r="C13" s="17">
        <v>45204.66805555556</v>
      </c>
      <c r="D13" s="3">
        <v>8.0</v>
      </c>
      <c r="E13" s="3">
        <v>6.0</v>
      </c>
      <c r="F13" s="3" t="s">
        <v>109</v>
      </c>
      <c r="G13" s="3">
        <v>1.0</v>
      </c>
      <c r="H13" s="3">
        <v>907.0</v>
      </c>
      <c r="I13" s="3" t="s">
        <v>110</v>
      </c>
      <c r="J13" s="3">
        <v>111.0</v>
      </c>
      <c r="K13" s="3">
        <v>3.631</v>
      </c>
      <c r="L13" s="3">
        <v>17.0</v>
      </c>
      <c r="M13" s="3" t="s">
        <v>111</v>
      </c>
      <c r="N13" s="3">
        <v>210.097</v>
      </c>
      <c r="O13" s="3">
        <v>-15.6002</v>
      </c>
      <c r="P13" s="3">
        <v>-174.608</v>
      </c>
      <c r="Q13" s="3" t="s">
        <v>147</v>
      </c>
      <c r="R13" s="4"/>
      <c r="S13" s="4"/>
      <c r="T13" s="16">
        <f t="shared" si="1"/>
        <v>45056.66806</v>
      </c>
      <c r="U13" s="4" t="b">
        <f t="shared" si="2"/>
        <v>1</v>
      </c>
      <c r="V13" s="4" t="b">
        <f t="shared" si="3"/>
        <v>1</v>
      </c>
      <c r="W13" s="4" t="str">
        <f t="shared" si="8"/>
        <v>Distance/Location</v>
      </c>
      <c r="X13" s="4" t="str">
        <f t="shared" si="4"/>
        <v>mww</v>
      </c>
      <c r="Y13" s="4">
        <f t="shared" si="5"/>
        <v>1</v>
      </c>
      <c r="Z13" s="4" t="str">
        <f t="shared" si="6"/>
        <v>Unique</v>
      </c>
      <c r="AA13" s="4" t="str">
        <f t="shared" si="7"/>
        <v>Valid</v>
      </c>
    </row>
    <row r="14">
      <c r="A14" s="3" t="s">
        <v>148</v>
      </c>
      <c r="B14" s="3">
        <v>6.6</v>
      </c>
      <c r="C14" s="3" t="s">
        <v>149</v>
      </c>
      <c r="D14" s="3">
        <v>0.0</v>
      </c>
      <c r="E14" s="3">
        <v>2.0</v>
      </c>
      <c r="F14" s="3" t="s">
        <v>109</v>
      </c>
      <c r="G14" s="3">
        <v>0.0</v>
      </c>
      <c r="H14" s="3">
        <v>670.0</v>
      </c>
      <c r="I14" s="3" t="s">
        <v>110</v>
      </c>
      <c r="J14" s="3">
        <v>52.0</v>
      </c>
      <c r="K14" s="3">
        <v>5.123</v>
      </c>
      <c r="L14" s="3">
        <v>50.0</v>
      </c>
      <c r="M14" s="3" t="s">
        <v>111</v>
      </c>
      <c r="N14" s="3">
        <v>598.467</v>
      </c>
      <c r="O14" s="3">
        <v>-25.2657</v>
      </c>
      <c r="P14" s="3">
        <v>178.424</v>
      </c>
      <c r="Q14" s="3" t="s">
        <v>136</v>
      </c>
      <c r="R14" s="4"/>
      <c r="S14" s="4"/>
      <c r="T14" s="16">
        <f t="shared" si="1"/>
        <v>45044.13403</v>
      </c>
      <c r="U14" s="4" t="b">
        <f t="shared" si="2"/>
        <v>1</v>
      </c>
      <c r="V14" s="4" t="b">
        <f t="shared" si="3"/>
        <v>0</v>
      </c>
      <c r="W14" s="4" t="str">
        <f t="shared" si="8"/>
        <v>Named Region</v>
      </c>
      <c r="X14" s="4" t="str">
        <f t="shared" si="4"/>
        <v>mww</v>
      </c>
      <c r="Y14" s="4">
        <f t="shared" si="5"/>
        <v>1</v>
      </c>
      <c r="Z14" s="4" t="str">
        <f t="shared" si="6"/>
        <v>Unique</v>
      </c>
      <c r="AA14" s="4" t="str">
        <f t="shared" si="7"/>
        <v>Valid</v>
      </c>
    </row>
    <row r="15">
      <c r="A15" s="3" t="s">
        <v>150</v>
      </c>
      <c r="B15" s="3">
        <v>7.1</v>
      </c>
      <c r="C15" s="3" t="s">
        <v>151</v>
      </c>
      <c r="D15" s="3">
        <v>9.0</v>
      </c>
      <c r="E15" s="3">
        <v>7.0</v>
      </c>
      <c r="F15" s="3" t="s">
        <v>109</v>
      </c>
      <c r="G15" s="3">
        <v>0.0</v>
      </c>
      <c r="H15" s="3">
        <v>838.0</v>
      </c>
      <c r="I15" s="3" t="s">
        <v>110</v>
      </c>
      <c r="J15" s="3">
        <v>70.0</v>
      </c>
      <c r="K15" s="3">
        <v>2.282</v>
      </c>
      <c r="L15" s="3">
        <v>58.0</v>
      </c>
      <c r="M15" s="3" t="s">
        <v>111</v>
      </c>
      <c r="N15" s="3">
        <v>15.462</v>
      </c>
      <c r="O15" s="3">
        <v>-0.781</v>
      </c>
      <c r="P15" s="3">
        <v>98.5339</v>
      </c>
      <c r="Q15" s="3" t="s">
        <v>152</v>
      </c>
      <c r="R15" s="4"/>
      <c r="S15" s="3" t="s">
        <v>153</v>
      </c>
      <c r="T15" s="16">
        <f t="shared" si="1"/>
        <v>45040.83333</v>
      </c>
      <c r="U15" s="4" t="b">
        <f t="shared" si="2"/>
        <v>1</v>
      </c>
      <c r="V15" s="4" t="b">
        <f t="shared" si="3"/>
        <v>0</v>
      </c>
      <c r="W15" s="4" t="str">
        <f t="shared" si="8"/>
        <v>Distance/Location</v>
      </c>
      <c r="X15" s="4" t="str">
        <f t="shared" si="4"/>
        <v>mww</v>
      </c>
      <c r="Y15" s="4">
        <f t="shared" si="5"/>
        <v>1</v>
      </c>
      <c r="Z15" s="4" t="str">
        <f t="shared" si="6"/>
        <v>Unique</v>
      </c>
      <c r="AA15" s="4" t="str">
        <f t="shared" si="7"/>
        <v>Valid</v>
      </c>
    </row>
    <row r="16">
      <c r="A16" s="3" t="s">
        <v>154</v>
      </c>
      <c r="B16" s="3">
        <v>7.1</v>
      </c>
      <c r="C16" s="3" t="s">
        <v>155</v>
      </c>
      <c r="D16" s="3">
        <v>8.0</v>
      </c>
      <c r="E16" s="3">
        <v>7.0</v>
      </c>
      <c r="F16" s="3" t="s">
        <v>109</v>
      </c>
      <c r="G16" s="3">
        <v>1.0</v>
      </c>
      <c r="H16" s="3">
        <v>777.0</v>
      </c>
      <c r="I16" s="3" t="s">
        <v>110</v>
      </c>
      <c r="J16" s="3">
        <v>126.0</v>
      </c>
      <c r="K16" s="3">
        <v>0.708</v>
      </c>
      <c r="L16" s="3">
        <v>23.0</v>
      </c>
      <c r="M16" s="3" t="s">
        <v>111</v>
      </c>
      <c r="N16" s="3">
        <v>43.063</v>
      </c>
      <c r="O16" s="3">
        <v>-30.0249</v>
      </c>
      <c r="P16" s="3">
        <v>-177.897</v>
      </c>
      <c r="Q16" s="3" t="s">
        <v>156</v>
      </c>
      <c r="R16" s="4"/>
      <c r="S16" s="4"/>
      <c r="T16" s="16">
        <f t="shared" si="1"/>
        <v>45040.02847</v>
      </c>
      <c r="U16" s="4" t="b">
        <f t="shared" si="2"/>
        <v>1</v>
      </c>
      <c r="V16" s="4" t="b">
        <f t="shared" si="3"/>
        <v>0</v>
      </c>
      <c r="W16" s="4" t="str">
        <f t="shared" si="8"/>
        <v>Named Region</v>
      </c>
      <c r="X16" s="4" t="str">
        <f t="shared" si="4"/>
        <v>mww</v>
      </c>
      <c r="Y16" s="4">
        <f t="shared" si="5"/>
        <v>1</v>
      </c>
      <c r="Z16" s="4" t="str">
        <f t="shared" si="6"/>
        <v>Unique</v>
      </c>
      <c r="AA16" s="4" t="str">
        <f t="shared" si="7"/>
        <v>Valid</v>
      </c>
    </row>
    <row r="17">
      <c r="A17" s="3" t="s">
        <v>157</v>
      </c>
      <c r="B17" s="3">
        <v>6.7</v>
      </c>
      <c r="C17" s="3" t="s">
        <v>158</v>
      </c>
      <c r="D17" s="3">
        <v>0.0</v>
      </c>
      <c r="E17" s="3">
        <v>3.0</v>
      </c>
      <c r="F17" s="3" t="s">
        <v>109</v>
      </c>
      <c r="G17" s="3">
        <v>1.0</v>
      </c>
      <c r="H17" s="3">
        <v>691.0</v>
      </c>
      <c r="I17" s="3" t="s">
        <v>110</v>
      </c>
      <c r="J17" s="3">
        <v>166.0</v>
      </c>
      <c r="K17" s="3">
        <v>4.719</v>
      </c>
      <c r="L17" s="3">
        <v>10.0</v>
      </c>
      <c r="M17" s="3" t="s">
        <v>111</v>
      </c>
      <c r="N17" s="3">
        <v>595.854</v>
      </c>
      <c r="O17" s="3">
        <v>-22.2844</v>
      </c>
      <c r="P17" s="3">
        <v>179.391</v>
      </c>
      <c r="Q17" s="3" t="s">
        <v>136</v>
      </c>
      <c r="R17" s="4"/>
      <c r="S17" s="4"/>
      <c r="T17" s="16">
        <f t="shared" si="1"/>
        <v>45034.18819</v>
      </c>
      <c r="U17" s="4" t="b">
        <f t="shared" si="2"/>
        <v>1</v>
      </c>
      <c r="V17" s="4" t="b">
        <f t="shared" si="3"/>
        <v>0</v>
      </c>
      <c r="W17" s="4" t="str">
        <f t="shared" si="8"/>
        <v>Named Region</v>
      </c>
      <c r="X17" s="4" t="str">
        <f t="shared" si="4"/>
        <v>mww</v>
      </c>
      <c r="Y17" s="4">
        <f t="shared" si="5"/>
        <v>1</v>
      </c>
      <c r="Z17" s="4" t="str">
        <f t="shared" si="6"/>
        <v>Unique</v>
      </c>
      <c r="AA17" s="4" t="str">
        <f t="shared" si="7"/>
        <v>Valid</v>
      </c>
    </row>
    <row r="18">
      <c r="A18" s="3" t="s">
        <v>159</v>
      </c>
      <c r="B18" s="3">
        <v>7.0</v>
      </c>
      <c r="C18" s="3" t="s">
        <v>160</v>
      </c>
      <c r="D18" s="3">
        <v>5.0</v>
      </c>
      <c r="E18" s="3">
        <v>3.0</v>
      </c>
      <c r="F18" s="3" t="s">
        <v>109</v>
      </c>
      <c r="G18" s="3">
        <v>0.0</v>
      </c>
      <c r="H18" s="3">
        <v>818.0</v>
      </c>
      <c r="I18" s="3" t="s">
        <v>110</v>
      </c>
      <c r="J18" s="3">
        <v>131.0</v>
      </c>
      <c r="K18" s="3">
        <v>1.881</v>
      </c>
      <c r="L18" s="3">
        <v>31.0</v>
      </c>
      <c r="M18" s="3" t="s">
        <v>111</v>
      </c>
      <c r="N18" s="3">
        <v>594.028</v>
      </c>
      <c r="O18" s="3">
        <v>-6.0255</v>
      </c>
      <c r="P18" s="3">
        <v>112.033</v>
      </c>
      <c r="Q18" s="3" t="s">
        <v>161</v>
      </c>
      <c r="R18" s="4"/>
      <c r="S18" s="3" t="s">
        <v>153</v>
      </c>
      <c r="T18" s="16">
        <f t="shared" si="1"/>
        <v>45030.41319</v>
      </c>
      <c r="U18" s="4" t="b">
        <f t="shared" si="2"/>
        <v>1</v>
      </c>
      <c r="V18" s="4" t="b">
        <f t="shared" si="3"/>
        <v>0</v>
      </c>
      <c r="W18" s="4" t="str">
        <f t="shared" si="8"/>
        <v>Distance/Location</v>
      </c>
      <c r="X18" s="4" t="str">
        <f t="shared" si="4"/>
        <v>mww</v>
      </c>
      <c r="Y18" s="4">
        <f t="shared" si="5"/>
        <v>1</v>
      </c>
      <c r="Z18" s="4" t="str">
        <f t="shared" si="6"/>
        <v>Unique</v>
      </c>
      <c r="AA18" s="4" t="str">
        <f t="shared" si="7"/>
        <v>Valid</v>
      </c>
    </row>
    <row r="19">
      <c r="A19" s="3" t="s">
        <v>162</v>
      </c>
      <c r="B19" s="3">
        <v>6.5</v>
      </c>
      <c r="C19" s="17">
        <v>44989.129166666666</v>
      </c>
      <c r="D19" s="3">
        <v>7.0</v>
      </c>
      <c r="E19" s="3">
        <v>6.0</v>
      </c>
      <c r="F19" s="3" t="s">
        <v>116</v>
      </c>
      <c r="G19" s="3">
        <v>1.0</v>
      </c>
      <c r="H19" s="3">
        <v>655.0</v>
      </c>
      <c r="I19" s="3" t="s">
        <v>110</v>
      </c>
      <c r="J19" s="3">
        <v>104.0</v>
      </c>
      <c r="K19" s="3">
        <v>0.266</v>
      </c>
      <c r="L19" s="3">
        <v>30.0</v>
      </c>
      <c r="M19" s="3" t="s">
        <v>111</v>
      </c>
      <c r="N19" s="3">
        <v>105.631</v>
      </c>
      <c r="O19" s="3">
        <v>52.7772</v>
      </c>
      <c r="P19" s="3">
        <v>158.484</v>
      </c>
      <c r="Q19" s="3" t="s">
        <v>163</v>
      </c>
      <c r="R19" s="3" t="s">
        <v>164</v>
      </c>
      <c r="S19" s="3" t="s">
        <v>165</v>
      </c>
      <c r="T19" s="16">
        <f t="shared" si="1"/>
        <v>45019.12917</v>
      </c>
      <c r="U19" s="4" t="b">
        <f t="shared" si="2"/>
        <v>1</v>
      </c>
      <c r="V19" s="4" t="b">
        <f t="shared" si="3"/>
        <v>1</v>
      </c>
      <c r="W19" s="4" t="str">
        <f t="shared" si="8"/>
        <v>Named Region</v>
      </c>
      <c r="X19" s="4" t="str">
        <f t="shared" si="4"/>
        <v>mww</v>
      </c>
      <c r="Y19" s="4">
        <f t="shared" si="5"/>
        <v>1</v>
      </c>
      <c r="Z19" s="4" t="str">
        <f t="shared" si="6"/>
        <v>Unique</v>
      </c>
      <c r="AA19" s="4" t="str">
        <f t="shared" si="7"/>
        <v>Valid</v>
      </c>
    </row>
    <row r="20">
      <c r="A20" s="3" t="s">
        <v>166</v>
      </c>
      <c r="B20" s="3">
        <v>7.0</v>
      </c>
      <c r="C20" s="17">
        <v>44961.75277777778</v>
      </c>
      <c r="D20" s="3">
        <v>7.0</v>
      </c>
      <c r="E20" s="3">
        <v>7.0</v>
      </c>
      <c r="F20" s="3" t="s">
        <v>109</v>
      </c>
      <c r="G20" s="3">
        <v>1.0</v>
      </c>
      <c r="H20" s="3">
        <v>781.0</v>
      </c>
      <c r="I20" s="3" t="s">
        <v>110</v>
      </c>
      <c r="J20" s="3">
        <v>105.0</v>
      </c>
      <c r="K20" s="3">
        <v>6.45</v>
      </c>
      <c r="L20" s="3">
        <v>31.0</v>
      </c>
      <c r="M20" s="3" t="s">
        <v>111</v>
      </c>
      <c r="N20" s="3">
        <v>62.603</v>
      </c>
      <c r="O20" s="3">
        <v>-4.2924</v>
      </c>
      <c r="P20" s="3">
        <v>143.155</v>
      </c>
      <c r="Q20" s="3" t="s">
        <v>167</v>
      </c>
      <c r="R20" s="3" t="s">
        <v>164</v>
      </c>
      <c r="S20" s="3" t="s">
        <v>168</v>
      </c>
      <c r="T20" s="16">
        <f t="shared" si="1"/>
        <v>45018.75278</v>
      </c>
      <c r="U20" s="4" t="b">
        <f t="shared" si="2"/>
        <v>1</v>
      </c>
      <c r="V20" s="4" t="b">
        <f t="shared" si="3"/>
        <v>1</v>
      </c>
      <c r="W20" s="4" t="str">
        <f t="shared" si="8"/>
        <v>Named Region</v>
      </c>
      <c r="X20" s="4" t="str">
        <f t="shared" si="4"/>
        <v>mww</v>
      </c>
      <c r="Y20" s="4">
        <f t="shared" si="5"/>
        <v>1</v>
      </c>
      <c r="Z20" s="4" t="str">
        <f t="shared" si="6"/>
        <v>Unique</v>
      </c>
      <c r="AA20" s="4" t="str">
        <f t="shared" si="7"/>
        <v>Valid</v>
      </c>
    </row>
    <row r="21">
      <c r="A21" s="3" t="s">
        <v>169</v>
      </c>
      <c r="B21" s="3">
        <v>6.5</v>
      </c>
      <c r="C21" s="3" t="s">
        <v>170</v>
      </c>
      <c r="D21" s="3">
        <v>4.0</v>
      </c>
      <c r="E21" s="3">
        <v>4.0</v>
      </c>
      <c r="F21" s="3" t="s">
        <v>109</v>
      </c>
      <c r="G21" s="3">
        <v>0.0</v>
      </c>
      <c r="H21" s="3">
        <v>656.0</v>
      </c>
      <c r="I21" s="3" t="s">
        <v>110</v>
      </c>
      <c r="J21" s="3">
        <v>97.0</v>
      </c>
      <c r="K21" s="3">
        <v>1.622</v>
      </c>
      <c r="L21" s="3">
        <v>33.0</v>
      </c>
      <c r="M21" s="3" t="s">
        <v>111</v>
      </c>
      <c r="N21" s="3">
        <v>209.976</v>
      </c>
      <c r="O21" s="3">
        <v>-23.4797</v>
      </c>
      <c r="P21" s="3">
        <v>-66.5108</v>
      </c>
      <c r="Q21" s="3" t="s">
        <v>171</v>
      </c>
      <c r="R21" s="3" t="s">
        <v>121</v>
      </c>
      <c r="S21" s="3" t="s">
        <v>122</v>
      </c>
      <c r="T21" s="16">
        <f t="shared" si="1"/>
        <v>45007.66667</v>
      </c>
      <c r="U21" s="4" t="b">
        <f t="shared" si="2"/>
        <v>1</v>
      </c>
      <c r="V21" s="4" t="b">
        <f t="shared" si="3"/>
        <v>0</v>
      </c>
      <c r="W21" s="4" t="str">
        <f t="shared" si="8"/>
        <v>Distance/Location</v>
      </c>
      <c r="X21" s="4" t="str">
        <f t="shared" si="4"/>
        <v>mww</v>
      </c>
      <c r="Y21" s="4">
        <f t="shared" si="5"/>
        <v>1</v>
      </c>
      <c r="Z21" s="4" t="str">
        <f t="shared" si="6"/>
        <v>Unique</v>
      </c>
      <c r="AA21" s="4" t="str">
        <f t="shared" si="7"/>
        <v>Valid</v>
      </c>
    </row>
    <row r="22">
      <c r="A22" s="3" t="s">
        <v>172</v>
      </c>
      <c r="B22" s="3">
        <v>6.5</v>
      </c>
      <c r="C22" s="3" t="s">
        <v>173</v>
      </c>
      <c r="D22" s="3">
        <v>7.0</v>
      </c>
      <c r="E22" s="3">
        <v>5.0</v>
      </c>
      <c r="F22" s="3" t="s">
        <v>109</v>
      </c>
      <c r="G22" s="3">
        <v>0.0</v>
      </c>
      <c r="H22" s="3">
        <v>1350.0</v>
      </c>
      <c r="I22" s="3" t="s">
        <v>110</v>
      </c>
      <c r="J22" s="3">
        <v>134.0</v>
      </c>
      <c r="K22" s="3">
        <v>2.53</v>
      </c>
      <c r="L22" s="3">
        <v>13.0</v>
      </c>
      <c r="M22" s="3" t="s">
        <v>111</v>
      </c>
      <c r="N22" s="3">
        <v>187.589</v>
      </c>
      <c r="O22" s="3">
        <v>36.5227</v>
      </c>
      <c r="P22" s="3">
        <v>70.9787</v>
      </c>
      <c r="Q22" s="3" t="s">
        <v>174</v>
      </c>
      <c r="R22" s="3" t="s">
        <v>164</v>
      </c>
      <c r="S22" s="3" t="s">
        <v>175</v>
      </c>
      <c r="T22" s="16">
        <f t="shared" si="1"/>
        <v>45006.69931</v>
      </c>
      <c r="U22" s="4" t="b">
        <f t="shared" si="2"/>
        <v>1</v>
      </c>
      <c r="V22" s="4" t="b">
        <f t="shared" si="3"/>
        <v>0</v>
      </c>
      <c r="W22" s="4" t="str">
        <f t="shared" si="8"/>
        <v>Distance/Location</v>
      </c>
      <c r="X22" s="4" t="str">
        <f t="shared" si="4"/>
        <v>mww</v>
      </c>
      <c r="Y22" s="4">
        <f t="shared" si="5"/>
        <v>1</v>
      </c>
      <c r="Z22" s="4" t="str">
        <f t="shared" si="6"/>
        <v>Unique</v>
      </c>
      <c r="AA22" s="4" t="str">
        <f t="shared" si="7"/>
        <v>Valid</v>
      </c>
    </row>
    <row r="23">
      <c r="A23" s="3" t="s">
        <v>176</v>
      </c>
      <c r="B23" s="3">
        <v>6.8</v>
      </c>
      <c r="C23" s="3" t="s">
        <v>177</v>
      </c>
      <c r="D23" s="3">
        <v>9.0</v>
      </c>
      <c r="E23" s="3">
        <v>7.0</v>
      </c>
      <c r="F23" s="3" t="s">
        <v>178</v>
      </c>
      <c r="G23" s="3">
        <v>1.0</v>
      </c>
      <c r="H23" s="3">
        <v>1159.0</v>
      </c>
      <c r="I23" s="3" t="s">
        <v>110</v>
      </c>
      <c r="J23" s="3">
        <v>152.0</v>
      </c>
      <c r="K23" s="3">
        <v>0.709</v>
      </c>
      <c r="L23" s="3">
        <v>28.0</v>
      </c>
      <c r="M23" s="3" t="s">
        <v>111</v>
      </c>
      <c r="N23" s="3">
        <v>65.842</v>
      </c>
      <c r="O23" s="3">
        <v>-2.851</v>
      </c>
      <c r="P23" s="3">
        <v>-79.8001</v>
      </c>
      <c r="Q23" s="3" t="s">
        <v>179</v>
      </c>
      <c r="R23" s="3" t="s">
        <v>121</v>
      </c>
      <c r="S23" s="3" t="s">
        <v>179</v>
      </c>
      <c r="T23" s="16">
        <f t="shared" si="1"/>
        <v>45003.71667</v>
      </c>
      <c r="U23" s="4" t="b">
        <f t="shared" si="2"/>
        <v>1</v>
      </c>
      <c r="V23" s="4" t="b">
        <f t="shared" si="3"/>
        <v>0</v>
      </c>
      <c r="W23" s="4" t="str">
        <f t="shared" si="8"/>
        <v>Named Region</v>
      </c>
      <c r="X23" s="4" t="str">
        <f t="shared" si="4"/>
        <v>mww</v>
      </c>
      <c r="Y23" s="4">
        <f t="shared" si="5"/>
        <v>1</v>
      </c>
      <c r="Z23" s="4" t="str">
        <f t="shared" si="6"/>
        <v>Unique</v>
      </c>
      <c r="AA23" s="4" t="str">
        <f t="shared" si="7"/>
        <v>Valid</v>
      </c>
    </row>
    <row r="24">
      <c r="A24" s="3" t="s">
        <v>180</v>
      </c>
      <c r="B24" s="3">
        <v>7.0</v>
      </c>
      <c r="C24" s="3" t="s">
        <v>181</v>
      </c>
      <c r="D24" s="3">
        <v>8.0</v>
      </c>
      <c r="E24" s="3">
        <v>5.0</v>
      </c>
      <c r="F24" s="3" t="s">
        <v>109</v>
      </c>
      <c r="G24" s="3">
        <v>1.0</v>
      </c>
      <c r="H24" s="3">
        <v>756.0</v>
      </c>
      <c r="I24" s="3" t="s">
        <v>110</v>
      </c>
      <c r="J24" s="3">
        <v>116.0</v>
      </c>
      <c r="K24" s="3">
        <v>1.789</v>
      </c>
      <c r="L24" s="3">
        <v>22.0</v>
      </c>
      <c r="M24" s="3" t="s">
        <v>111</v>
      </c>
      <c r="N24" s="3">
        <v>22.065</v>
      </c>
      <c r="O24" s="3">
        <v>-30.1147</v>
      </c>
      <c r="P24" s="3">
        <v>-176.112</v>
      </c>
      <c r="Q24" s="3" t="s">
        <v>182</v>
      </c>
      <c r="R24" s="4"/>
      <c r="S24" s="4"/>
      <c r="T24" s="16">
        <f t="shared" si="1"/>
        <v>45001.03889</v>
      </c>
      <c r="U24" s="4" t="b">
        <f t="shared" si="2"/>
        <v>1</v>
      </c>
      <c r="V24" s="4" t="b">
        <f t="shared" si="3"/>
        <v>0</v>
      </c>
      <c r="W24" s="4" t="str">
        <f t="shared" si="8"/>
        <v>Named Region</v>
      </c>
      <c r="X24" s="4" t="str">
        <f t="shared" si="4"/>
        <v>mww</v>
      </c>
      <c r="Y24" s="4">
        <f t="shared" si="5"/>
        <v>1</v>
      </c>
      <c r="Z24" s="4" t="str">
        <f t="shared" si="6"/>
        <v>Unique</v>
      </c>
      <c r="AA24" s="4" t="str">
        <f t="shared" si="7"/>
        <v>Valid</v>
      </c>
    </row>
    <row r="25">
      <c r="A25" s="3" t="s">
        <v>183</v>
      </c>
      <c r="B25" s="3">
        <v>6.9</v>
      </c>
      <c r="C25" s="17">
        <v>45019.27847222222</v>
      </c>
      <c r="D25" s="3">
        <v>5.0</v>
      </c>
      <c r="E25" s="3">
        <v>5.0</v>
      </c>
      <c r="F25" s="3" t="s">
        <v>109</v>
      </c>
      <c r="G25" s="3">
        <v>1.0</v>
      </c>
      <c r="H25" s="3">
        <v>735.0</v>
      </c>
      <c r="I25" s="3" t="s">
        <v>110</v>
      </c>
      <c r="J25" s="3">
        <v>108.0</v>
      </c>
      <c r="K25" s="3">
        <v>0.784</v>
      </c>
      <c r="L25" s="3">
        <v>18.0</v>
      </c>
      <c r="M25" s="3" t="s">
        <v>111</v>
      </c>
      <c r="N25" s="3">
        <v>205.681</v>
      </c>
      <c r="O25" s="3">
        <v>-29.4748</v>
      </c>
      <c r="P25" s="3">
        <v>-178.787</v>
      </c>
      <c r="Q25" s="3" t="s">
        <v>156</v>
      </c>
      <c r="R25" s="4"/>
      <c r="S25" s="4"/>
      <c r="T25" s="16">
        <f t="shared" si="1"/>
        <v>44989.27847</v>
      </c>
      <c r="U25" s="4" t="b">
        <f t="shared" si="2"/>
        <v>1</v>
      </c>
      <c r="V25" s="4" t="b">
        <f t="shared" si="3"/>
        <v>1</v>
      </c>
      <c r="W25" s="4" t="str">
        <f t="shared" si="8"/>
        <v>Named Region</v>
      </c>
      <c r="X25" s="4" t="str">
        <f t="shared" si="4"/>
        <v>mww</v>
      </c>
      <c r="Y25" s="4">
        <f t="shared" si="5"/>
        <v>1</v>
      </c>
      <c r="Z25" s="4" t="str">
        <f t="shared" si="6"/>
        <v>Unique</v>
      </c>
      <c r="AA25" s="4" t="str">
        <f t="shared" si="7"/>
        <v>Valid</v>
      </c>
    </row>
    <row r="26">
      <c r="A26" s="3" t="s">
        <v>184</v>
      </c>
      <c r="B26" s="3">
        <v>6.5</v>
      </c>
      <c r="C26" s="17">
        <v>44960.75277777778</v>
      </c>
      <c r="D26" s="3">
        <v>7.0</v>
      </c>
      <c r="E26" s="3">
        <v>6.0</v>
      </c>
      <c r="F26" s="3" t="s">
        <v>109</v>
      </c>
      <c r="G26" s="3">
        <v>1.0</v>
      </c>
      <c r="H26" s="3">
        <v>653.0</v>
      </c>
      <c r="I26" s="3" t="s">
        <v>110</v>
      </c>
      <c r="J26" s="3">
        <v>66.0</v>
      </c>
      <c r="K26" s="3">
        <v>5.483</v>
      </c>
      <c r="L26" s="3">
        <v>45.0</v>
      </c>
      <c r="M26" s="3" t="s">
        <v>111</v>
      </c>
      <c r="N26" s="3">
        <v>10.0</v>
      </c>
      <c r="O26" s="3">
        <v>-15.3597</v>
      </c>
      <c r="P26" s="3">
        <v>166.385</v>
      </c>
      <c r="Q26" s="3" t="s">
        <v>185</v>
      </c>
      <c r="R26" s="4"/>
      <c r="S26" s="4"/>
      <c r="T26" s="16">
        <f t="shared" si="1"/>
        <v>44987.75278</v>
      </c>
      <c r="U26" s="4" t="b">
        <f t="shared" si="2"/>
        <v>1</v>
      </c>
      <c r="V26" s="4" t="b">
        <f t="shared" si="3"/>
        <v>1</v>
      </c>
      <c r="W26" s="4" t="str">
        <f t="shared" si="8"/>
        <v>Distance/Location</v>
      </c>
      <c r="X26" s="4" t="str">
        <f t="shared" si="4"/>
        <v>mww</v>
      </c>
      <c r="Y26" s="4">
        <f t="shared" si="5"/>
        <v>1</v>
      </c>
      <c r="Z26" s="4" t="str">
        <f t="shared" si="6"/>
        <v>Unique</v>
      </c>
      <c r="AA26" s="4" t="str">
        <f t="shared" si="7"/>
        <v>Valid</v>
      </c>
    </row>
    <row r="27">
      <c r="A27" s="3" t="s">
        <v>186</v>
      </c>
      <c r="B27" s="3">
        <v>6.5</v>
      </c>
      <c r="C27" s="17">
        <v>44929.23333333333</v>
      </c>
      <c r="D27" s="3">
        <v>4.0</v>
      </c>
      <c r="E27" s="3">
        <v>2.0</v>
      </c>
      <c r="F27" s="3" t="s">
        <v>109</v>
      </c>
      <c r="G27" s="3">
        <v>1.0</v>
      </c>
      <c r="H27" s="3">
        <v>652.0</v>
      </c>
      <c r="I27" s="3" t="s">
        <v>110</v>
      </c>
      <c r="J27" s="3">
        <v>115.0</v>
      </c>
      <c r="K27" s="3">
        <v>2.739</v>
      </c>
      <c r="L27" s="3">
        <v>20.0</v>
      </c>
      <c r="M27" s="3" t="s">
        <v>111</v>
      </c>
      <c r="N27" s="3">
        <v>598.925</v>
      </c>
      <c r="O27" s="3">
        <v>-4.8138</v>
      </c>
      <c r="P27" s="3">
        <v>149.487</v>
      </c>
      <c r="Q27" s="3" t="s">
        <v>187</v>
      </c>
      <c r="R27" s="4"/>
      <c r="S27" s="3" t="s">
        <v>168</v>
      </c>
      <c r="T27" s="16">
        <f t="shared" si="1"/>
        <v>44986.23333</v>
      </c>
      <c r="U27" s="4" t="b">
        <f t="shared" si="2"/>
        <v>1</v>
      </c>
      <c r="V27" s="4" t="b">
        <f t="shared" si="3"/>
        <v>1</v>
      </c>
      <c r="W27" s="4" t="str">
        <f t="shared" si="8"/>
        <v>Distance/Location</v>
      </c>
      <c r="X27" s="4" t="str">
        <f t="shared" si="4"/>
        <v>mww</v>
      </c>
      <c r="Y27" s="4">
        <f t="shared" si="5"/>
        <v>1</v>
      </c>
      <c r="Z27" s="4" t="str">
        <f t="shared" si="6"/>
        <v>Unique</v>
      </c>
      <c r="AA27" s="4" t="str">
        <f t="shared" si="7"/>
        <v>Valid</v>
      </c>
    </row>
    <row r="28">
      <c r="A28" s="3" t="s">
        <v>188</v>
      </c>
      <c r="B28" s="3">
        <v>6.8</v>
      </c>
      <c r="C28" s="3" t="s">
        <v>189</v>
      </c>
      <c r="D28" s="3">
        <v>9.0</v>
      </c>
      <c r="E28" s="3">
        <v>7.0</v>
      </c>
      <c r="F28" s="3" t="s">
        <v>109</v>
      </c>
      <c r="G28" s="3">
        <v>0.0</v>
      </c>
      <c r="H28" s="3">
        <v>737.0</v>
      </c>
      <c r="I28" s="3" t="s">
        <v>110</v>
      </c>
      <c r="J28" s="3">
        <v>128.0</v>
      </c>
      <c r="K28" s="3">
        <v>1.783</v>
      </c>
      <c r="L28" s="3">
        <v>20.0</v>
      </c>
      <c r="M28" s="3" t="s">
        <v>111</v>
      </c>
      <c r="N28" s="3">
        <v>20.522</v>
      </c>
      <c r="O28" s="3">
        <v>38.0726</v>
      </c>
      <c r="P28" s="3">
        <v>73.2077</v>
      </c>
      <c r="Q28" s="3" t="s">
        <v>190</v>
      </c>
      <c r="R28" s="3" t="s">
        <v>164</v>
      </c>
      <c r="S28" s="3" t="s">
        <v>191</v>
      </c>
      <c r="T28" s="16">
        <f t="shared" si="1"/>
        <v>44980.02569</v>
      </c>
      <c r="U28" s="4" t="b">
        <f t="shared" si="2"/>
        <v>1</v>
      </c>
      <c r="V28" s="4" t="b">
        <f t="shared" si="3"/>
        <v>0</v>
      </c>
      <c r="W28" s="4" t="str">
        <f t="shared" si="8"/>
        <v>Distance/Location</v>
      </c>
      <c r="X28" s="4" t="str">
        <f t="shared" si="4"/>
        <v>mww</v>
      </c>
      <c r="Y28" s="4">
        <f t="shared" si="5"/>
        <v>1</v>
      </c>
      <c r="Z28" s="4" t="str">
        <f t="shared" si="6"/>
        <v>Unique</v>
      </c>
      <c r="AA28" s="4" t="str">
        <f t="shared" si="7"/>
        <v>Valid</v>
      </c>
    </row>
    <row r="29">
      <c r="A29" s="3" t="s">
        <v>192</v>
      </c>
      <c r="B29" s="3">
        <v>7.5</v>
      </c>
      <c r="C29" s="17">
        <v>45079.433333333334</v>
      </c>
      <c r="D29" s="3">
        <v>9.0</v>
      </c>
      <c r="E29" s="3">
        <v>9.0</v>
      </c>
      <c r="F29" s="3" t="s">
        <v>178</v>
      </c>
      <c r="G29" s="3">
        <v>0.0</v>
      </c>
      <c r="H29" s="3">
        <v>1411.0</v>
      </c>
      <c r="I29" s="3" t="s">
        <v>110</v>
      </c>
      <c r="J29" s="3">
        <v>135.0</v>
      </c>
      <c r="K29" s="3">
        <v>0.85</v>
      </c>
      <c r="L29" s="3">
        <v>17.0</v>
      </c>
      <c r="M29" s="3" t="s">
        <v>111</v>
      </c>
      <c r="N29" s="3">
        <v>10.0</v>
      </c>
      <c r="O29" s="3">
        <v>38.0235</v>
      </c>
      <c r="P29" s="3">
        <v>37.203</v>
      </c>
      <c r="Q29" s="3" t="s">
        <v>193</v>
      </c>
      <c r="R29" s="3" t="s">
        <v>164</v>
      </c>
      <c r="S29" s="3" t="s">
        <v>194</v>
      </c>
      <c r="T29" s="16">
        <f t="shared" si="1"/>
        <v>44963.43333</v>
      </c>
      <c r="U29" s="4" t="b">
        <f t="shared" si="2"/>
        <v>1</v>
      </c>
      <c r="V29" s="4" t="b">
        <f t="shared" si="3"/>
        <v>1</v>
      </c>
      <c r="W29" s="4" t="str">
        <f t="shared" si="8"/>
        <v>Distance/Location</v>
      </c>
      <c r="X29" s="4" t="str">
        <f t="shared" si="4"/>
        <v>mww</v>
      </c>
      <c r="Y29" s="4">
        <f t="shared" si="5"/>
        <v>1</v>
      </c>
      <c r="Z29" s="4" t="str">
        <f t="shared" si="6"/>
        <v>Unique</v>
      </c>
      <c r="AA29" s="4" t="str">
        <f t="shared" si="7"/>
        <v>Valid</v>
      </c>
    </row>
    <row r="30">
      <c r="A30" s="3" t="s">
        <v>195</v>
      </c>
      <c r="B30" s="3">
        <v>6.7</v>
      </c>
      <c r="C30" s="17">
        <v>45079.061111111114</v>
      </c>
      <c r="D30" s="3">
        <v>9.0</v>
      </c>
      <c r="E30" s="3">
        <v>8.0</v>
      </c>
      <c r="F30" s="3" t="s">
        <v>116</v>
      </c>
      <c r="G30" s="3">
        <v>0.0</v>
      </c>
      <c r="H30" s="3">
        <v>800.0</v>
      </c>
      <c r="I30" s="3" t="s">
        <v>110</v>
      </c>
      <c r="J30" s="3">
        <v>108.0</v>
      </c>
      <c r="K30" s="3">
        <v>0.218</v>
      </c>
      <c r="L30" s="3">
        <v>44.0</v>
      </c>
      <c r="M30" s="3" t="s">
        <v>111</v>
      </c>
      <c r="N30" s="3">
        <v>14.497</v>
      </c>
      <c r="O30" s="3">
        <v>37.4135</v>
      </c>
      <c r="P30" s="3">
        <v>36.8306</v>
      </c>
      <c r="Q30" s="3" t="s">
        <v>196</v>
      </c>
      <c r="R30" s="3" t="s">
        <v>164</v>
      </c>
      <c r="S30" s="3" t="s">
        <v>194</v>
      </c>
      <c r="T30" s="16">
        <f t="shared" si="1"/>
        <v>44963.06111</v>
      </c>
      <c r="U30" s="4" t="b">
        <f t="shared" si="2"/>
        <v>1</v>
      </c>
      <c r="V30" s="4" t="b">
        <f t="shared" si="3"/>
        <v>1</v>
      </c>
      <c r="W30" s="4" t="str">
        <f t="shared" si="8"/>
        <v>Distance/Location</v>
      </c>
      <c r="X30" s="4" t="str">
        <f t="shared" si="4"/>
        <v>mww</v>
      </c>
      <c r="Y30" s="4">
        <f t="shared" si="5"/>
        <v>1</v>
      </c>
      <c r="Z30" s="4" t="str">
        <f t="shared" si="6"/>
        <v>Unique</v>
      </c>
      <c r="AA30" s="4" t="str">
        <f t="shared" si="7"/>
        <v>Valid</v>
      </c>
    </row>
    <row r="31">
      <c r="A31" s="3" t="s">
        <v>197</v>
      </c>
      <c r="B31" s="3">
        <v>7.8</v>
      </c>
      <c r="C31" s="17">
        <v>45079.05347222222</v>
      </c>
      <c r="D31" s="3">
        <v>9.0</v>
      </c>
      <c r="E31" s="3">
        <v>9.0</v>
      </c>
      <c r="F31" s="3" t="s">
        <v>198</v>
      </c>
      <c r="G31" s="3">
        <v>0.0</v>
      </c>
      <c r="H31" s="3">
        <v>2910.0</v>
      </c>
      <c r="I31" s="3" t="s">
        <v>110</v>
      </c>
      <c r="J31" s="3">
        <v>118.0</v>
      </c>
      <c r="K31" s="3">
        <v>1.919</v>
      </c>
      <c r="L31" s="3">
        <v>32.0</v>
      </c>
      <c r="M31" s="3" t="s">
        <v>111</v>
      </c>
      <c r="N31" s="3">
        <v>17.925</v>
      </c>
      <c r="O31" s="3">
        <v>37.2012</v>
      </c>
      <c r="P31" s="3">
        <v>36.9997</v>
      </c>
      <c r="Q31" s="3" t="s">
        <v>199</v>
      </c>
      <c r="R31" s="3" t="s">
        <v>164</v>
      </c>
      <c r="S31" s="3" t="s">
        <v>194</v>
      </c>
      <c r="T31" s="16">
        <f t="shared" si="1"/>
        <v>44963.05347</v>
      </c>
      <c r="U31" s="4" t="b">
        <f t="shared" si="2"/>
        <v>1</v>
      </c>
      <c r="V31" s="4" t="b">
        <f t="shared" si="3"/>
        <v>1</v>
      </c>
      <c r="W31" s="4" t="str">
        <f t="shared" si="8"/>
        <v>Named Region</v>
      </c>
      <c r="X31" s="4" t="str">
        <f t="shared" si="4"/>
        <v>mww</v>
      </c>
      <c r="Y31" s="4">
        <f t="shared" si="5"/>
        <v>1</v>
      </c>
      <c r="Z31" s="4" t="str">
        <f t="shared" si="6"/>
        <v>Unique</v>
      </c>
      <c r="AA31" s="4" t="str">
        <f t="shared" si="7"/>
        <v>Valid</v>
      </c>
    </row>
    <row r="32">
      <c r="A32" s="3" t="s">
        <v>200</v>
      </c>
      <c r="B32" s="3">
        <v>6.8</v>
      </c>
      <c r="C32" s="3" t="s">
        <v>201</v>
      </c>
      <c r="D32" s="3">
        <v>4.0</v>
      </c>
      <c r="E32" s="3">
        <v>3.0</v>
      </c>
      <c r="F32" s="3" t="s">
        <v>109</v>
      </c>
      <c r="G32" s="3">
        <v>0.0</v>
      </c>
      <c r="H32" s="3">
        <v>718.0</v>
      </c>
      <c r="I32" s="3" t="s">
        <v>110</v>
      </c>
      <c r="J32" s="3">
        <v>60.0</v>
      </c>
      <c r="K32" s="3">
        <v>5.129</v>
      </c>
      <c r="L32" s="3">
        <v>61.0</v>
      </c>
      <c r="M32" s="3" t="s">
        <v>111</v>
      </c>
      <c r="N32" s="3">
        <v>610.671</v>
      </c>
      <c r="O32" s="3">
        <v>-26.7209</v>
      </c>
      <c r="P32" s="3">
        <v>-63.0394</v>
      </c>
      <c r="Q32" s="4"/>
      <c r="R32" s="3" t="s">
        <v>121</v>
      </c>
      <c r="S32" s="3" t="s">
        <v>122</v>
      </c>
      <c r="T32" s="16">
        <f t="shared" si="1"/>
        <v>44946.92292</v>
      </c>
      <c r="U32" s="4" t="b">
        <f t="shared" si="2"/>
        <v>1</v>
      </c>
      <c r="V32" s="4" t="b">
        <f t="shared" si="3"/>
        <v>0</v>
      </c>
      <c r="W32" s="4" t="str">
        <f t="shared" si="8"/>
        <v>Named Region</v>
      </c>
      <c r="X32" s="4" t="str">
        <f t="shared" si="4"/>
        <v>mww</v>
      </c>
      <c r="Y32" s="4">
        <f t="shared" si="5"/>
        <v>1</v>
      </c>
      <c r="Z32" s="4" t="str">
        <f t="shared" si="6"/>
        <v>Unique</v>
      </c>
      <c r="AA32" s="4" t="str">
        <f t="shared" si="7"/>
        <v>Valid</v>
      </c>
    </row>
    <row r="33">
      <c r="A33" s="3" t="s">
        <v>202</v>
      </c>
      <c r="B33" s="3">
        <v>7.0</v>
      </c>
      <c r="C33" s="3" t="s">
        <v>203</v>
      </c>
      <c r="D33" s="3">
        <v>3.0</v>
      </c>
      <c r="E33" s="3">
        <v>5.0</v>
      </c>
      <c r="F33" s="3" t="s">
        <v>109</v>
      </c>
      <c r="G33" s="3">
        <v>1.0</v>
      </c>
      <c r="H33" s="3">
        <v>756.0</v>
      </c>
      <c r="I33" s="3" t="s">
        <v>110</v>
      </c>
      <c r="J33" s="3">
        <v>130.0</v>
      </c>
      <c r="K33" s="3">
        <v>1.974</v>
      </c>
      <c r="L33" s="3">
        <v>17.0</v>
      </c>
      <c r="M33" s="3" t="s">
        <v>204</v>
      </c>
      <c r="N33" s="3">
        <v>28.566</v>
      </c>
      <c r="O33" s="3">
        <v>2.7401</v>
      </c>
      <c r="P33" s="3">
        <v>127.051</v>
      </c>
      <c r="Q33" s="3" t="s">
        <v>205</v>
      </c>
      <c r="R33" s="4"/>
      <c r="S33" s="3" t="s">
        <v>153</v>
      </c>
      <c r="T33" s="16">
        <f t="shared" si="1"/>
        <v>44944.25417</v>
      </c>
      <c r="U33" s="4" t="b">
        <f t="shared" si="2"/>
        <v>1</v>
      </c>
      <c r="V33" s="4" t="b">
        <f t="shared" si="3"/>
        <v>0</v>
      </c>
      <c r="W33" s="4" t="str">
        <f t="shared" si="8"/>
        <v>Distance/Location</v>
      </c>
      <c r="X33" s="4" t="str">
        <f t="shared" si="4"/>
        <v>mwc</v>
      </c>
      <c r="Y33" s="4">
        <f t="shared" si="5"/>
        <v>1</v>
      </c>
      <c r="Z33" s="4" t="str">
        <f t="shared" si="6"/>
        <v>Unique</v>
      </c>
      <c r="AA33" s="4" t="str">
        <f t="shared" si="7"/>
        <v>Valid</v>
      </c>
    </row>
    <row r="34">
      <c r="A34" s="3" t="s">
        <v>206</v>
      </c>
      <c r="B34" s="3">
        <v>7.6</v>
      </c>
      <c r="C34" s="17">
        <v>45170.74097222222</v>
      </c>
      <c r="D34" s="3">
        <v>5.0</v>
      </c>
      <c r="E34" s="3">
        <v>7.0</v>
      </c>
      <c r="F34" s="3" t="s">
        <v>109</v>
      </c>
      <c r="G34" s="3">
        <v>0.0</v>
      </c>
      <c r="H34" s="3">
        <v>957.0</v>
      </c>
      <c r="I34" s="3" t="s">
        <v>110</v>
      </c>
      <c r="J34" s="3">
        <v>114.0</v>
      </c>
      <c r="K34" s="3">
        <v>1.575</v>
      </c>
      <c r="L34" s="3">
        <v>21.0</v>
      </c>
      <c r="M34" s="3" t="s">
        <v>111</v>
      </c>
      <c r="N34" s="3">
        <v>105.249</v>
      </c>
      <c r="O34" s="3">
        <v>-7.0852</v>
      </c>
      <c r="P34" s="3">
        <v>130.039</v>
      </c>
      <c r="Q34" s="3" t="s">
        <v>207</v>
      </c>
      <c r="R34" s="4"/>
      <c r="S34" s="3" t="s">
        <v>153</v>
      </c>
      <c r="T34" s="16">
        <f t="shared" si="1"/>
        <v>44935.74097</v>
      </c>
      <c r="U34" s="4" t="b">
        <f t="shared" si="2"/>
        <v>1</v>
      </c>
      <c r="V34" s="4" t="b">
        <f t="shared" si="3"/>
        <v>1</v>
      </c>
      <c r="W34" s="4" t="str">
        <f t="shared" si="8"/>
        <v>Named Region</v>
      </c>
      <c r="X34" s="4" t="str">
        <f t="shared" si="4"/>
        <v>mww</v>
      </c>
      <c r="Y34" s="4">
        <f t="shared" si="5"/>
        <v>1</v>
      </c>
      <c r="Z34" s="4" t="str">
        <f t="shared" si="6"/>
        <v>Unique</v>
      </c>
      <c r="AA34" s="4" t="str">
        <f t="shared" si="7"/>
        <v>Valid</v>
      </c>
    </row>
    <row r="35">
      <c r="A35" s="3" t="s">
        <v>208</v>
      </c>
      <c r="B35" s="3">
        <v>7.0</v>
      </c>
      <c r="C35" s="17">
        <v>45139.52222222222</v>
      </c>
      <c r="D35" s="3">
        <v>8.0</v>
      </c>
      <c r="E35" s="3">
        <v>7.0</v>
      </c>
      <c r="F35" s="3" t="s">
        <v>109</v>
      </c>
      <c r="G35" s="3">
        <v>1.0</v>
      </c>
      <c r="H35" s="3">
        <v>768.0</v>
      </c>
      <c r="I35" s="3" t="s">
        <v>110</v>
      </c>
      <c r="J35" s="3">
        <v>116.0</v>
      </c>
      <c r="K35" s="3">
        <v>6.096</v>
      </c>
      <c r="L35" s="3">
        <v>36.0</v>
      </c>
      <c r="M35" s="3" t="s">
        <v>111</v>
      </c>
      <c r="N35" s="3">
        <v>29.0</v>
      </c>
      <c r="O35" s="3">
        <v>-14.9383</v>
      </c>
      <c r="P35" s="3">
        <v>166.878</v>
      </c>
      <c r="Q35" s="3" t="s">
        <v>113</v>
      </c>
      <c r="R35" s="4"/>
      <c r="S35" s="3" t="s">
        <v>113</v>
      </c>
      <c r="T35" s="16">
        <f t="shared" si="1"/>
        <v>44934.52222</v>
      </c>
      <c r="U35" s="4" t="b">
        <f t="shared" si="2"/>
        <v>1</v>
      </c>
      <c r="V35" s="4" t="b">
        <f t="shared" si="3"/>
        <v>1</v>
      </c>
      <c r="W35" s="4" t="str">
        <f t="shared" si="8"/>
        <v>Named Region</v>
      </c>
      <c r="X35" s="4" t="str">
        <f t="shared" si="4"/>
        <v>mww</v>
      </c>
      <c r="Y35" s="4">
        <f t="shared" si="5"/>
        <v>1</v>
      </c>
      <c r="Z35" s="4" t="str">
        <f t="shared" si="6"/>
        <v>Unique</v>
      </c>
      <c r="AA35" s="4" t="str">
        <f t="shared" si="7"/>
        <v>Valid</v>
      </c>
    </row>
    <row r="36">
      <c r="A36" s="3" t="s">
        <v>209</v>
      </c>
      <c r="B36" s="3">
        <v>6.8</v>
      </c>
      <c r="C36" s="17">
        <v>44663.808333333334</v>
      </c>
      <c r="D36" s="3">
        <v>5.0</v>
      </c>
      <c r="E36" s="3">
        <v>5.0</v>
      </c>
      <c r="F36" s="3" t="s">
        <v>109</v>
      </c>
      <c r="G36" s="3">
        <v>1.0</v>
      </c>
      <c r="H36" s="3">
        <v>720.0</v>
      </c>
      <c r="I36" s="3" t="s">
        <v>110</v>
      </c>
      <c r="J36" s="3">
        <v>152.0</v>
      </c>
      <c r="K36" s="3">
        <v>2.587</v>
      </c>
      <c r="L36" s="3">
        <v>26.0</v>
      </c>
      <c r="M36" s="3" t="s">
        <v>111</v>
      </c>
      <c r="N36" s="3">
        <v>38.0</v>
      </c>
      <c r="O36" s="3">
        <v>-15.3983</v>
      </c>
      <c r="P36" s="3">
        <v>-172.968</v>
      </c>
      <c r="Q36" s="3" t="s">
        <v>147</v>
      </c>
      <c r="R36" s="4"/>
      <c r="S36" s="4"/>
      <c r="T36" s="16">
        <f t="shared" si="1"/>
        <v>44899.80833</v>
      </c>
      <c r="U36" s="4" t="b">
        <f t="shared" si="2"/>
        <v>1</v>
      </c>
      <c r="V36" s="4" t="b">
        <f t="shared" si="3"/>
        <v>1</v>
      </c>
      <c r="W36" s="4" t="str">
        <f t="shared" si="8"/>
        <v>Distance/Location</v>
      </c>
      <c r="X36" s="4" t="str">
        <f t="shared" si="4"/>
        <v>mww</v>
      </c>
      <c r="Y36" s="4">
        <f t="shared" si="5"/>
        <v>1</v>
      </c>
      <c r="Z36" s="4" t="str">
        <f t="shared" si="6"/>
        <v>Unique</v>
      </c>
      <c r="AA36" s="4" t="str">
        <f t="shared" si="7"/>
        <v>Valid</v>
      </c>
    </row>
    <row r="37">
      <c r="A37" s="3" t="s">
        <v>210</v>
      </c>
      <c r="B37" s="3">
        <v>7.0</v>
      </c>
      <c r="C37" s="3" t="s">
        <v>211</v>
      </c>
      <c r="D37" s="3">
        <v>8.0</v>
      </c>
      <c r="E37" s="3">
        <v>7.0</v>
      </c>
      <c r="F37" s="3" t="s">
        <v>109</v>
      </c>
      <c r="G37" s="3">
        <v>1.0</v>
      </c>
      <c r="H37" s="3">
        <v>768.0</v>
      </c>
      <c r="I37" s="3" t="s">
        <v>110</v>
      </c>
      <c r="J37" s="3">
        <v>117.0</v>
      </c>
      <c r="K37" s="3">
        <v>0.509</v>
      </c>
      <c r="L37" s="3">
        <v>17.0</v>
      </c>
      <c r="M37" s="3" t="s">
        <v>111</v>
      </c>
      <c r="N37" s="3">
        <v>14.0</v>
      </c>
      <c r="O37" s="3">
        <v>-9.7963</v>
      </c>
      <c r="P37" s="3">
        <v>159.596</v>
      </c>
      <c r="Q37" s="3" t="s">
        <v>212</v>
      </c>
      <c r="R37" s="3" t="s">
        <v>213</v>
      </c>
      <c r="S37" s="3" t="s">
        <v>214</v>
      </c>
      <c r="T37" s="16">
        <f t="shared" si="1"/>
        <v>44887.08542</v>
      </c>
      <c r="U37" s="4" t="b">
        <f t="shared" si="2"/>
        <v>1</v>
      </c>
      <c r="V37" s="4" t="b">
        <f t="shared" si="3"/>
        <v>0</v>
      </c>
      <c r="W37" s="4" t="str">
        <f t="shared" si="8"/>
        <v>Distance/Location</v>
      </c>
      <c r="X37" s="4" t="str">
        <f t="shared" si="4"/>
        <v>mww</v>
      </c>
      <c r="Y37" s="4">
        <f t="shared" si="5"/>
        <v>1</v>
      </c>
      <c r="Z37" s="4" t="str">
        <f t="shared" si="6"/>
        <v>Unique</v>
      </c>
      <c r="AA37" s="4" t="str">
        <f t="shared" si="7"/>
        <v>Valid</v>
      </c>
    </row>
    <row r="38">
      <c r="A38" s="3" t="s">
        <v>215</v>
      </c>
      <c r="B38" s="3">
        <v>6.9</v>
      </c>
      <c r="C38" s="3" t="s">
        <v>216</v>
      </c>
      <c r="D38" s="3">
        <v>4.0</v>
      </c>
      <c r="E38" s="3">
        <v>4.0</v>
      </c>
      <c r="F38" s="3" t="s">
        <v>109</v>
      </c>
      <c r="G38" s="3">
        <v>0.0</v>
      </c>
      <c r="H38" s="3">
        <v>735.0</v>
      </c>
      <c r="I38" s="3" t="s">
        <v>110</v>
      </c>
      <c r="J38" s="3">
        <v>99.0</v>
      </c>
      <c r="K38" s="3">
        <v>2.229</v>
      </c>
      <c r="L38" s="3">
        <v>34.0</v>
      </c>
      <c r="M38" s="3" t="s">
        <v>111</v>
      </c>
      <c r="N38" s="3">
        <v>25.0</v>
      </c>
      <c r="O38" s="3">
        <v>-4.9559</v>
      </c>
      <c r="P38" s="3">
        <v>100.738</v>
      </c>
      <c r="Q38" s="3" t="s">
        <v>217</v>
      </c>
      <c r="R38" s="4"/>
      <c r="S38" s="4"/>
      <c r="T38" s="16">
        <f t="shared" si="1"/>
        <v>44883.56736</v>
      </c>
      <c r="U38" s="4" t="b">
        <f t="shared" si="2"/>
        <v>1</v>
      </c>
      <c r="V38" s="4" t="b">
        <f t="shared" si="3"/>
        <v>0</v>
      </c>
      <c r="W38" s="4" t="str">
        <f t="shared" si="8"/>
        <v>Distance/Location</v>
      </c>
      <c r="X38" s="4" t="str">
        <f t="shared" si="4"/>
        <v>mww</v>
      </c>
      <c r="Y38" s="4">
        <f t="shared" si="5"/>
        <v>1</v>
      </c>
      <c r="Z38" s="4" t="str">
        <f t="shared" si="6"/>
        <v>Unique</v>
      </c>
      <c r="AA38" s="4" t="str">
        <f t="shared" si="7"/>
        <v>Valid</v>
      </c>
    </row>
    <row r="39">
      <c r="A39" s="3" t="s">
        <v>218</v>
      </c>
      <c r="B39" s="3">
        <v>7.0</v>
      </c>
      <c r="C39" s="18">
        <v>44906.29791666667</v>
      </c>
      <c r="D39" s="3">
        <v>3.0</v>
      </c>
      <c r="E39" s="3">
        <v>3.0</v>
      </c>
      <c r="F39" s="3" t="s">
        <v>109</v>
      </c>
      <c r="G39" s="3">
        <v>1.0</v>
      </c>
      <c r="H39" s="3">
        <v>755.0</v>
      </c>
      <c r="I39" s="3" t="s">
        <v>110</v>
      </c>
      <c r="J39" s="3">
        <v>147.0</v>
      </c>
      <c r="K39" s="3">
        <v>3.125</v>
      </c>
      <c r="L39" s="3">
        <v>18.0</v>
      </c>
      <c r="M39" s="3" t="s">
        <v>111</v>
      </c>
      <c r="N39" s="3">
        <v>579.0</v>
      </c>
      <c r="O39" s="3">
        <v>-20.0508</v>
      </c>
      <c r="P39" s="3">
        <v>-178.346</v>
      </c>
      <c r="Q39" s="4"/>
      <c r="R39" s="3" t="s">
        <v>213</v>
      </c>
      <c r="S39" s="3" t="s">
        <v>219</v>
      </c>
      <c r="T39" s="16">
        <f t="shared" si="1"/>
        <v>44877.29792</v>
      </c>
      <c r="U39" s="4" t="b">
        <f t="shared" si="2"/>
        <v>1</v>
      </c>
      <c r="V39" s="4" t="b">
        <f t="shared" si="3"/>
        <v>1</v>
      </c>
      <c r="W39" s="4" t="str">
        <f t="shared" si="8"/>
        <v>Named Region</v>
      </c>
      <c r="X39" s="4" t="str">
        <f t="shared" si="4"/>
        <v>mww</v>
      </c>
      <c r="Y39" s="4">
        <f t="shared" si="5"/>
        <v>1</v>
      </c>
      <c r="Z39" s="4" t="str">
        <f t="shared" si="6"/>
        <v>Unique</v>
      </c>
      <c r="AA39" s="4" t="str">
        <f t="shared" si="7"/>
        <v>Valid</v>
      </c>
    </row>
    <row r="40">
      <c r="A40" s="3" t="s">
        <v>220</v>
      </c>
      <c r="B40" s="3">
        <v>7.3</v>
      </c>
      <c r="C40" s="18">
        <v>44876.45</v>
      </c>
      <c r="D40" s="3">
        <v>5.0</v>
      </c>
      <c r="E40" s="3">
        <v>5.0</v>
      </c>
      <c r="F40" s="3" t="s">
        <v>109</v>
      </c>
      <c r="G40" s="3">
        <v>1.0</v>
      </c>
      <c r="H40" s="3">
        <v>833.0</v>
      </c>
      <c r="I40" s="3" t="s">
        <v>110</v>
      </c>
      <c r="J40" s="3">
        <v>149.0</v>
      </c>
      <c r="K40" s="3">
        <v>1.865</v>
      </c>
      <c r="L40" s="3">
        <v>21.0</v>
      </c>
      <c r="M40" s="3" t="s">
        <v>111</v>
      </c>
      <c r="N40" s="3">
        <v>37.0</v>
      </c>
      <c r="O40" s="3">
        <v>-19.2918</v>
      </c>
      <c r="P40" s="3">
        <v>-172.129</v>
      </c>
      <c r="Q40" s="3" t="s">
        <v>221</v>
      </c>
      <c r="R40" s="4"/>
      <c r="S40" s="4"/>
      <c r="T40" s="16">
        <f t="shared" si="1"/>
        <v>44876.45</v>
      </c>
      <c r="U40" s="4" t="b">
        <f t="shared" si="2"/>
        <v>1</v>
      </c>
      <c r="V40" s="4" t="b">
        <f t="shared" si="3"/>
        <v>1</v>
      </c>
      <c r="W40" s="4" t="str">
        <f t="shared" si="8"/>
        <v>Distance/Location</v>
      </c>
      <c r="X40" s="4" t="str">
        <f t="shared" si="4"/>
        <v>mww</v>
      </c>
      <c r="Y40" s="4">
        <f t="shared" si="5"/>
        <v>1</v>
      </c>
      <c r="Z40" s="4" t="str">
        <f t="shared" si="6"/>
        <v>Unique</v>
      </c>
      <c r="AA40" s="4" t="str">
        <f t="shared" si="7"/>
        <v>Valid</v>
      </c>
    </row>
    <row r="41">
      <c r="A41" s="3" t="s">
        <v>222</v>
      </c>
      <c r="B41" s="3">
        <v>6.6</v>
      </c>
      <c r="C41" s="17">
        <v>44815.42638888889</v>
      </c>
      <c r="D41" s="3">
        <v>0.0</v>
      </c>
      <c r="E41" s="3">
        <v>2.0</v>
      </c>
      <c r="F41" s="3" t="s">
        <v>109</v>
      </c>
      <c r="G41" s="3">
        <v>1.0</v>
      </c>
      <c r="H41" s="3">
        <v>670.0</v>
      </c>
      <c r="I41" s="3" t="s">
        <v>110</v>
      </c>
      <c r="J41" s="3">
        <v>131.0</v>
      </c>
      <c r="K41" s="3">
        <v>4.998</v>
      </c>
      <c r="L41" s="3">
        <v>27.0</v>
      </c>
      <c r="M41" s="3" t="s">
        <v>111</v>
      </c>
      <c r="N41" s="3">
        <v>624.464</v>
      </c>
      <c r="O41" s="3">
        <v>-25.5948</v>
      </c>
      <c r="P41" s="3">
        <v>178.278</v>
      </c>
      <c r="Q41" s="4"/>
      <c r="R41" s="4"/>
      <c r="S41" s="4"/>
      <c r="T41" s="16">
        <f t="shared" si="1"/>
        <v>44874.42639</v>
      </c>
      <c r="U41" s="4" t="b">
        <f t="shared" si="2"/>
        <v>1</v>
      </c>
      <c r="V41" s="4" t="b">
        <f t="shared" si="3"/>
        <v>1</v>
      </c>
      <c r="W41" s="4" t="str">
        <f t="shared" si="8"/>
        <v>Named Region</v>
      </c>
      <c r="X41" s="4" t="str">
        <f t="shared" si="4"/>
        <v>mww</v>
      </c>
      <c r="Y41" s="4">
        <f t="shared" si="5"/>
        <v>1</v>
      </c>
      <c r="Z41" s="4" t="str">
        <f t="shared" si="6"/>
        <v>Unique</v>
      </c>
      <c r="AA41" s="4" t="str">
        <f t="shared" si="7"/>
        <v>Valid</v>
      </c>
    </row>
    <row r="42">
      <c r="A42" s="3" t="s">
        <v>223</v>
      </c>
      <c r="B42" s="3">
        <v>7.0</v>
      </c>
      <c r="C42" s="17">
        <v>44815.410416666666</v>
      </c>
      <c r="D42" s="3">
        <v>4.0</v>
      </c>
      <c r="E42" s="3">
        <v>3.0</v>
      </c>
      <c r="F42" s="3" t="s">
        <v>109</v>
      </c>
      <c r="G42" s="3">
        <v>1.0</v>
      </c>
      <c r="H42" s="3">
        <v>755.0</v>
      </c>
      <c r="I42" s="3" t="s">
        <v>110</v>
      </c>
      <c r="J42" s="3">
        <v>142.0</v>
      </c>
      <c r="K42" s="3">
        <v>4.578</v>
      </c>
      <c r="L42" s="3">
        <v>26.0</v>
      </c>
      <c r="M42" s="3" t="s">
        <v>224</v>
      </c>
      <c r="N42" s="3">
        <v>660.0</v>
      </c>
      <c r="O42" s="3">
        <v>-26.0442</v>
      </c>
      <c r="P42" s="3">
        <v>178.381</v>
      </c>
      <c r="Q42" s="3" t="s">
        <v>136</v>
      </c>
      <c r="R42" s="4"/>
      <c r="S42" s="4"/>
      <c r="T42" s="16">
        <f t="shared" si="1"/>
        <v>44874.41042</v>
      </c>
      <c r="U42" s="4" t="b">
        <f t="shared" si="2"/>
        <v>1</v>
      </c>
      <c r="V42" s="4" t="b">
        <f t="shared" si="3"/>
        <v>1</v>
      </c>
      <c r="W42" s="4" t="str">
        <f t="shared" si="8"/>
        <v>Named Region</v>
      </c>
      <c r="X42" s="4" t="str">
        <f t="shared" si="4"/>
        <v>mwb</v>
      </c>
      <c r="Y42" s="4">
        <f t="shared" si="5"/>
        <v>1</v>
      </c>
      <c r="Z42" s="4" t="str">
        <f t="shared" si="6"/>
        <v>Unique</v>
      </c>
      <c r="AA42" s="4" t="str">
        <f t="shared" si="7"/>
        <v>Valid</v>
      </c>
    </row>
    <row r="43">
      <c r="A43" s="3" t="s">
        <v>225</v>
      </c>
      <c r="B43" s="3">
        <v>6.8</v>
      </c>
      <c r="C43" s="17">
        <v>44815.40138888889</v>
      </c>
      <c r="D43" s="3">
        <v>1.0</v>
      </c>
      <c r="E43" s="3">
        <v>3.0</v>
      </c>
      <c r="F43" s="3" t="s">
        <v>109</v>
      </c>
      <c r="G43" s="3">
        <v>1.0</v>
      </c>
      <c r="H43" s="3">
        <v>711.0</v>
      </c>
      <c r="I43" s="3" t="s">
        <v>110</v>
      </c>
      <c r="J43" s="3">
        <v>136.0</v>
      </c>
      <c r="K43" s="3">
        <v>4.678</v>
      </c>
      <c r="L43" s="3">
        <v>22.0</v>
      </c>
      <c r="M43" s="3" t="s">
        <v>111</v>
      </c>
      <c r="N43" s="3">
        <v>630.379</v>
      </c>
      <c r="O43" s="3">
        <v>-25.9678</v>
      </c>
      <c r="P43" s="3">
        <v>178.363</v>
      </c>
      <c r="Q43" s="3" t="s">
        <v>136</v>
      </c>
      <c r="R43" s="4"/>
      <c r="S43" s="4"/>
      <c r="T43" s="16">
        <f t="shared" si="1"/>
        <v>44874.40139</v>
      </c>
      <c r="U43" s="4" t="b">
        <f t="shared" si="2"/>
        <v>1</v>
      </c>
      <c r="V43" s="4" t="b">
        <f t="shared" si="3"/>
        <v>1</v>
      </c>
      <c r="W43" s="4" t="str">
        <f t="shared" si="8"/>
        <v>Named Region</v>
      </c>
      <c r="X43" s="4" t="str">
        <f t="shared" si="4"/>
        <v>mww</v>
      </c>
      <c r="Y43" s="4">
        <f t="shared" si="5"/>
        <v>1</v>
      </c>
      <c r="Z43" s="4" t="str">
        <f t="shared" si="6"/>
        <v>Unique</v>
      </c>
      <c r="AA43" s="4" t="str">
        <f t="shared" si="7"/>
        <v>Valid</v>
      </c>
    </row>
    <row r="44">
      <c r="A44" s="3" t="s">
        <v>226</v>
      </c>
      <c r="B44" s="3">
        <v>6.7</v>
      </c>
      <c r="C44" s="3" t="s">
        <v>227</v>
      </c>
      <c r="D44" s="3">
        <v>7.0</v>
      </c>
      <c r="E44" s="3">
        <v>6.0</v>
      </c>
      <c r="F44" s="3" t="s">
        <v>109</v>
      </c>
      <c r="G44" s="3">
        <v>1.0</v>
      </c>
      <c r="H44" s="3">
        <v>797.0</v>
      </c>
      <c r="I44" s="3" t="s">
        <v>110</v>
      </c>
      <c r="J44" s="3">
        <v>145.0</v>
      </c>
      <c r="K44" s="3">
        <v>1.151</v>
      </c>
      <c r="L44" s="3">
        <v>37.0</v>
      </c>
      <c r="M44" s="3" t="s">
        <v>111</v>
      </c>
      <c r="N44" s="3">
        <v>20.0</v>
      </c>
      <c r="O44" s="3">
        <v>7.6712</v>
      </c>
      <c r="P44" s="3">
        <v>-82.3396</v>
      </c>
      <c r="Q44" s="3" t="s">
        <v>228</v>
      </c>
      <c r="R44" s="4"/>
      <c r="S44" s="3" t="s">
        <v>229</v>
      </c>
      <c r="T44" s="16">
        <f t="shared" si="1"/>
        <v>44854.49792</v>
      </c>
      <c r="U44" s="4" t="b">
        <f t="shared" si="2"/>
        <v>1</v>
      </c>
      <c r="V44" s="4" t="b">
        <f t="shared" si="3"/>
        <v>0</v>
      </c>
      <c r="W44" s="4" t="str">
        <f t="shared" si="8"/>
        <v>Distance/Location</v>
      </c>
      <c r="X44" s="4" t="str">
        <f t="shared" si="4"/>
        <v>mww</v>
      </c>
      <c r="Y44" s="4">
        <f t="shared" si="5"/>
        <v>1</v>
      </c>
      <c r="Z44" s="4" t="str">
        <f t="shared" si="6"/>
        <v>Unique</v>
      </c>
      <c r="AA44" s="4" t="str">
        <f t="shared" si="7"/>
        <v>Valid</v>
      </c>
    </row>
    <row r="45">
      <c r="A45" s="3" t="s">
        <v>230</v>
      </c>
      <c r="B45" s="3">
        <v>6.8</v>
      </c>
      <c r="C45" s="3" t="s">
        <v>231</v>
      </c>
      <c r="D45" s="3">
        <v>8.0</v>
      </c>
      <c r="E45" s="3">
        <v>7.0</v>
      </c>
      <c r="F45" s="3" t="s">
        <v>116</v>
      </c>
      <c r="G45" s="3">
        <v>1.0</v>
      </c>
      <c r="H45" s="3">
        <v>1179.0</v>
      </c>
      <c r="I45" s="3" t="s">
        <v>110</v>
      </c>
      <c r="J45" s="3">
        <v>175.0</v>
      </c>
      <c r="K45" s="3">
        <v>2.137</v>
      </c>
      <c r="L45" s="3">
        <v>92.0</v>
      </c>
      <c r="M45" s="3" t="s">
        <v>111</v>
      </c>
      <c r="N45" s="3">
        <v>20.0</v>
      </c>
      <c r="O45" s="3">
        <v>18.33</v>
      </c>
      <c r="P45" s="3">
        <v>-102.913</v>
      </c>
      <c r="Q45" s="3" t="s">
        <v>232</v>
      </c>
      <c r="R45" s="3" t="s">
        <v>233</v>
      </c>
      <c r="S45" s="3" t="s">
        <v>234</v>
      </c>
      <c r="T45" s="16">
        <f t="shared" si="1"/>
        <v>44826.26111</v>
      </c>
      <c r="U45" s="4" t="b">
        <f t="shared" si="2"/>
        <v>1</v>
      </c>
      <c r="V45" s="4" t="b">
        <f t="shared" si="3"/>
        <v>0</v>
      </c>
      <c r="W45" s="4" t="str">
        <f t="shared" si="8"/>
        <v>Distance/Location</v>
      </c>
      <c r="X45" s="4" t="str">
        <f t="shared" si="4"/>
        <v>mww</v>
      </c>
      <c r="Y45" s="4">
        <f t="shared" si="5"/>
        <v>1</v>
      </c>
      <c r="Z45" s="4" t="str">
        <f t="shared" si="6"/>
        <v>Unique</v>
      </c>
      <c r="AA45" s="4" t="str">
        <f t="shared" si="7"/>
        <v>Valid</v>
      </c>
    </row>
    <row r="46">
      <c r="A46" s="3" t="s">
        <v>235</v>
      </c>
      <c r="B46" s="3">
        <v>7.6</v>
      </c>
      <c r="C46" s="3" t="s">
        <v>236</v>
      </c>
      <c r="D46" s="3">
        <v>9.0</v>
      </c>
      <c r="E46" s="3">
        <v>8.0</v>
      </c>
      <c r="F46" s="3" t="s">
        <v>116</v>
      </c>
      <c r="G46" s="3">
        <v>1.0</v>
      </c>
      <c r="H46" s="3">
        <v>1799.0</v>
      </c>
      <c r="I46" s="3" t="s">
        <v>110</v>
      </c>
      <c r="J46" s="3">
        <v>271.0</v>
      </c>
      <c r="K46" s="3">
        <v>1.153</v>
      </c>
      <c r="L46" s="3">
        <v>69.0</v>
      </c>
      <c r="M46" s="3" t="s">
        <v>111</v>
      </c>
      <c r="N46" s="3">
        <v>26.943</v>
      </c>
      <c r="O46" s="3">
        <v>18.3667</v>
      </c>
      <c r="P46" s="3">
        <v>-103.252</v>
      </c>
      <c r="Q46" s="3" t="s">
        <v>232</v>
      </c>
      <c r="R46" s="3" t="s">
        <v>233</v>
      </c>
      <c r="S46" s="3" t="s">
        <v>234</v>
      </c>
      <c r="T46" s="16">
        <f t="shared" si="1"/>
        <v>44823.75347</v>
      </c>
      <c r="U46" s="4" t="b">
        <f t="shared" si="2"/>
        <v>1</v>
      </c>
      <c r="V46" s="4" t="b">
        <f t="shared" si="3"/>
        <v>0</v>
      </c>
      <c r="W46" s="4" t="str">
        <f t="shared" si="8"/>
        <v>Distance/Location</v>
      </c>
      <c r="X46" s="4" t="str">
        <f t="shared" si="4"/>
        <v>mww</v>
      </c>
      <c r="Y46" s="4">
        <f t="shared" si="5"/>
        <v>1</v>
      </c>
      <c r="Z46" s="4" t="str">
        <f t="shared" si="6"/>
        <v>Unique</v>
      </c>
      <c r="AA46" s="4" t="str">
        <f t="shared" si="7"/>
        <v>Valid</v>
      </c>
    </row>
    <row r="47">
      <c r="A47" s="3" t="s">
        <v>237</v>
      </c>
      <c r="B47" s="3">
        <v>6.9</v>
      </c>
      <c r="C47" s="3" t="s">
        <v>238</v>
      </c>
      <c r="D47" s="3">
        <v>9.0</v>
      </c>
      <c r="E47" s="3">
        <v>9.0</v>
      </c>
      <c r="F47" s="3" t="s">
        <v>116</v>
      </c>
      <c r="G47" s="3">
        <v>1.0</v>
      </c>
      <c r="H47" s="3">
        <v>887.0</v>
      </c>
      <c r="I47" s="3" t="s">
        <v>110</v>
      </c>
      <c r="J47" s="3">
        <v>215.0</v>
      </c>
      <c r="K47" s="3">
        <v>0.401</v>
      </c>
      <c r="L47" s="3">
        <v>34.0</v>
      </c>
      <c r="M47" s="3" t="s">
        <v>111</v>
      </c>
      <c r="N47" s="3">
        <v>10.0</v>
      </c>
      <c r="O47" s="3">
        <v>23.1444</v>
      </c>
      <c r="P47" s="3">
        <v>121.307</v>
      </c>
      <c r="Q47" s="3" t="s">
        <v>239</v>
      </c>
      <c r="R47" s="3" t="s">
        <v>164</v>
      </c>
      <c r="S47" s="3" t="s">
        <v>240</v>
      </c>
      <c r="T47" s="16">
        <f t="shared" si="1"/>
        <v>44822.28056</v>
      </c>
      <c r="U47" s="4" t="b">
        <f t="shared" si="2"/>
        <v>1</v>
      </c>
      <c r="V47" s="4" t="b">
        <f t="shared" si="3"/>
        <v>0</v>
      </c>
      <c r="W47" s="4" t="str">
        <f t="shared" si="8"/>
        <v>Distance/Location</v>
      </c>
      <c r="X47" s="4" t="str">
        <f t="shared" si="4"/>
        <v>mww</v>
      </c>
      <c r="Y47" s="4">
        <f t="shared" si="5"/>
        <v>1</v>
      </c>
      <c r="Z47" s="4" t="str">
        <f t="shared" si="6"/>
        <v>Unique</v>
      </c>
      <c r="AA47" s="4" t="str">
        <f t="shared" si="7"/>
        <v>Valid</v>
      </c>
    </row>
    <row r="48">
      <c r="A48" s="3" t="s">
        <v>241</v>
      </c>
      <c r="B48" s="3">
        <v>6.5</v>
      </c>
      <c r="C48" s="3" t="s">
        <v>242</v>
      </c>
      <c r="D48" s="3">
        <v>7.0</v>
      </c>
      <c r="E48" s="3">
        <v>7.0</v>
      </c>
      <c r="F48" s="3" t="s">
        <v>109</v>
      </c>
      <c r="G48" s="3">
        <v>1.0</v>
      </c>
      <c r="H48" s="3">
        <v>756.0</v>
      </c>
      <c r="I48" s="3" t="s">
        <v>110</v>
      </c>
      <c r="J48" s="3">
        <v>178.0</v>
      </c>
      <c r="K48" s="3">
        <v>0.43</v>
      </c>
      <c r="L48" s="3">
        <v>54.0</v>
      </c>
      <c r="M48" s="3" t="s">
        <v>111</v>
      </c>
      <c r="N48" s="3">
        <v>10.0</v>
      </c>
      <c r="O48" s="3">
        <v>23.029</v>
      </c>
      <c r="P48" s="3">
        <v>121.348</v>
      </c>
      <c r="Q48" s="3" t="s">
        <v>243</v>
      </c>
      <c r="R48" s="3" t="s">
        <v>164</v>
      </c>
      <c r="S48" s="3" t="s">
        <v>240</v>
      </c>
      <c r="T48" s="16">
        <f t="shared" si="1"/>
        <v>44821.57014</v>
      </c>
      <c r="U48" s="4" t="b">
        <f t="shared" si="2"/>
        <v>1</v>
      </c>
      <c r="V48" s="4" t="b">
        <f t="shared" si="3"/>
        <v>0</v>
      </c>
      <c r="W48" s="4" t="str">
        <f t="shared" si="8"/>
        <v>Distance/Location</v>
      </c>
      <c r="X48" s="4" t="str">
        <f t="shared" si="4"/>
        <v>mww</v>
      </c>
      <c r="Y48" s="4">
        <f t="shared" si="5"/>
        <v>1</v>
      </c>
      <c r="Z48" s="4" t="str">
        <f t="shared" si="6"/>
        <v>Unique</v>
      </c>
      <c r="AA48" s="4" t="str">
        <f t="shared" si="7"/>
        <v>Valid</v>
      </c>
    </row>
    <row r="49">
      <c r="A49" s="3" t="s">
        <v>244</v>
      </c>
      <c r="B49" s="3">
        <v>7.0</v>
      </c>
      <c r="C49" s="3" t="s">
        <v>245</v>
      </c>
      <c r="D49" s="3">
        <v>7.0</v>
      </c>
      <c r="E49" s="3">
        <v>5.0</v>
      </c>
      <c r="F49" s="3" t="s">
        <v>109</v>
      </c>
      <c r="G49" s="3">
        <v>1.0</v>
      </c>
      <c r="H49" s="3">
        <v>761.0</v>
      </c>
      <c r="I49" s="3" t="s">
        <v>110</v>
      </c>
      <c r="J49" s="3">
        <v>192.0</v>
      </c>
      <c r="K49" s="3">
        <v>2.977</v>
      </c>
      <c r="L49" s="3">
        <v>45.0</v>
      </c>
      <c r="M49" s="3" t="s">
        <v>111</v>
      </c>
      <c r="N49" s="3">
        <v>137.0</v>
      </c>
      <c r="O49" s="3">
        <v>-21.2077</v>
      </c>
      <c r="P49" s="3">
        <v>170.239</v>
      </c>
      <c r="Q49" s="3" t="s">
        <v>246</v>
      </c>
      <c r="R49" s="4"/>
      <c r="S49" s="4"/>
      <c r="T49" s="16">
        <f t="shared" si="1"/>
        <v>44818.46111</v>
      </c>
      <c r="U49" s="4" t="b">
        <f t="shared" si="2"/>
        <v>1</v>
      </c>
      <c r="V49" s="4" t="b">
        <f t="shared" si="3"/>
        <v>0</v>
      </c>
      <c r="W49" s="4" t="str">
        <f t="shared" si="8"/>
        <v>Distance/Location</v>
      </c>
      <c r="X49" s="4" t="str">
        <f t="shared" si="4"/>
        <v>mww</v>
      </c>
      <c r="Y49" s="4">
        <f t="shared" si="5"/>
        <v>1</v>
      </c>
      <c r="Z49" s="4" t="str">
        <f t="shared" si="6"/>
        <v>Unique</v>
      </c>
      <c r="AA49" s="4" t="str">
        <f t="shared" si="7"/>
        <v>Valid</v>
      </c>
    </row>
    <row r="50">
      <c r="A50" s="3" t="s">
        <v>247</v>
      </c>
      <c r="B50" s="3">
        <v>7.6</v>
      </c>
      <c r="C50" s="17">
        <v>44843.99097222222</v>
      </c>
      <c r="D50" s="3">
        <v>8.0</v>
      </c>
      <c r="E50" s="3">
        <v>8.0</v>
      </c>
      <c r="F50" s="3" t="s">
        <v>116</v>
      </c>
      <c r="G50" s="3">
        <v>1.0</v>
      </c>
      <c r="H50" s="3">
        <v>965.0</v>
      </c>
      <c r="I50" s="3" t="s">
        <v>110</v>
      </c>
      <c r="J50" s="3">
        <v>272.0</v>
      </c>
      <c r="K50" s="3">
        <v>3.158</v>
      </c>
      <c r="L50" s="3">
        <v>12.0</v>
      </c>
      <c r="M50" s="3" t="s">
        <v>111</v>
      </c>
      <c r="N50" s="3">
        <v>116.0</v>
      </c>
      <c r="O50" s="3">
        <v>-6.2237</v>
      </c>
      <c r="P50" s="3">
        <v>146.471</v>
      </c>
      <c r="Q50" s="3" t="s">
        <v>248</v>
      </c>
      <c r="R50" s="3" t="s">
        <v>213</v>
      </c>
      <c r="S50" s="3" t="s">
        <v>168</v>
      </c>
      <c r="T50" s="16">
        <f t="shared" si="1"/>
        <v>44814.99097</v>
      </c>
      <c r="U50" s="4" t="b">
        <f t="shared" si="2"/>
        <v>1</v>
      </c>
      <c r="V50" s="4" t="b">
        <f t="shared" si="3"/>
        <v>1</v>
      </c>
      <c r="W50" s="4" t="str">
        <f t="shared" si="8"/>
        <v>Distance/Location</v>
      </c>
      <c r="X50" s="4" t="str">
        <f t="shared" si="4"/>
        <v>mww</v>
      </c>
      <c r="Y50" s="4">
        <f t="shared" si="5"/>
        <v>1</v>
      </c>
      <c r="Z50" s="4" t="str">
        <f t="shared" si="6"/>
        <v>Unique</v>
      </c>
      <c r="AA50" s="4" t="str">
        <f t="shared" si="7"/>
        <v>Valid</v>
      </c>
    </row>
    <row r="51">
      <c r="A51" s="3" t="s">
        <v>249</v>
      </c>
      <c r="B51" s="3">
        <v>6.6</v>
      </c>
      <c r="C51" s="17">
        <v>44690.20277777778</v>
      </c>
      <c r="D51" s="3">
        <v>9.0</v>
      </c>
      <c r="E51" s="3">
        <v>8.0</v>
      </c>
      <c r="F51" s="3" t="s">
        <v>178</v>
      </c>
      <c r="G51" s="3">
        <v>0.0</v>
      </c>
      <c r="H51" s="3">
        <v>1043.0</v>
      </c>
      <c r="I51" s="3" t="s">
        <v>110</v>
      </c>
      <c r="J51" s="3">
        <v>141.0</v>
      </c>
      <c r="K51" s="3">
        <v>8.454</v>
      </c>
      <c r="L51" s="3">
        <v>34.0</v>
      </c>
      <c r="M51" s="3" t="s">
        <v>111</v>
      </c>
      <c r="N51" s="3">
        <v>12.0</v>
      </c>
      <c r="O51" s="3">
        <v>29.7263</v>
      </c>
      <c r="P51" s="3">
        <v>102.279</v>
      </c>
      <c r="Q51" s="3" t="s">
        <v>250</v>
      </c>
      <c r="R51" s="3" t="s">
        <v>164</v>
      </c>
      <c r="S51" s="3" t="s">
        <v>251</v>
      </c>
      <c r="T51" s="16">
        <f t="shared" si="1"/>
        <v>44809.20278</v>
      </c>
      <c r="U51" s="4" t="b">
        <f t="shared" si="2"/>
        <v>1</v>
      </c>
      <c r="V51" s="4" t="b">
        <f t="shared" si="3"/>
        <v>1</v>
      </c>
      <c r="W51" s="4" t="str">
        <f t="shared" si="8"/>
        <v>Distance/Location</v>
      </c>
      <c r="X51" s="4" t="str">
        <f t="shared" si="4"/>
        <v>mww</v>
      </c>
      <c r="Y51" s="4">
        <f t="shared" si="5"/>
        <v>1</v>
      </c>
      <c r="Z51" s="4" t="str">
        <f t="shared" si="6"/>
        <v>Unique</v>
      </c>
      <c r="AA51" s="4" t="str">
        <f t="shared" si="7"/>
        <v>Valid</v>
      </c>
    </row>
    <row r="52">
      <c r="A52" s="3" t="s">
        <v>252</v>
      </c>
      <c r="B52" s="3">
        <v>6.6</v>
      </c>
      <c r="C52" s="3" t="s">
        <v>253</v>
      </c>
      <c r="D52" s="3">
        <v>7.0</v>
      </c>
      <c r="E52" s="3">
        <v>6.0</v>
      </c>
      <c r="F52" s="3" t="s">
        <v>109</v>
      </c>
      <c r="G52" s="3">
        <v>1.0</v>
      </c>
      <c r="H52" s="3">
        <v>672.0</v>
      </c>
      <c r="I52" s="3" t="s">
        <v>110</v>
      </c>
      <c r="J52" s="3">
        <v>68.0</v>
      </c>
      <c r="K52" s="3">
        <v>5.293</v>
      </c>
      <c r="L52" s="3">
        <v>34.0</v>
      </c>
      <c r="M52" s="3" t="s">
        <v>111</v>
      </c>
      <c r="N52" s="3">
        <v>30.0</v>
      </c>
      <c r="O52" s="3">
        <v>-32.6922</v>
      </c>
      <c r="P52" s="3">
        <v>-178.959</v>
      </c>
      <c r="Q52" s="3" t="s">
        <v>254</v>
      </c>
      <c r="R52" s="4"/>
      <c r="S52" s="4"/>
      <c r="T52" s="16">
        <f t="shared" si="1"/>
        <v>44787.57222</v>
      </c>
      <c r="U52" s="4" t="b">
        <f t="shared" si="2"/>
        <v>1</v>
      </c>
      <c r="V52" s="4" t="b">
        <f t="shared" si="3"/>
        <v>0</v>
      </c>
      <c r="W52" s="4" t="str">
        <f t="shared" si="8"/>
        <v>Named Region</v>
      </c>
      <c r="X52" s="4" t="str">
        <f t="shared" si="4"/>
        <v>mww</v>
      </c>
      <c r="Y52" s="4">
        <f t="shared" si="5"/>
        <v>1</v>
      </c>
      <c r="Z52" s="4" t="str">
        <f t="shared" si="6"/>
        <v>Unique</v>
      </c>
      <c r="AA52" s="4" t="str">
        <f t="shared" si="7"/>
        <v>Valid</v>
      </c>
    </row>
    <row r="53">
      <c r="A53" s="3" t="s">
        <v>255</v>
      </c>
      <c r="B53" s="3">
        <v>7.0</v>
      </c>
      <c r="C53" s="3" t="s">
        <v>256</v>
      </c>
      <c r="D53" s="3">
        <v>9.0</v>
      </c>
      <c r="E53" s="3">
        <v>8.0</v>
      </c>
      <c r="F53" s="3" t="s">
        <v>116</v>
      </c>
      <c r="G53" s="3">
        <v>1.0</v>
      </c>
      <c r="H53" s="3">
        <v>1351.0</v>
      </c>
      <c r="I53" s="3" t="s">
        <v>110</v>
      </c>
      <c r="J53" s="3">
        <v>152.0</v>
      </c>
      <c r="K53" s="3">
        <v>5.276</v>
      </c>
      <c r="L53" s="3">
        <v>22.0</v>
      </c>
      <c r="M53" s="3" t="s">
        <v>111</v>
      </c>
      <c r="N53" s="3">
        <v>33.729</v>
      </c>
      <c r="O53" s="3">
        <v>17.5978</v>
      </c>
      <c r="P53" s="3">
        <v>120.809</v>
      </c>
      <c r="Q53" s="3" t="s">
        <v>257</v>
      </c>
      <c r="R53" s="3" t="s">
        <v>164</v>
      </c>
      <c r="S53" s="3" t="s">
        <v>258</v>
      </c>
      <c r="T53" s="16">
        <f t="shared" si="1"/>
        <v>44769.02986</v>
      </c>
      <c r="U53" s="4" t="b">
        <f t="shared" si="2"/>
        <v>1</v>
      </c>
      <c r="V53" s="4" t="b">
        <f t="shared" si="3"/>
        <v>0</v>
      </c>
      <c r="W53" s="4" t="str">
        <f t="shared" si="8"/>
        <v>Distance/Location</v>
      </c>
      <c r="X53" s="4" t="str">
        <f t="shared" si="4"/>
        <v>mww</v>
      </c>
      <c r="Y53" s="4">
        <f t="shared" si="5"/>
        <v>1</v>
      </c>
      <c r="Z53" s="4" t="str">
        <f t="shared" si="6"/>
        <v>Unique</v>
      </c>
      <c r="AA53" s="4" t="str">
        <f t="shared" si="7"/>
        <v>Valid</v>
      </c>
    </row>
    <row r="54">
      <c r="A54" s="3" t="s">
        <v>259</v>
      </c>
      <c r="B54" s="3">
        <v>6.5</v>
      </c>
      <c r="C54" s="17">
        <v>44779.038194444445</v>
      </c>
      <c r="D54" s="3">
        <v>3.0</v>
      </c>
      <c r="E54" s="3">
        <v>2.0</v>
      </c>
      <c r="F54" s="3" t="s">
        <v>109</v>
      </c>
      <c r="G54" s="3">
        <v>0.0</v>
      </c>
      <c r="H54" s="3">
        <v>653.0</v>
      </c>
      <c r="I54" s="3" t="s">
        <v>110</v>
      </c>
      <c r="J54" s="3">
        <v>236.0</v>
      </c>
      <c r="K54" s="3">
        <v>1.999</v>
      </c>
      <c r="L54" s="3">
        <v>31.0</v>
      </c>
      <c r="M54" s="3" t="s">
        <v>111</v>
      </c>
      <c r="N54" s="3">
        <v>622.73</v>
      </c>
      <c r="O54" s="3">
        <v>-9.0618</v>
      </c>
      <c r="P54" s="3">
        <v>-71.1647</v>
      </c>
      <c r="Q54" s="3" t="s">
        <v>260</v>
      </c>
      <c r="R54" s="3" t="s">
        <v>121</v>
      </c>
      <c r="S54" s="3" t="s">
        <v>261</v>
      </c>
      <c r="T54" s="16">
        <f t="shared" si="1"/>
        <v>44720.03819</v>
      </c>
      <c r="U54" s="4" t="b">
        <f t="shared" si="2"/>
        <v>1</v>
      </c>
      <c r="V54" s="4" t="b">
        <f t="shared" si="3"/>
        <v>1</v>
      </c>
      <c r="W54" s="4" t="str">
        <f t="shared" si="8"/>
        <v>Distance/Location</v>
      </c>
      <c r="X54" s="4" t="str">
        <f t="shared" si="4"/>
        <v>mww</v>
      </c>
      <c r="Y54" s="4">
        <f t="shared" si="5"/>
        <v>1</v>
      </c>
      <c r="Z54" s="4" t="str">
        <f t="shared" si="6"/>
        <v>Unique</v>
      </c>
      <c r="AA54" s="4" t="str">
        <f t="shared" si="7"/>
        <v>Valid</v>
      </c>
    </row>
    <row r="55">
      <c r="A55" s="3" t="s">
        <v>262</v>
      </c>
      <c r="B55" s="3">
        <v>7.2</v>
      </c>
      <c r="C55" s="3" t="s">
        <v>263</v>
      </c>
      <c r="D55" s="3">
        <v>7.0</v>
      </c>
      <c r="E55" s="3">
        <v>5.0</v>
      </c>
      <c r="F55" s="3" t="s">
        <v>109</v>
      </c>
      <c r="G55" s="3">
        <v>1.0</v>
      </c>
      <c r="H55" s="3">
        <v>876.0</v>
      </c>
      <c r="I55" s="3" t="s">
        <v>110</v>
      </c>
      <c r="J55" s="3">
        <v>144.0</v>
      </c>
      <c r="K55" s="3">
        <v>2.494</v>
      </c>
      <c r="L55" s="3">
        <v>40.0</v>
      </c>
      <c r="M55" s="3" t="s">
        <v>111</v>
      </c>
      <c r="N55" s="3">
        <v>236.0</v>
      </c>
      <c r="O55" s="3">
        <v>-14.8628</v>
      </c>
      <c r="P55" s="3">
        <v>-70.3081</v>
      </c>
      <c r="Q55" s="3" t="s">
        <v>264</v>
      </c>
      <c r="R55" s="3" t="s">
        <v>121</v>
      </c>
      <c r="S55" s="3" t="s">
        <v>265</v>
      </c>
      <c r="T55" s="16">
        <f t="shared" si="1"/>
        <v>44707.50139</v>
      </c>
      <c r="U55" s="4" t="b">
        <f t="shared" si="2"/>
        <v>1</v>
      </c>
      <c r="V55" s="4" t="b">
        <f t="shared" si="3"/>
        <v>0</v>
      </c>
      <c r="W55" s="4" t="str">
        <f t="shared" si="8"/>
        <v>Distance/Location</v>
      </c>
      <c r="X55" s="4" t="str">
        <f t="shared" si="4"/>
        <v>mww</v>
      </c>
      <c r="Y55" s="4">
        <f t="shared" si="5"/>
        <v>1</v>
      </c>
      <c r="Z55" s="4" t="str">
        <f t="shared" si="6"/>
        <v>Unique</v>
      </c>
      <c r="AA55" s="4" t="str">
        <f t="shared" si="7"/>
        <v>Valid</v>
      </c>
    </row>
    <row r="56">
      <c r="A56" s="3" t="s">
        <v>266</v>
      </c>
      <c r="B56" s="3">
        <v>6.9</v>
      </c>
      <c r="C56" s="3" t="s">
        <v>267</v>
      </c>
      <c r="D56" s="3">
        <v>2.0</v>
      </c>
      <c r="E56" s="3">
        <v>5.0</v>
      </c>
      <c r="F56" s="3" t="s">
        <v>109</v>
      </c>
      <c r="G56" s="3">
        <v>1.0</v>
      </c>
      <c r="H56" s="3">
        <v>733.0</v>
      </c>
      <c r="I56" s="3" t="s">
        <v>110</v>
      </c>
      <c r="J56" s="3">
        <v>127.0</v>
      </c>
      <c r="K56" s="3">
        <v>0.371</v>
      </c>
      <c r="L56" s="3">
        <v>45.0</v>
      </c>
      <c r="M56" s="3" t="s">
        <v>111</v>
      </c>
      <c r="N56" s="3">
        <v>10.0</v>
      </c>
      <c r="O56" s="3">
        <v>-54.1325</v>
      </c>
      <c r="P56" s="3">
        <v>159.027</v>
      </c>
      <c r="Q56" s="4"/>
      <c r="R56" s="4"/>
      <c r="S56" s="4"/>
      <c r="T56" s="16">
        <f t="shared" si="1"/>
        <v>44700.42569</v>
      </c>
      <c r="U56" s="4" t="b">
        <f t="shared" si="2"/>
        <v>1</v>
      </c>
      <c r="V56" s="4" t="b">
        <f t="shared" si="3"/>
        <v>0</v>
      </c>
      <c r="W56" s="4" t="str">
        <f t="shared" si="8"/>
        <v>Named Region</v>
      </c>
      <c r="X56" s="4" t="str">
        <f t="shared" si="4"/>
        <v>mww</v>
      </c>
      <c r="Y56" s="4">
        <f t="shared" si="5"/>
        <v>1</v>
      </c>
      <c r="Z56" s="4" t="str">
        <f t="shared" si="6"/>
        <v>Unique</v>
      </c>
      <c r="AA56" s="4" t="str">
        <f t="shared" si="7"/>
        <v>Valid</v>
      </c>
    </row>
    <row r="57">
      <c r="A57" s="3" t="s">
        <v>268</v>
      </c>
      <c r="B57" s="3">
        <v>6.8</v>
      </c>
      <c r="C57" s="17">
        <v>44839.9625</v>
      </c>
      <c r="D57" s="3">
        <v>6.0</v>
      </c>
      <c r="E57" s="3">
        <v>5.0</v>
      </c>
      <c r="F57" s="3" t="s">
        <v>109</v>
      </c>
      <c r="G57" s="3">
        <v>1.0</v>
      </c>
      <c r="H57" s="3">
        <v>762.0</v>
      </c>
      <c r="I57" s="3" t="s">
        <v>110</v>
      </c>
      <c r="J57" s="3">
        <v>162.0</v>
      </c>
      <c r="K57" s="3">
        <v>1.505</v>
      </c>
      <c r="L57" s="3">
        <v>30.0</v>
      </c>
      <c r="M57" s="3" t="s">
        <v>111</v>
      </c>
      <c r="N57" s="3">
        <v>220.0</v>
      </c>
      <c r="O57" s="3">
        <v>-23.6141</v>
      </c>
      <c r="P57" s="3">
        <v>-66.7236</v>
      </c>
      <c r="Q57" s="3" t="s">
        <v>171</v>
      </c>
      <c r="R57" s="3" t="s">
        <v>121</v>
      </c>
      <c r="S57" s="3" t="s">
        <v>122</v>
      </c>
      <c r="T57" s="16">
        <f t="shared" si="1"/>
        <v>44691.9625</v>
      </c>
      <c r="U57" s="4" t="b">
        <f t="shared" si="2"/>
        <v>1</v>
      </c>
      <c r="V57" s="4" t="b">
        <f t="shared" si="3"/>
        <v>1</v>
      </c>
      <c r="W57" s="4" t="str">
        <f t="shared" si="8"/>
        <v>Distance/Location</v>
      </c>
      <c r="X57" s="4" t="str">
        <f t="shared" si="4"/>
        <v>mww</v>
      </c>
      <c r="Y57" s="4">
        <f t="shared" si="5"/>
        <v>1</v>
      </c>
      <c r="Z57" s="4" t="str">
        <f t="shared" si="6"/>
        <v>Unique</v>
      </c>
      <c r="AA57" s="4" t="str">
        <f t="shared" si="7"/>
        <v>Valid</v>
      </c>
    </row>
    <row r="58">
      <c r="A58" s="3" t="s">
        <v>269</v>
      </c>
      <c r="B58" s="3">
        <v>6.6</v>
      </c>
      <c r="C58" s="3" t="s">
        <v>270</v>
      </c>
      <c r="D58" s="3">
        <v>6.0</v>
      </c>
      <c r="E58" s="3">
        <v>5.0</v>
      </c>
      <c r="F58" s="3" t="s">
        <v>109</v>
      </c>
      <c r="G58" s="3">
        <v>1.0</v>
      </c>
      <c r="H58" s="3">
        <v>762.0</v>
      </c>
      <c r="I58" s="3" t="s">
        <v>110</v>
      </c>
      <c r="J58" s="3">
        <v>0.0</v>
      </c>
      <c r="K58" s="3">
        <v>0.914</v>
      </c>
      <c r="L58" s="3">
        <v>94.0</v>
      </c>
      <c r="M58" s="3" t="s">
        <v>111</v>
      </c>
      <c r="N58" s="3">
        <v>27.0</v>
      </c>
      <c r="O58" s="3">
        <v>11.5538</v>
      </c>
      <c r="P58" s="3">
        <v>-86.9919</v>
      </c>
      <c r="Q58" s="3" t="s">
        <v>271</v>
      </c>
      <c r="R58" s="4"/>
      <c r="S58" s="4"/>
      <c r="T58" s="16">
        <f t="shared" si="1"/>
        <v>44672.32083</v>
      </c>
      <c r="U58" s="4" t="b">
        <f t="shared" si="2"/>
        <v>1</v>
      </c>
      <c r="V58" s="4" t="b">
        <f t="shared" si="3"/>
        <v>0</v>
      </c>
      <c r="W58" s="4" t="str">
        <f t="shared" si="8"/>
        <v>Distance/Location</v>
      </c>
      <c r="X58" s="4" t="str">
        <f t="shared" si="4"/>
        <v>mww</v>
      </c>
      <c r="Y58" s="4">
        <f t="shared" si="5"/>
        <v>1</v>
      </c>
      <c r="Z58" s="4" t="str">
        <f t="shared" si="6"/>
        <v>Unique</v>
      </c>
      <c r="AA58" s="4" t="str">
        <f t="shared" si="7"/>
        <v>Valid</v>
      </c>
    </row>
    <row r="59">
      <c r="A59" s="3" t="s">
        <v>272</v>
      </c>
      <c r="B59" s="3">
        <v>7.0</v>
      </c>
      <c r="C59" s="3" t="s">
        <v>273</v>
      </c>
      <c r="D59" s="3">
        <v>6.0</v>
      </c>
      <c r="E59" s="3">
        <v>4.0</v>
      </c>
      <c r="F59" s="3" t="s">
        <v>109</v>
      </c>
      <c r="G59" s="3">
        <v>1.0</v>
      </c>
      <c r="H59" s="3">
        <v>763.0</v>
      </c>
      <c r="I59" s="3" t="s">
        <v>110</v>
      </c>
      <c r="J59" s="3">
        <v>0.0</v>
      </c>
      <c r="K59" s="3">
        <v>2.705</v>
      </c>
      <c r="L59" s="3">
        <v>26.0</v>
      </c>
      <c r="M59" s="3" t="s">
        <v>111</v>
      </c>
      <c r="N59" s="3">
        <v>10.0</v>
      </c>
      <c r="O59" s="3">
        <v>-22.5732</v>
      </c>
      <c r="P59" s="3">
        <v>170.349</v>
      </c>
      <c r="Q59" s="3" t="s">
        <v>143</v>
      </c>
      <c r="R59" s="4"/>
      <c r="S59" s="4"/>
      <c r="T59" s="16">
        <f t="shared" si="1"/>
        <v>44651.23889</v>
      </c>
      <c r="U59" s="4" t="b">
        <f t="shared" si="2"/>
        <v>1</v>
      </c>
      <c r="V59" s="4" t="b">
        <f t="shared" si="3"/>
        <v>0</v>
      </c>
      <c r="W59" s="4" t="str">
        <f t="shared" si="8"/>
        <v>Named Region</v>
      </c>
      <c r="X59" s="4" t="str">
        <f t="shared" si="4"/>
        <v>mww</v>
      </c>
      <c r="Y59" s="4">
        <f t="shared" si="5"/>
        <v>1</v>
      </c>
      <c r="Z59" s="4" t="str">
        <f t="shared" si="6"/>
        <v>Unique</v>
      </c>
      <c r="AA59" s="4" t="str">
        <f t="shared" si="7"/>
        <v>Valid</v>
      </c>
    </row>
    <row r="60">
      <c r="A60" s="3" t="s">
        <v>274</v>
      </c>
      <c r="B60" s="3">
        <v>6.9</v>
      </c>
      <c r="C60" s="3" t="s">
        <v>275</v>
      </c>
      <c r="D60" s="3">
        <v>6.0</v>
      </c>
      <c r="E60" s="3">
        <v>4.0</v>
      </c>
      <c r="F60" s="3" t="s">
        <v>109</v>
      </c>
      <c r="G60" s="3">
        <v>1.0</v>
      </c>
      <c r="H60" s="3">
        <v>738.0</v>
      </c>
      <c r="I60" s="3" t="s">
        <v>110</v>
      </c>
      <c r="J60" s="3">
        <v>0.0</v>
      </c>
      <c r="K60" s="3">
        <v>2.697</v>
      </c>
      <c r="L60" s="3">
        <v>42.0</v>
      </c>
      <c r="M60" s="3" t="s">
        <v>111</v>
      </c>
      <c r="N60" s="3">
        <v>10.0</v>
      </c>
      <c r="O60" s="3">
        <v>-22.72</v>
      </c>
      <c r="P60" s="3">
        <v>170.277</v>
      </c>
      <c r="Q60" s="3" t="s">
        <v>276</v>
      </c>
      <c r="R60" s="4"/>
      <c r="S60" s="4"/>
      <c r="T60" s="16">
        <f t="shared" si="1"/>
        <v>44650.87222</v>
      </c>
      <c r="U60" s="4" t="b">
        <f t="shared" si="2"/>
        <v>1</v>
      </c>
      <c r="V60" s="4" t="b">
        <f t="shared" si="3"/>
        <v>0</v>
      </c>
      <c r="W60" s="4" t="str">
        <f t="shared" si="8"/>
        <v>Distance/Location</v>
      </c>
      <c r="X60" s="4" t="str">
        <f t="shared" si="4"/>
        <v>mww</v>
      </c>
      <c r="Y60" s="4">
        <f t="shared" si="5"/>
        <v>1</v>
      </c>
      <c r="Z60" s="4" t="str">
        <f t="shared" si="6"/>
        <v>Unique</v>
      </c>
      <c r="AA60" s="4" t="str">
        <f t="shared" si="7"/>
        <v>Valid</v>
      </c>
    </row>
    <row r="61">
      <c r="A61" s="3" t="s">
        <v>277</v>
      </c>
      <c r="B61" s="3">
        <v>6.7</v>
      </c>
      <c r="C61" s="3" t="s">
        <v>278</v>
      </c>
      <c r="D61" s="3">
        <v>8.0</v>
      </c>
      <c r="E61" s="3">
        <v>7.0</v>
      </c>
      <c r="F61" s="3" t="s">
        <v>109</v>
      </c>
      <c r="G61" s="3">
        <v>1.0</v>
      </c>
      <c r="H61" s="3">
        <v>806.0</v>
      </c>
      <c r="I61" s="3" t="s">
        <v>110</v>
      </c>
      <c r="J61" s="3">
        <v>0.0</v>
      </c>
      <c r="K61" s="3">
        <v>0.289</v>
      </c>
      <c r="L61" s="3">
        <v>32.0</v>
      </c>
      <c r="M61" s="3" t="s">
        <v>111</v>
      </c>
      <c r="N61" s="3">
        <v>24.0</v>
      </c>
      <c r="O61" s="3">
        <v>23.3421</v>
      </c>
      <c r="P61" s="3">
        <v>121.636</v>
      </c>
      <c r="Q61" s="3" t="s">
        <v>279</v>
      </c>
      <c r="R61" s="3" t="s">
        <v>164</v>
      </c>
      <c r="S61" s="3" t="s">
        <v>240</v>
      </c>
      <c r="T61" s="16">
        <f t="shared" si="1"/>
        <v>44642.73681</v>
      </c>
      <c r="U61" s="4" t="b">
        <f t="shared" si="2"/>
        <v>1</v>
      </c>
      <c r="V61" s="4" t="b">
        <f t="shared" si="3"/>
        <v>0</v>
      </c>
      <c r="W61" s="4" t="str">
        <f t="shared" si="8"/>
        <v>Distance/Location</v>
      </c>
      <c r="X61" s="4" t="str">
        <f t="shared" si="4"/>
        <v>mww</v>
      </c>
      <c r="Y61" s="4">
        <f t="shared" si="5"/>
        <v>1</v>
      </c>
      <c r="Z61" s="4" t="str">
        <f t="shared" si="6"/>
        <v>Unique</v>
      </c>
      <c r="AA61" s="4" t="str">
        <f t="shared" si="7"/>
        <v>Valid</v>
      </c>
    </row>
    <row r="62">
      <c r="A62" s="3" t="s">
        <v>280</v>
      </c>
      <c r="B62" s="3">
        <v>7.3</v>
      </c>
      <c r="C62" s="3" t="s">
        <v>281</v>
      </c>
      <c r="D62" s="3">
        <v>9.0</v>
      </c>
      <c r="E62" s="3">
        <v>8.0</v>
      </c>
      <c r="F62" s="3" t="s">
        <v>198</v>
      </c>
      <c r="G62" s="3">
        <v>1.0</v>
      </c>
      <c r="H62" s="3">
        <v>2397.0</v>
      </c>
      <c r="I62" s="3" t="s">
        <v>110</v>
      </c>
      <c r="J62" s="3">
        <v>0.0</v>
      </c>
      <c r="K62" s="3">
        <v>2.936</v>
      </c>
      <c r="L62" s="3">
        <v>29.0</v>
      </c>
      <c r="M62" s="3" t="s">
        <v>111</v>
      </c>
      <c r="N62" s="3">
        <v>41.0</v>
      </c>
      <c r="O62" s="3">
        <v>37.7015</v>
      </c>
      <c r="P62" s="3">
        <v>141.587</v>
      </c>
      <c r="Q62" s="3" t="s">
        <v>282</v>
      </c>
      <c r="R62" s="4"/>
      <c r="S62" s="4"/>
      <c r="T62" s="16">
        <f t="shared" si="1"/>
        <v>44636.60833</v>
      </c>
      <c r="U62" s="4" t="b">
        <f t="shared" si="2"/>
        <v>1</v>
      </c>
      <c r="V62" s="4" t="b">
        <f t="shared" si="3"/>
        <v>0</v>
      </c>
      <c r="W62" s="4" t="str">
        <f t="shared" si="8"/>
        <v>Distance/Location</v>
      </c>
      <c r="X62" s="4" t="str">
        <f t="shared" si="4"/>
        <v>mww</v>
      </c>
      <c r="Y62" s="4">
        <f t="shared" si="5"/>
        <v>1</v>
      </c>
      <c r="Z62" s="4" t="str">
        <f t="shared" si="6"/>
        <v>Unique</v>
      </c>
      <c r="AA62" s="4" t="str">
        <f t="shared" si="7"/>
        <v>Valid</v>
      </c>
    </row>
    <row r="63">
      <c r="A63" s="3" t="s">
        <v>283</v>
      </c>
      <c r="B63" s="3">
        <v>6.7</v>
      </c>
      <c r="C63" s="3" t="s">
        <v>284</v>
      </c>
      <c r="D63" s="3">
        <v>9.0</v>
      </c>
      <c r="E63" s="3">
        <v>6.0</v>
      </c>
      <c r="F63" s="3" t="s">
        <v>109</v>
      </c>
      <c r="G63" s="3">
        <v>0.0</v>
      </c>
      <c r="H63" s="3">
        <v>708.0</v>
      </c>
      <c r="I63" s="3" t="s">
        <v>110</v>
      </c>
      <c r="J63" s="3">
        <v>0.0</v>
      </c>
      <c r="K63" s="3">
        <v>2.188</v>
      </c>
      <c r="L63" s="3">
        <v>43.0</v>
      </c>
      <c r="M63" s="3" t="s">
        <v>111</v>
      </c>
      <c r="N63" s="3">
        <v>28.0</v>
      </c>
      <c r="O63" s="3">
        <v>-0.6831</v>
      </c>
      <c r="P63" s="3">
        <v>98.6034</v>
      </c>
      <c r="Q63" s="3" t="s">
        <v>285</v>
      </c>
      <c r="R63" s="3" t="s">
        <v>164</v>
      </c>
      <c r="S63" s="3" t="s">
        <v>153</v>
      </c>
      <c r="T63" s="16">
        <f t="shared" si="1"/>
        <v>44633.88125</v>
      </c>
      <c r="U63" s="4" t="b">
        <f t="shared" si="2"/>
        <v>1</v>
      </c>
      <c r="V63" s="4" t="b">
        <f t="shared" si="3"/>
        <v>0</v>
      </c>
      <c r="W63" s="4" t="str">
        <f t="shared" si="8"/>
        <v>Distance/Location</v>
      </c>
      <c r="X63" s="4" t="str">
        <f t="shared" si="4"/>
        <v>mww</v>
      </c>
      <c r="Y63" s="4">
        <f t="shared" si="5"/>
        <v>1</v>
      </c>
      <c r="Z63" s="4" t="str">
        <f t="shared" si="6"/>
        <v>Unique</v>
      </c>
      <c r="AA63" s="4" t="str">
        <f t="shared" si="7"/>
        <v>Valid</v>
      </c>
    </row>
    <row r="64">
      <c r="A64" s="3" t="s">
        <v>286</v>
      </c>
      <c r="B64" s="3">
        <v>6.6</v>
      </c>
      <c r="C64" s="17">
        <v>44595.53611111111</v>
      </c>
      <c r="D64" s="3">
        <v>2.0</v>
      </c>
      <c r="E64" s="3">
        <v>7.0</v>
      </c>
      <c r="F64" s="3" t="s">
        <v>109</v>
      </c>
      <c r="G64" s="3">
        <v>1.0</v>
      </c>
      <c r="H64" s="3">
        <v>670.0</v>
      </c>
      <c r="I64" s="3" t="s">
        <v>110</v>
      </c>
      <c r="J64" s="3">
        <v>0.0</v>
      </c>
      <c r="K64" s="3">
        <v>0.827</v>
      </c>
      <c r="L64" s="3">
        <v>46.0</v>
      </c>
      <c r="M64" s="3" t="s">
        <v>111</v>
      </c>
      <c r="N64" s="3">
        <v>24.0</v>
      </c>
      <c r="O64" s="3">
        <v>-30.0528</v>
      </c>
      <c r="P64" s="3">
        <v>-177.74</v>
      </c>
      <c r="Q64" s="3" t="s">
        <v>156</v>
      </c>
      <c r="R64" s="4"/>
      <c r="S64" s="4"/>
      <c r="T64" s="16">
        <f t="shared" si="1"/>
        <v>44622.53611</v>
      </c>
      <c r="U64" s="4" t="b">
        <f t="shared" si="2"/>
        <v>1</v>
      </c>
      <c r="V64" s="4" t="b">
        <f t="shared" si="3"/>
        <v>1</v>
      </c>
      <c r="W64" s="4" t="str">
        <f t="shared" si="8"/>
        <v>Named Region</v>
      </c>
      <c r="X64" s="4" t="str">
        <f t="shared" si="4"/>
        <v>mww</v>
      </c>
      <c r="Y64" s="4">
        <f t="shared" si="5"/>
        <v>1</v>
      </c>
      <c r="Z64" s="4" t="str">
        <f t="shared" si="6"/>
        <v>Unique</v>
      </c>
      <c r="AA64" s="4" t="str">
        <f t="shared" si="7"/>
        <v>Valid</v>
      </c>
    </row>
    <row r="65">
      <c r="A65" s="3" t="s">
        <v>225</v>
      </c>
      <c r="B65" s="3">
        <v>6.8</v>
      </c>
      <c r="C65" s="3" t="s">
        <v>287</v>
      </c>
      <c r="D65" s="3">
        <v>2.0</v>
      </c>
      <c r="E65" s="3">
        <v>3.0</v>
      </c>
      <c r="F65" s="3" t="s">
        <v>109</v>
      </c>
      <c r="G65" s="3">
        <v>1.0</v>
      </c>
      <c r="H65" s="3">
        <v>712.0</v>
      </c>
      <c r="I65" s="3" t="s">
        <v>110</v>
      </c>
      <c r="J65" s="3">
        <v>0.0</v>
      </c>
      <c r="K65" s="3">
        <v>5.78</v>
      </c>
      <c r="L65" s="3">
        <v>12.0</v>
      </c>
      <c r="M65" s="3" t="s">
        <v>111</v>
      </c>
      <c r="N65" s="3">
        <v>535.0</v>
      </c>
      <c r="O65" s="3">
        <v>-23.7852</v>
      </c>
      <c r="P65" s="3">
        <v>-179.968</v>
      </c>
      <c r="Q65" s="3" t="s">
        <v>136</v>
      </c>
      <c r="R65" s="4"/>
      <c r="S65" s="4"/>
      <c r="T65" s="16">
        <f t="shared" si="1"/>
        <v>44608.84792</v>
      </c>
      <c r="U65" s="4" t="b">
        <f t="shared" si="2"/>
        <v>1</v>
      </c>
      <c r="V65" s="4" t="b">
        <f t="shared" si="3"/>
        <v>0</v>
      </c>
      <c r="W65" s="4" t="str">
        <f t="shared" si="8"/>
        <v>Named Region</v>
      </c>
      <c r="X65" s="4" t="str">
        <f t="shared" si="4"/>
        <v>mww</v>
      </c>
      <c r="Y65" s="4">
        <f t="shared" si="5"/>
        <v>1</v>
      </c>
      <c r="Z65" s="4" t="str">
        <f t="shared" si="6"/>
        <v>Unique</v>
      </c>
      <c r="AA65" s="4" t="str">
        <f t="shared" si="7"/>
        <v>Valid</v>
      </c>
    </row>
    <row r="66">
      <c r="A66" s="3" t="s">
        <v>288</v>
      </c>
      <c r="B66" s="3">
        <v>6.5</v>
      </c>
      <c r="C66" s="17">
        <v>44622.66527777778</v>
      </c>
      <c r="D66" s="3">
        <v>8.0</v>
      </c>
      <c r="E66" s="3">
        <v>6.0</v>
      </c>
      <c r="F66" s="3" t="s">
        <v>109</v>
      </c>
      <c r="G66" s="3">
        <v>0.0</v>
      </c>
      <c r="H66" s="3">
        <v>690.0</v>
      </c>
      <c r="I66" s="3" t="s">
        <v>110</v>
      </c>
      <c r="J66" s="3">
        <v>0.0</v>
      </c>
      <c r="K66" s="3">
        <v>3.026</v>
      </c>
      <c r="L66" s="3">
        <v>22.0</v>
      </c>
      <c r="M66" s="3" t="s">
        <v>111</v>
      </c>
      <c r="N66" s="3">
        <v>110.0</v>
      </c>
      <c r="O66" s="3">
        <v>-4.455</v>
      </c>
      <c r="P66" s="3">
        <v>-76.9395</v>
      </c>
      <c r="Q66" s="3" t="s">
        <v>289</v>
      </c>
      <c r="R66" s="3" t="s">
        <v>121</v>
      </c>
      <c r="S66" s="3" t="s">
        <v>265</v>
      </c>
      <c r="T66" s="16">
        <f t="shared" si="1"/>
        <v>44595.66528</v>
      </c>
      <c r="U66" s="4" t="b">
        <f t="shared" si="2"/>
        <v>1</v>
      </c>
      <c r="V66" s="4" t="b">
        <f t="shared" si="3"/>
        <v>1</v>
      </c>
      <c r="W66" s="4" t="str">
        <f t="shared" si="8"/>
        <v>Distance/Location</v>
      </c>
      <c r="X66" s="4" t="str">
        <f t="shared" si="4"/>
        <v>mww</v>
      </c>
      <c r="Y66" s="4">
        <f t="shared" si="5"/>
        <v>1</v>
      </c>
      <c r="Z66" s="4" t="str">
        <f t="shared" si="6"/>
        <v>Unique</v>
      </c>
      <c r="AA66" s="4" t="str">
        <f t="shared" si="7"/>
        <v>Valid</v>
      </c>
    </row>
    <row r="67">
      <c r="A67" s="3" t="s">
        <v>290</v>
      </c>
      <c r="B67" s="3">
        <v>6.5</v>
      </c>
      <c r="C67" s="3" t="s">
        <v>291</v>
      </c>
      <c r="D67" s="3">
        <v>7.0</v>
      </c>
      <c r="E67" s="3">
        <v>4.0</v>
      </c>
      <c r="F67" s="3" t="s">
        <v>109</v>
      </c>
      <c r="G67" s="3">
        <v>1.0</v>
      </c>
      <c r="H67" s="3">
        <v>651.0</v>
      </c>
      <c r="I67" s="3" t="s">
        <v>110</v>
      </c>
      <c r="J67" s="3">
        <v>0.0</v>
      </c>
      <c r="K67" s="3">
        <v>1.088</v>
      </c>
      <c r="L67" s="3">
        <v>57.0</v>
      </c>
      <c r="M67" s="3" t="s">
        <v>111</v>
      </c>
      <c r="N67" s="3">
        <v>8.0</v>
      </c>
      <c r="O67" s="3">
        <v>-29.535</v>
      </c>
      <c r="P67" s="3">
        <v>-176.729</v>
      </c>
      <c r="Q67" s="3" t="s">
        <v>182</v>
      </c>
      <c r="R67" s="4"/>
      <c r="S67" s="4"/>
      <c r="T67" s="16">
        <f t="shared" si="1"/>
        <v>44590.11528</v>
      </c>
      <c r="U67" s="4" t="b">
        <f t="shared" si="2"/>
        <v>1</v>
      </c>
      <c r="V67" s="4" t="b">
        <f t="shared" si="3"/>
        <v>0</v>
      </c>
      <c r="W67" s="4" t="str">
        <f t="shared" si="8"/>
        <v>Named Region</v>
      </c>
      <c r="X67" s="4" t="str">
        <f t="shared" si="4"/>
        <v>mww</v>
      </c>
      <c r="Y67" s="4">
        <f t="shared" si="5"/>
        <v>1</v>
      </c>
      <c r="Z67" s="4" t="str">
        <f t="shared" si="6"/>
        <v>Unique</v>
      </c>
      <c r="AA67" s="4" t="str">
        <f t="shared" si="7"/>
        <v>Valid</v>
      </c>
    </row>
    <row r="68">
      <c r="A68" s="3" t="s">
        <v>292</v>
      </c>
      <c r="B68" s="3">
        <v>6.6</v>
      </c>
      <c r="C68" s="3" t="s">
        <v>293</v>
      </c>
      <c r="D68" s="3">
        <v>8.0</v>
      </c>
      <c r="E68" s="3">
        <v>6.0</v>
      </c>
      <c r="F68" s="3" t="s">
        <v>109</v>
      </c>
      <c r="G68" s="3">
        <v>0.0</v>
      </c>
      <c r="H68" s="3">
        <v>785.0</v>
      </c>
      <c r="I68" s="3" t="s">
        <v>110</v>
      </c>
      <c r="J68" s="3">
        <v>0.0</v>
      </c>
      <c r="K68" s="3">
        <v>2.418</v>
      </c>
      <c r="L68" s="3">
        <v>22.0</v>
      </c>
      <c r="M68" s="3" t="s">
        <v>111</v>
      </c>
      <c r="N68" s="3">
        <v>33.0</v>
      </c>
      <c r="O68" s="3">
        <v>-6.9291</v>
      </c>
      <c r="P68" s="3">
        <v>105.251</v>
      </c>
      <c r="Q68" s="3" t="s">
        <v>294</v>
      </c>
      <c r="R68" s="4"/>
      <c r="S68" s="3" t="s">
        <v>153</v>
      </c>
      <c r="T68" s="16">
        <f t="shared" si="1"/>
        <v>44575.37847</v>
      </c>
      <c r="U68" s="4" t="b">
        <f t="shared" si="2"/>
        <v>1</v>
      </c>
      <c r="V68" s="4" t="b">
        <f t="shared" si="3"/>
        <v>0</v>
      </c>
      <c r="W68" s="4" t="str">
        <f t="shared" si="8"/>
        <v>Distance/Location</v>
      </c>
      <c r="X68" s="4" t="str">
        <f t="shared" si="4"/>
        <v>mww</v>
      </c>
      <c r="Y68" s="4">
        <f t="shared" si="5"/>
        <v>1</v>
      </c>
      <c r="Z68" s="4" t="str">
        <f t="shared" si="6"/>
        <v>Unique</v>
      </c>
      <c r="AA68" s="4" t="str">
        <f t="shared" si="7"/>
        <v>Valid</v>
      </c>
    </row>
    <row r="69">
      <c r="A69" s="3" t="s">
        <v>295</v>
      </c>
      <c r="B69" s="3">
        <v>6.5</v>
      </c>
      <c r="C69" s="17">
        <v>44866.527083333334</v>
      </c>
      <c r="D69" s="3">
        <v>0.0</v>
      </c>
      <c r="E69" s="3">
        <v>3.0</v>
      </c>
      <c r="F69" s="4"/>
      <c r="G69" s="3">
        <v>1.0</v>
      </c>
      <c r="H69" s="3">
        <v>650.0</v>
      </c>
      <c r="I69" s="3" t="s">
        <v>127</v>
      </c>
      <c r="J69" s="3">
        <v>97.0</v>
      </c>
      <c r="K69" s="3">
        <v>1.61607</v>
      </c>
      <c r="L69" s="3">
        <v>108.0</v>
      </c>
      <c r="M69" s="3" t="s">
        <v>128</v>
      </c>
      <c r="N69" s="3">
        <v>37.0</v>
      </c>
      <c r="O69" s="3">
        <v>52.502</v>
      </c>
      <c r="P69" s="3">
        <v>-168.08</v>
      </c>
      <c r="Q69" s="3" t="s">
        <v>296</v>
      </c>
      <c r="R69" s="4"/>
      <c r="S69" s="4"/>
      <c r="T69" s="16">
        <f t="shared" si="1"/>
        <v>44572.52708</v>
      </c>
      <c r="U69" s="4" t="b">
        <f t="shared" si="2"/>
        <v>1</v>
      </c>
      <c r="V69" s="4" t="b">
        <f t="shared" si="3"/>
        <v>1</v>
      </c>
      <c r="W69" s="4" t="str">
        <f t="shared" si="8"/>
        <v>Distance/Location</v>
      </c>
      <c r="X69" s="4" t="str">
        <f t="shared" si="4"/>
        <v>mi</v>
      </c>
      <c r="Y69" s="4">
        <f t="shared" si="5"/>
        <v>2</v>
      </c>
      <c r="Z69" s="4" t="str">
        <f t="shared" si="6"/>
        <v>Duplicate</v>
      </c>
      <c r="AA69" s="4" t="str">
        <f t="shared" si="7"/>
        <v>Valid</v>
      </c>
    </row>
    <row r="70">
      <c r="A70" s="3" t="s">
        <v>295</v>
      </c>
      <c r="B70" s="3">
        <v>6.5</v>
      </c>
      <c r="C70" s="17">
        <v>44866.527083333334</v>
      </c>
      <c r="D70" s="3">
        <v>0.0</v>
      </c>
      <c r="E70" s="3">
        <v>3.0</v>
      </c>
      <c r="F70" s="4"/>
      <c r="G70" s="3">
        <v>1.0</v>
      </c>
      <c r="H70" s="3">
        <v>650.0</v>
      </c>
      <c r="I70" s="3" t="s">
        <v>297</v>
      </c>
      <c r="J70" s="3">
        <v>23.0</v>
      </c>
      <c r="K70" s="3">
        <v>0.0</v>
      </c>
      <c r="L70" s="3">
        <v>208.8</v>
      </c>
      <c r="M70" s="3" t="s">
        <v>128</v>
      </c>
      <c r="N70" s="3">
        <v>37.0</v>
      </c>
      <c r="O70" s="3">
        <v>52.502</v>
      </c>
      <c r="P70" s="3">
        <v>-168.08</v>
      </c>
      <c r="Q70" s="3" t="s">
        <v>296</v>
      </c>
      <c r="R70" s="4"/>
      <c r="S70" s="4"/>
      <c r="T70" s="16">
        <f t="shared" si="1"/>
        <v>44572.52708</v>
      </c>
      <c r="U70" s="4" t="b">
        <f t="shared" si="2"/>
        <v>1</v>
      </c>
      <c r="V70" s="4" t="b">
        <f t="shared" si="3"/>
        <v>1</v>
      </c>
      <c r="W70" s="4" t="str">
        <f t="shared" si="8"/>
        <v>Distance/Location</v>
      </c>
      <c r="X70" s="4" t="str">
        <f t="shared" si="4"/>
        <v>mi</v>
      </c>
      <c r="Y70" s="4">
        <f t="shared" si="5"/>
        <v>2</v>
      </c>
      <c r="Z70" s="4" t="str">
        <f t="shared" si="6"/>
        <v>Duplicate</v>
      </c>
      <c r="AA70" s="4" t="str">
        <f t="shared" si="7"/>
        <v>Valid</v>
      </c>
    </row>
    <row r="71">
      <c r="A71" s="3" t="s">
        <v>298</v>
      </c>
      <c r="B71" s="3">
        <v>6.6</v>
      </c>
      <c r="C71" s="17">
        <v>44866.527083333334</v>
      </c>
      <c r="D71" s="3">
        <v>8.0</v>
      </c>
      <c r="E71" s="3">
        <v>5.0</v>
      </c>
      <c r="F71" s="3" t="s">
        <v>109</v>
      </c>
      <c r="G71" s="3">
        <v>1.0</v>
      </c>
      <c r="H71" s="3">
        <v>674.0</v>
      </c>
      <c r="I71" s="3" t="s">
        <v>110</v>
      </c>
      <c r="J71" s="3">
        <v>0.0</v>
      </c>
      <c r="K71" s="3">
        <v>0.507</v>
      </c>
      <c r="L71" s="3">
        <v>49.0</v>
      </c>
      <c r="M71" s="3" t="s">
        <v>111</v>
      </c>
      <c r="N71" s="3">
        <v>19.0</v>
      </c>
      <c r="O71" s="3">
        <v>52.6252</v>
      </c>
      <c r="P71" s="3">
        <v>-168.15</v>
      </c>
      <c r="Q71" s="3" t="s">
        <v>296</v>
      </c>
      <c r="R71" s="4"/>
      <c r="S71" s="4"/>
      <c r="T71" s="16">
        <f t="shared" si="1"/>
        <v>44572.52708</v>
      </c>
      <c r="U71" s="4" t="b">
        <f t="shared" si="2"/>
        <v>1</v>
      </c>
      <c r="V71" s="4" t="b">
        <f t="shared" si="3"/>
        <v>1</v>
      </c>
      <c r="W71" s="4" t="str">
        <f t="shared" si="8"/>
        <v>Distance/Location</v>
      </c>
      <c r="X71" s="4" t="str">
        <f t="shared" si="4"/>
        <v>mww</v>
      </c>
      <c r="Y71" s="4">
        <f t="shared" si="5"/>
        <v>1</v>
      </c>
      <c r="Z71" s="4" t="str">
        <f t="shared" si="6"/>
        <v>Unique</v>
      </c>
      <c r="AA71" s="4" t="str">
        <f t="shared" si="7"/>
        <v>Valid</v>
      </c>
    </row>
    <row r="72">
      <c r="A72" s="3" t="s">
        <v>299</v>
      </c>
      <c r="B72" s="3">
        <v>6.7</v>
      </c>
      <c r="C72" s="17">
        <v>44866.48263888889</v>
      </c>
      <c r="D72" s="3">
        <v>0.0</v>
      </c>
      <c r="E72" s="3">
        <v>4.0</v>
      </c>
      <c r="F72" s="4"/>
      <c r="G72" s="3">
        <v>1.0</v>
      </c>
      <c r="H72" s="3">
        <v>691.0</v>
      </c>
      <c r="I72" s="3" t="s">
        <v>127</v>
      </c>
      <c r="J72" s="3">
        <v>50.0</v>
      </c>
      <c r="K72" s="3">
        <v>0.936943</v>
      </c>
      <c r="L72" s="3">
        <v>126.0</v>
      </c>
      <c r="M72" s="3" t="s">
        <v>128</v>
      </c>
      <c r="N72" s="3">
        <v>33.0</v>
      </c>
      <c r="O72" s="3">
        <v>52.48</v>
      </c>
      <c r="P72" s="3">
        <v>-167.736</v>
      </c>
      <c r="Q72" s="3" t="s">
        <v>296</v>
      </c>
      <c r="R72" s="4"/>
      <c r="S72" s="4"/>
      <c r="T72" s="16">
        <f t="shared" si="1"/>
        <v>44572.48264</v>
      </c>
      <c r="U72" s="4" t="b">
        <f t="shared" si="2"/>
        <v>1</v>
      </c>
      <c r="V72" s="4" t="b">
        <f t="shared" si="3"/>
        <v>1</v>
      </c>
      <c r="W72" s="4" t="str">
        <f t="shared" si="8"/>
        <v>Distance/Location</v>
      </c>
      <c r="X72" s="4" t="str">
        <f t="shared" si="4"/>
        <v>mi</v>
      </c>
      <c r="Y72" s="4">
        <f t="shared" si="5"/>
        <v>2</v>
      </c>
      <c r="Z72" s="4" t="str">
        <f t="shared" si="6"/>
        <v>Duplicate</v>
      </c>
      <c r="AA72" s="4" t="str">
        <f t="shared" si="7"/>
        <v>Valid</v>
      </c>
    </row>
    <row r="73">
      <c r="A73" s="3" t="s">
        <v>299</v>
      </c>
      <c r="B73" s="3">
        <v>6.7</v>
      </c>
      <c r="C73" s="17">
        <v>44866.48263888889</v>
      </c>
      <c r="D73" s="3">
        <v>0.0</v>
      </c>
      <c r="E73" s="3">
        <v>4.0</v>
      </c>
      <c r="F73" s="4"/>
      <c r="G73" s="3">
        <v>1.0</v>
      </c>
      <c r="H73" s="3">
        <v>691.0</v>
      </c>
      <c r="I73" s="3" t="s">
        <v>297</v>
      </c>
      <c r="J73" s="3">
        <v>20.0</v>
      </c>
      <c r="K73" s="3">
        <v>0.0</v>
      </c>
      <c r="L73" s="3">
        <v>205.2</v>
      </c>
      <c r="M73" s="3" t="s">
        <v>128</v>
      </c>
      <c r="N73" s="3">
        <v>33.0</v>
      </c>
      <c r="O73" s="3">
        <v>52.48</v>
      </c>
      <c r="P73" s="3">
        <v>-167.736</v>
      </c>
      <c r="Q73" s="3" t="s">
        <v>296</v>
      </c>
      <c r="R73" s="4"/>
      <c r="S73" s="4"/>
      <c r="T73" s="16">
        <f t="shared" si="1"/>
        <v>44572.48264</v>
      </c>
      <c r="U73" s="4" t="b">
        <f t="shared" si="2"/>
        <v>1</v>
      </c>
      <c r="V73" s="4" t="b">
        <f t="shared" si="3"/>
        <v>1</v>
      </c>
      <c r="W73" s="4" t="str">
        <f t="shared" si="8"/>
        <v>Distance/Location</v>
      </c>
      <c r="X73" s="4" t="str">
        <f t="shared" si="4"/>
        <v>mi</v>
      </c>
      <c r="Y73" s="4">
        <f t="shared" si="5"/>
        <v>2</v>
      </c>
      <c r="Z73" s="4" t="str">
        <f t="shared" si="6"/>
        <v>Duplicate</v>
      </c>
      <c r="AA73" s="4" t="str">
        <f t="shared" si="7"/>
        <v>Valid</v>
      </c>
    </row>
    <row r="74">
      <c r="A74" s="3" t="s">
        <v>300</v>
      </c>
      <c r="B74" s="3">
        <v>6.8</v>
      </c>
      <c r="C74" s="17">
        <v>44866.48263888889</v>
      </c>
      <c r="D74" s="3">
        <v>7.0</v>
      </c>
      <c r="E74" s="3">
        <v>6.0</v>
      </c>
      <c r="F74" s="3" t="s">
        <v>109</v>
      </c>
      <c r="G74" s="3">
        <v>1.0</v>
      </c>
      <c r="H74" s="3">
        <v>730.0</v>
      </c>
      <c r="I74" s="3" t="s">
        <v>110</v>
      </c>
      <c r="J74" s="3">
        <v>0.0</v>
      </c>
      <c r="K74" s="3">
        <v>0.92</v>
      </c>
      <c r="L74" s="3">
        <v>61.0</v>
      </c>
      <c r="M74" s="3" t="s">
        <v>111</v>
      </c>
      <c r="N74" s="3">
        <v>20.0</v>
      </c>
      <c r="O74" s="3">
        <v>52.6563</v>
      </c>
      <c r="P74" s="3">
        <v>-167.917</v>
      </c>
      <c r="Q74" s="3" t="s">
        <v>296</v>
      </c>
      <c r="R74" s="4"/>
      <c r="S74" s="4"/>
      <c r="T74" s="16">
        <f t="shared" si="1"/>
        <v>44572.48264</v>
      </c>
      <c r="U74" s="4" t="b">
        <f t="shared" si="2"/>
        <v>1</v>
      </c>
      <c r="V74" s="4" t="b">
        <f t="shared" si="3"/>
        <v>1</v>
      </c>
      <c r="W74" s="4" t="str">
        <f t="shared" si="8"/>
        <v>Distance/Location</v>
      </c>
      <c r="X74" s="4" t="str">
        <f t="shared" si="4"/>
        <v>mww</v>
      </c>
      <c r="Y74" s="4">
        <f t="shared" si="5"/>
        <v>1</v>
      </c>
      <c r="Z74" s="4" t="str">
        <f t="shared" si="6"/>
        <v>Unique</v>
      </c>
      <c r="AA74" s="4" t="str">
        <f t="shared" si="7"/>
        <v>Valid</v>
      </c>
    </row>
    <row r="75">
      <c r="A75" s="3" t="s">
        <v>301</v>
      </c>
      <c r="B75" s="3">
        <v>6.6</v>
      </c>
      <c r="C75" s="17">
        <v>44866.04652777778</v>
      </c>
      <c r="D75" s="3">
        <v>6.0</v>
      </c>
      <c r="E75" s="3">
        <v>6.0</v>
      </c>
      <c r="F75" s="3" t="s">
        <v>109</v>
      </c>
      <c r="G75" s="3">
        <v>0.0</v>
      </c>
      <c r="H75" s="3">
        <v>976.0</v>
      </c>
      <c r="I75" s="3" t="s">
        <v>110</v>
      </c>
      <c r="J75" s="3">
        <v>0.0</v>
      </c>
      <c r="K75" s="3">
        <v>1.168</v>
      </c>
      <c r="L75" s="3">
        <v>21.0</v>
      </c>
      <c r="M75" s="3" t="s">
        <v>111</v>
      </c>
      <c r="N75" s="3">
        <v>21.0</v>
      </c>
      <c r="O75" s="3">
        <v>35.1456</v>
      </c>
      <c r="P75" s="3">
        <v>31.9095</v>
      </c>
      <c r="Q75" s="3" t="s">
        <v>302</v>
      </c>
      <c r="R75" s="3" t="s">
        <v>164</v>
      </c>
      <c r="S75" s="4"/>
      <c r="T75" s="16">
        <f t="shared" si="1"/>
        <v>44572.04653</v>
      </c>
      <c r="U75" s="4" t="b">
        <f t="shared" si="2"/>
        <v>1</v>
      </c>
      <c r="V75" s="4" t="b">
        <f t="shared" si="3"/>
        <v>1</v>
      </c>
      <c r="W75" s="4" t="str">
        <f t="shared" si="8"/>
        <v>Distance/Location</v>
      </c>
      <c r="X75" s="4" t="str">
        <f t="shared" si="4"/>
        <v>mww</v>
      </c>
      <c r="Y75" s="4">
        <f t="shared" si="5"/>
        <v>1</v>
      </c>
      <c r="Z75" s="4" t="str">
        <f t="shared" si="6"/>
        <v>Unique</v>
      </c>
      <c r="AA75" s="4" t="str">
        <f t="shared" si="7"/>
        <v>Valid</v>
      </c>
    </row>
    <row r="76">
      <c r="A76" s="3" t="s">
        <v>303</v>
      </c>
      <c r="B76" s="3">
        <v>6.6</v>
      </c>
      <c r="C76" s="17">
        <v>44743.739583333336</v>
      </c>
      <c r="D76" s="3">
        <v>9.0</v>
      </c>
      <c r="E76" s="3">
        <v>8.0</v>
      </c>
      <c r="F76" s="3" t="s">
        <v>178</v>
      </c>
      <c r="G76" s="3">
        <v>0.0</v>
      </c>
      <c r="H76" s="3">
        <v>1012.0</v>
      </c>
      <c r="I76" s="3" t="s">
        <v>110</v>
      </c>
      <c r="J76" s="3">
        <v>0.0</v>
      </c>
      <c r="K76" s="3">
        <v>2.685</v>
      </c>
      <c r="L76" s="3">
        <v>13.0</v>
      </c>
      <c r="M76" s="3" t="s">
        <v>111</v>
      </c>
      <c r="N76" s="3">
        <v>13.0</v>
      </c>
      <c r="O76" s="3">
        <v>37.8167</v>
      </c>
      <c r="P76" s="3">
        <v>101.299</v>
      </c>
      <c r="Q76" s="3" t="s">
        <v>304</v>
      </c>
      <c r="R76" s="3" t="s">
        <v>164</v>
      </c>
      <c r="S76" s="3" t="s">
        <v>251</v>
      </c>
      <c r="T76" s="16">
        <f t="shared" si="1"/>
        <v>44568.73958</v>
      </c>
      <c r="U76" s="4" t="b">
        <f t="shared" si="2"/>
        <v>1</v>
      </c>
      <c r="V76" s="4" t="b">
        <f t="shared" si="3"/>
        <v>1</v>
      </c>
      <c r="W76" s="4" t="str">
        <f t="shared" si="8"/>
        <v>Named Region</v>
      </c>
      <c r="X76" s="4" t="str">
        <f t="shared" si="4"/>
        <v>mww</v>
      </c>
      <c r="Y76" s="4">
        <f t="shared" si="5"/>
        <v>1</v>
      </c>
      <c r="Z76" s="4" t="str">
        <f t="shared" si="6"/>
        <v>Unique</v>
      </c>
      <c r="AA76" s="4" t="str">
        <f t="shared" si="7"/>
        <v>Valid</v>
      </c>
    </row>
    <row r="77">
      <c r="A77" s="3" t="s">
        <v>305</v>
      </c>
      <c r="B77" s="3">
        <v>7.3</v>
      </c>
      <c r="C77" s="3" t="s">
        <v>306</v>
      </c>
      <c r="D77" s="3">
        <v>8.0</v>
      </c>
      <c r="E77" s="3">
        <v>7.0</v>
      </c>
      <c r="F77" s="3" t="s">
        <v>109</v>
      </c>
      <c r="G77" s="3">
        <v>0.0</v>
      </c>
      <c r="H77" s="3">
        <v>921.0</v>
      </c>
      <c r="I77" s="3" t="s">
        <v>110</v>
      </c>
      <c r="J77" s="3">
        <v>0.0</v>
      </c>
      <c r="K77" s="3">
        <v>3.713</v>
      </c>
      <c r="L77" s="3">
        <v>19.0</v>
      </c>
      <c r="M77" s="3" t="s">
        <v>111</v>
      </c>
      <c r="N77" s="3">
        <v>165.49</v>
      </c>
      <c r="O77" s="3">
        <v>-7.5924</v>
      </c>
      <c r="P77" s="3">
        <v>127.581</v>
      </c>
      <c r="Q77" s="3" t="s">
        <v>307</v>
      </c>
      <c r="R77" s="4"/>
      <c r="S77" s="3" t="s">
        <v>153</v>
      </c>
      <c r="T77" s="16">
        <f t="shared" si="1"/>
        <v>44559.76736</v>
      </c>
      <c r="U77" s="4" t="b">
        <f t="shared" si="2"/>
        <v>1</v>
      </c>
      <c r="V77" s="4" t="b">
        <f t="shared" si="3"/>
        <v>0</v>
      </c>
      <c r="W77" s="4" t="str">
        <f t="shared" si="8"/>
        <v>Distance/Location</v>
      </c>
      <c r="X77" s="4" t="str">
        <f t="shared" si="4"/>
        <v>mww</v>
      </c>
      <c r="Y77" s="4">
        <f t="shared" si="5"/>
        <v>1</v>
      </c>
      <c r="Z77" s="4" t="str">
        <f t="shared" si="6"/>
        <v>Unique</v>
      </c>
      <c r="AA77" s="4" t="str">
        <f t="shared" si="7"/>
        <v>Valid</v>
      </c>
    </row>
    <row r="78">
      <c r="A78" s="3" t="s">
        <v>308</v>
      </c>
      <c r="B78" s="3">
        <v>7.3</v>
      </c>
      <c r="C78" s="3" t="s">
        <v>309</v>
      </c>
      <c r="D78" s="3">
        <v>9.0</v>
      </c>
      <c r="E78" s="3">
        <v>5.0</v>
      </c>
      <c r="F78" s="3" t="s">
        <v>109</v>
      </c>
      <c r="G78" s="3">
        <v>1.0</v>
      </c>
      <c r="H78" s="3">
        <v>854.0</v>
      </c>
      <c r="I78" s="3" t="s">
        <v>110</v>
      </c>
      <c r="J78" s="3">
        <v>0.0</v>
      </c>
      <c r="K78" s="3">
        <v>1.025</v>
      </c>
      <c r="L78" s="3">
        <v>32.0</v>
      </c>
      <c r="M78" s="3" t="s">
        <v>111</v>
      </c>
      <c r="N78" s="3">
        <v>14.27</v>
      </c>
      <c r="O78" s="3">
        <v>-7.6033</v>
      </c>
      <c r="P78" s="3">
        <v>122.2</v>
      </c>
      <c r="Q78" s="3" t="s">
        <v>310</v>
      </c>
      <c r="R78" s="3" t="s">
        <v>164</v>
      </c>
      <c r="S78" s="3" t="s">
        <v>153</v>
      </c>
      <c r="T78" s="16">
        <f t="shared" si="1"/>
        <v>44544.13889</v>
      </c>
      <c r="U78" s="4" t="b">
        <f t="shared" si="2"/>
        <v>1</v>
      </c>
      <c r="V78" s="4" t="b">
        <f t="shared" si="3"/>
        <v>0</v>
      </c>
      <c r="W78" s="4" t="str">
        <f t="shared" si="8"/>
        <v>Named Region</v>
      </c>
      <c r="X78" s="4" t="str">
        <f t="shared" si="4"/>
        <v>mww</v>
      </c>
      <c r="Y78" s="4">
        <f t="shared" si="5"/>
        <v>1</v>
      </c>
      <c r="Z78" s="4" t="str">
        <f t="shared" si="6"/>
        <v>Unique</v>
      </c>
      <c r="AA78" s="4" t="str">
        <f t="shared" si="7"/>
        <v>Valid</v>
      </c>
    </row>
    <row r="79">
      <c r="A79" s="3" t="s">
        <v>311</v>
      </c>
      <c r="B79" s="3">
        <v>7.5</v>
      </c>
      <c r="C79" s="3" t="s">
        <v>312</v>
      </c>
      <c r="D79" s="3">
        <v>8.0</v>
      </c>
      <c r="E79" s="3">
        <v>8.0</v>
      </c>
      <c r="F79" s="3" t="s">
        <v>116</v>
      </c>
      <c r="G79" s="3">
        <v>1.0</v>
      </c>
      <c r="H79" s="3">
        <v>1094.0</v>
      </c>
      <c r="I79" s="3" t="s">
        <v>110</v>
      </c>
      <c r="J79" s="3">
        <v>0.0</v>
      </c>
      <c r="K79" s="3">
        <v>4.951</v>
      </c>
      <c r="L79" s="3">
        <v>40.0</v>
      </c>
      <c r="M79" s="3" t="s">
        <v>111</v>
      </c>
      <c r="N79" s="3">
        <v>126.0</v>
      </c>
      <c r="O79" s="3">
        <v>-4.4898</v>
      </c>
      <c r="P79" s="3">
        <v>-76.8461</v>
      </c>
      <c r="Q79" s="3" t="s">
        <v>289</v>
      </c>
      <c r="R79" s="3" t="s">
        <v>121</v>
      </c>
      <c r="S79" s="3" t="s">
        <v>265</v>
      </c>
      <c r="T79" s="16">
        <f t="shared" si="1"/>
        <v>44528.45278</v>
      </c>
      <c r="U79" s="4" t="b">
        <f t="shared" si="2"/>
        <v>1</v>
      </c>
      <c r="V79" s="4" t="b">
        <f t="shared" si="3"/>
        <v>0</v>
      </c>
      <c r="W79" s="4" t="str">
        <f t="shared" si="8"/>
        <v>Distance/Location</v>
      </c>
      <c r="X79" s="4" t="str">
        <f t="shared" si="4"/>
        <v>mww</v>
      </c>
      <c r="Y79" s="4">
        <f t="shared" si="5"/>
        <v>1</v>
      </c>
      <c r="Z79" s="4" t="str">
        <f t="shared" si="6"/>
        <v>Unique</v>
      </c>
      <c r="AA79" s="4" t="str">
        <f t="shared" si="7"/>
        <v>Valid</v>
      </c>
    </row>
    <row r="80">
      <c r="A80" s="3" t="s">
        <v>313</v>
      </c>
      <c r="B80" s="3">
        <v>6.6</v>
      </c>
      <c r="C80" s="18">
        <v>44480.65625</v>
      </c>
      <c r="D80" s="3">
        <v>7.0</v>
      </c>
      <c r="E80" s="3">
        <v>4.0</v>
      </c>
      <c r="F80" s="3" t="s">
        <v>109</v>
      </c>
      <c r="G80" s="3">
        <v>1.0</v>
      </c>
      <c r="H80" s="3">
        <v>688.0</v>
      </c>
      <c r="I80" s="3" t="s">
        <v>110</v>
      </c>
      <c r="J80" s="3">
        <v>0.0</v>
      </c>
      <c r="K80" s="3">
        <v>3.259</v>
      </c>
      <c r="L80" s="3">
        <v>15.0</v>
      </c>
      <c r="M80" s="3" t="s">
        <v>111</v>
      </c>
      <c r="N80" s="3">
        <v>12.0</v>
      </c>
      <c r="O80" s="3">
        <v>23.5414</v>
      </c>
      <c r="P80" s="3">
        <v>126.48</v>
      </c>
      <c r="Q80" s="3" t="s">
        <v>314</v>
      </c>
      <c r="R80" s="4"/>
      <c r="S80" s="4"/>
      <c r="T80" s="16">
        <f t="shared" si="1"/>
        <v>44510.65625</v>
      </c>
      <c r="U80" s="4" t="b">
        <f t="shared" si="2"/>
        <v>1</v>
      </c>
      <c r="V80" s="4" t="b">
        <f t="shared" si="3"/>
        <v>1</v>
      </c>
      <c r="W80" s="4" t="str">
        <f t="shared" si="8"/>
        <v>Distance/Location</v>
      </c>
      <c r="X80" s="4" t="str">
        <f t="shared" si="4"/>
        <v>mww</v>
      </c>
      <c r="Y80" s="4">
        <f t="shared" si="5"/>
        <v>1</v>
      </c>
      <c r="Z80" s="4" t="str">
        <f t="shared" si="6"/>
        <v>Unique</v>
      </c>
      <c r="AA80" s="4" t="str">
        <f t="shared" si="7"/>
        <v>Valid</v>
      </c>
    </row>
    <row r="81">
      <c r="A81" s="3" t="s">
        <v>315</v>
      </c>
      <c r="B81" s="3">
        <v>6.9</v>
      </c>
      <c r="C81" s="18">
        <v>44510.381944444445</v>
      </c>
      <c r="D81" s="3">
        <v>8.0</v>
      </c>
      <c r="E81" s="3">
        <v>6.0</v>
      </c>
      <c r="F81" s="3" t="s">
        <v>109</v>
      </c>
      <c r="G81" s="3">
        <v>1.0</v>
      </c>
      <c r="H81" s="3">
        <v>995.0</v>
      </c>
      <c r="I81" s="3" t="s">
        <v>316</v>
      </c>
      <c r="J81" s="3">
        <v>0.0</v>
      </c>
      <c r="K81" s="3">
        <v>0.0</v>
      </c>
      <c r="L81" s="3">
        <v>0.0</v>
      </c>
      <c r="M81" s="3" t="s">
        <v>111</v>
      </c>
      <c r="N81" s="3">
        <v>51.6</v>
      </c>
      <c r="O81" s="3">
        <v>56.2581</v>
      </c>
      <c r="P81" s="3">
        <v>-156.492</v>
      </c>
      <c r="Q81" s="3" t="s">
        <v>317</v>
      </c>
      <c r="R81" s="3" t="s">
        <v>233</v>
      </c>
      <c r="S81" s="3" t="s">
        <v>318</v>
      </c>
      <c r="T81" s="16">
        <f t="shared" si="1"/>
        <v>44480.38194</v>
      </c>
      <c r="U81" s="4" t="b">
        <f t="shared" si="2"/>
        <v>1</v>
      </c>
      <c r="V81" s="4" t="b">
        <f t="shared" si="3"/>
        <v>1</v>
      </c>
      <c r="W81" s="4" t="str">
        <f t="shared" si="8"/>
        <v>Distance/Location</v>
      </c>
      <c r="X81" s="4" t="str">
        <f t="shared" si="4"/>
        <v>mww</v>
      </c>
      <c r="Y81" s="4">
        <f t="shared" si="5"/>
        <v>1</v>
      </c>
      <c r="Z81" s="4" t="str">
        <f t="shared" si="6"/>
        <v>Unique</v>
      </c>
      <c r="AA81" s="4" t="str">
        <f t="shared" si="7"/>
        <v>Valid</v>
      </c>
    </row>
    <row r="82">
      <c r="A82" s="3" t="s">
        <v>319</v>
      </c>
      <c r="B82" s="3">
        <v>6.9</v>
      </c>
      <c r="C82" s="17">
        <v>44449.45694444444</v>
      </c>
      <c r="D82" s="3">
        <v>4.0</v>
      </c>
      <c r="E82" s="3">
        <v>3.0</v>
      </c>
      <c r="F82" s="3" t="s">
        <v>109</v>
      </c>
      <c r="G82" s="3">
        <v>1.0</v>
      </c>
      <c r="H82" s="3">
        <v>740.0</v>
      </c>
      <c r="I82" s="3" t="s">
        <v>110</v>
      </c>
      <c r="J82" s="3">
        <v>0.0</v>
      </c>
      <c r="K82" s="3">
        <v>4.778</v>
      </c>
      <c r="L82" s="3">
        <v>31.0</v>
      </c>
      <c r="M82" s="3" t="s">
        <v>111</v>
      </c>
      <c r="N82" s="3">
        <v>535.0</v>
      </c>
      <c r="O82" s="3">
        <v>-21.1704</v>
      </c>
      <c r="P82" s="3">
        <v>174.54</v>
      </c>
      <c r="Q82" s="3" t="s">
        <v>320</v>
      </c>
      <c r="R82" s="4"/>
      <c r="S82" s="4"/>
      <c r="T82" s="16">
        <f t="shared" si="1"/>
        <v>44478.45694</v>
      </c>
      <c r="U82" s="4" t="b">
        <f t="shared" si="2"/>
        <v>1</v>
      </c>
      <c r="V82" s="4" t="b">
        <f t="shared" si="3"/>
        <v>1</v>
      </c>
      <c r="W82" s="4" t="str">
        <f t="shared" si="8"/>
        <v>Named Region</v>
      </c>
      <c r="X82" s="4" t="str">
        <f t="shared" si="4"/>
        <v>mww</v>
      </c>
      <c r="Y82" s="4">
        <f t="shared" si="5"/>
        <v>1</v>
      </c>
      <c r="Z82" s="4" t="str">
        <f t="shared" si="6"/>
        <v>Unique</v>
      </c>
      <c r="AA82" s="4" t="str">
        <f t="shared" si="7"/>
        <v>Valid</v>
      </c>
    </row>
    <row r="83">
      <c r="A83" s="3" t="s">
        <v>321</v>
      </c>
      <c r="B83" s="3">
        <v>7.3</v>
      </c>
      <c r="C83" s="17">
        <v>44237.27013888889</v>
      </c>
      <c r="D83" s="3">
        <v>4.0</v>
      </c>
      <c r="E83" s="3">
        <v>4.0</v>
      </c>
      <c r="F83" s="3" t="s">
        <v>109</v>
      </c>
      <c r="G83" s="3">
        <v>1.0</v>
      </c>
      <c r="H83" s="3">
        <v>826.0</v>
      </c>
      <c r="I83" s="3" t="s">
        <v>110</v>
      </c>
      <c r="J83" s="3">
        <v>0.0</v>
      </c>
      <c r="K83" s="3">
        <v>4.493</v>
      </c>
      <c r="L83" s="3">
        <v>32.0</v>
      </c>
      <c r="M83" s="3" t="s">
        <v>111</v>
      </c>
      <c r="N83" s="3">
        <v>527.0</v>
      </c>
      <c r="O83" s="3">
        <v>-21.1036</v>
      </c>
      <c r="P83" s="3">
        <v>174.895</v>
      </c>
      <c r="Q83" s="3" t="s">
        <v>320</v>
      </c>
      <c r="R83" s="4"/>
      <c r="S83" s="4"/>
      <c r="T83" s="16">
        <f t="shared" si="1"/>
        <v>44471.27014</v>
      </c>
      <c r="U83" s="4" t="b">
        <f t="shared" si="2"/>
        <v>1</v>
      </c>
      <c r="V83" s="4" t="b">
        <f t="shared" si="3"/>
        <v>1</v>
      </c>
      <c r="W83" s="4" t="str">
        <f t="shared" si="8"/>
        <v>Named Region</v>
      </c>
      <c r="X83" s="4" t="str">
        <f t="shared" si="4"/>
        <v>mww</v>
      </c>
      <c r="Y83" s="4">
        <f t="shared" si="5"/>
        <v>1</v>
      </c>
      <c r="Z83" s="4" t="str">
        <f t="shared" si="6"/>
        <v>Unique</v>
      </c>
      <c r="AA83" s="4" t="str">
        <f t="shared" si="7"/>
        <v>Valid</v>
      </c>
    </row>
    <row r="84">
      <c r="A84" s="3" t="s">
        <v>322</v>
      </c>
      <c r="B84" s="3">
        <v>6.5</v>
      </c>
      <c r="C84" s="3" t="s">
        <v>323</v>
      </c>
      <c r="D84" s="3">
        <v>7.0</v>
      </c>
      <c r="E84" s="3">
        <v>5.0</v>
      </c>
      <c r="F84" s="3" t="s">
        <v>109</v>
      </c>
      <c r="G84" s="3">
        <v>1.0</v>
      </c>
      <c r="H84" s="3">
        <v>684.0</v>
      </c>
      <c r="I84" s="3" t="s">
        <v>110</v>
      </c>
      <c r="J84" s="3">
        <v>0.0</v>
      </c>
      <c r="K84" s="3">
        <v>0.993</v>
      </c>
      <c r="L84" s="3">
        <v>114.0</v>
      </c>
      <c r="M84" s="3" t="s">
        <v>111</v>
      </c>
      <c r="N84" s="3">
        <v>21.0</v>
      </c>
      <c r="O84" s="3">
        <v>12.1598</v>
      </c>
      <c r="P84" s="3">
        <v>-87.8542</v>
      </c>
      <c r="Q84" s="3" t="s">
        <v>324</v>
      </c>
      <c r="R84" s="4"/>
      <c r="S84" s="4"/>
      <c r="T84" s="16">
        <f t="shared" si="1"/>
        <v>44461.41458</v>
      </c>
      <c r="U84" s="4" t="b">
        <f t="shared" si="2"/>
        <v>1</v>
      </c>
      <c r="V84" s="4" t="b">
        <f t="shared" si="3"/>
        <v>0</v>
      </c>
      <c r="W84" s="4" t="str">
        <f t="shared" si="8"/>
        <v>Distance/Location</v>
      </c>
      <c r="X84" s="4" t="str">
        <f t="shared" si="4"/>
        <v>mww</v>
      </c>
      <c r="Y84" s="4">
        <f t="shared" si="5"/>
        <v>1</v>
      </c>
      <c r="Z84" s="4" t="str">
        <f t="shared" si="6"/>
        <v>Unique</v>
      </c>
      <c r="AA84" s="4" t="str">
        <f t="shared" si="7"/>
        <v>Valid</v>
      </c>
    </row>
    <row r="85">
      <c r="A85" s="3" t="s">
        <v>325</v>
      </c>
      <c r="B85" s="3">
        <v>7.0</v>
      </c>
      <c r="C85" s="17">
        <v>44417.07430555556</v>
      </c>
      <c r="D85" s="3">
        <v>8.0</v>
      </c>
      <c r="E85" s="3">
        <v>8.0</v>
      </c>
      <c r="F85" s="3" t="s">
        <v>198</v>
      </c>
      <c r="G85" s="3">
        <v>1.0</v>
      </c>
      <c r="H85" s="3">
        <v>2504.0</v>
      </c>
      <c r="I85" s="3" t="s">
        <v>110</v>
      </c>
      <c r="J85" s="3">
        <v>0.0</v>
      </c>
      <c r="K85" s="3">
        <v>0.07</v>
      </c>
      <c r="L85" s="3">
        <v>43.0</v>
      </c>
      <c r="M85" s="3" t="s">
        <v>111</v>
      </c>
      <c r="N85" s="3">
        <v>20.0</v>
      </c>
      <c r="O85" s="3">
        <v>16.9502</v>
      </c>
      <c r="P85" s="3">
        <v>-99.7877</v>
      </c>
      <c r="Q85" s="3" t="s">
        <v>326</v>
      </c>
      <c r="R85" s="3" t="s">
        <v>233</v>
      </c>
      <c r="S85" s="3" t="s">
        <v>234</v>
      </c>
      <c r="T85" s="16">
        <f t="shared" si="1"/>
        <v>44447.07431</v>
      </c>
      <c r="U85" s="4" t="b">
        <f t="shared" si="2"/>
        <v>1</v>
      </c>
      <c r="V85" s="4" t="b">
        <f t="shared" si="3"/>
        <v>1</v>
      </c>
      <c r="W85" s="4" t="str">
        <f t="shared" si="8"/>
        <v>Named Region</v>
      </c>
      <c r="X85" s="4" t="str">
        <f t="shared" si="4"/>
        <v>mww</v>
      </c>
      <c r="Y85" s="4">
        <f t="shared" si="5"/>
        <v>1</v>
      </c>
      <c r="Z85" s="4" t="str">
        <f t="shared" si="6"/>
        <v>Unique</v>
      </c>
      <c r="AA85" s="4" t="str">
        <f t="shared" si="7"/>
        <v>Valid</v>
      </c>
    </row>
    <row r="86">
      <c r="A86" s="3" t="s">
        <v>327</v>
      </c>
      <c r="B86" s="3">
        <v>7.1</v>
      </c>
      <c r="C86" s="3" t="s">
        <v>328</v>
      </c>
      <c r="D86" s="3">
        <v>1.0</v>
      </c>
      <c r="E86" s="3">
        <v>4.0</v>
      </c>
      <c r="F86" s="3" t="s">
        <v>109</v>
      </c>
      <c r="G86" s="3">
        <v>1.0</v>
      </c>
      <c r="H86" s="3">
        <v>776.0</v>
      </c>
      <c r="I86" s="3" t="s">
        <v>110</v>
      </c>
      <c r="J86" s="3">
        <v>0.0</v>
      </c>
      <c r="K86" s="3">
        <v>9.799</v>
      </c>
      <c r="L86" s="3">
        <v>32.0</v>
      </c>
      <c r="M86" s="3" t="s">
        <v>111</v>
      </c>
      <c r="N86" s="3">
        <v>6.0</v>
      </c>
      <c r="O86" s="3">
        <v>-60.3026</v>
      </c>
      <c r="P86" s="3">
        <v>-24.9992</v>
      </c>
      <c r="Q86" s="3" t="s">
        <v>329</v>
      </c>
      <c r="R86" s="4"/>
      <c r="S86" s="3" t="s">
        <v>330</v>
      </c>
      <c r="T86" s="16">
        <f t="shared" si="1"/>
        <v>44430.89792</v>
      </c>
      <c r="U86" s="4" t="b">
        <f t="shared" si="2"/>
        <v>1</v>
      </c>
      <c r="V86" s="4" t="b">
        <f t="shared" si="3"/>
        <v>0</v>
      </c>
      <c r="W86" s="4" t="str">
        <f t="shared" si="8"/>
        <v>Named Region</v>
      </c>
      <c r="X86" s="4" t="str">
        <f t="shared" si="4"/>
        <v>mww</v>
      </c>
      <c r="Y86" s="4">
        <f t="shared" si="5"/>
        <v>1</v>
      </c>
      <c r="Z86" s="4" t="str">
        <f t="shared" si="6"/>
        <v>Unique</v>
      </c>
      <c r="AA86" s="4" t="str">
        <f t="shared" si="7"/>
        <v>Valid</v>
      </c>
    </row>
    <row r="87">
      <c r="A87" s="3" t="s">
        <v>331</v>
      </c>
      <c r="B87" s="3">
        <v>6.6</v>
      </c>
      <c r="C87" s="3" t="s">
        <v>332</v>
      </c>
      <c r="D87" s="3">
        <v>1.0</v>
      </c>
      <c r="E87" s="3">
        <v>3.0</v>
      </c>
      <c r="F87" s="3" t="s">
        <v>109</v>
      </c>
      <c r="G87" s="3">
        <v>1.0</v>
      </c>
      <c r="H87" s="3">
        <v>670.0</v>
      </c>
      <c r="I87" s="3" t="s">
        <v>110</v>
      </c>
      <c r="J87" s="3">
        <v>0.0</v>
      </c>
      <c r="K87" s="3">
        <v>8.865</v>
      </c>
      <c r="L87" s="3">
        <v>19.0</v>
      </c>
      <c r="M87" s="3" t="s">
        <v>111</v>
      </c>
      <c r="N87" s="3">
        <v>7.0</v>
      </c>
      <c r="O87" s="3">
        <v>-60.1023</v>
      </c>
      <c r="P87" s="3">
        <v>-24.4608</v>
      </c>
      <c r="Q87" s="3" t="s">
        <v>329</v>
      </c>
      <c r="R87" s="4"/>
      <c r="S87" s="3" t="s">
        <v>330</v>
      </c>
      <c r="T87" s="16">
        <f t="shared" si="1"/>
        <v>44430.03125</v>
      </c>
      <c r="U87" s="4" t="b">
        <f t="shared" si="2"/>
        <v>1</v>
      </c>
      <c r="V87" s="4" t="b">
        <f t="shared" si="3"/>
        <v>0</v>
      </c>
      <c r="W87" s="4" t="str">
        <f t="shared" si="8"/>
        <v>Named Region</v>
      </c>
      <c r="X87" s="4" t="str">
        <f t="shared" si="4"/>
        <v>mww</v>
      </c>
      <c r="Y87" s="4">
        <f t="shared" si="5"/>
        <v>1</v>
      </c>
      <c r="Z87" s="4" t="str">
        <f t="shared" si="6"/>
        <v>Unique</v>
      </c>
      <c r="AA87" s="4" t="str">
        <f t="shared" si="7"/>
        <v>Valid</v>
      </c>
    </row>
    <row r="88">
      <c r="A88" s="3" t="s">
        <v>333</v>
      </c>
      <c r="B88" s="3">
        <v>6.9</v>
      </c>
      <c r="C88" s="3" t="s">
        <v>334</v>
      </c>
      <c r="D88" s="3">
        <v>8.0</v>
      </c>
      <c r="E88" s="3">
        <v>7.0</v>
      </c>
      <c r="F88" s="3" t="s">
        <v>109</v>
      </c>
      <c r="G88" s="3">
        <v>1.0</v>
      </c>
      <c r="H88" s="3">
        <v>741.0</v>
      </c>
      <c r="I88" s="3" t="s">
        <v>110</v>
      </c>
      <c r="J88" s="3">
        <v>0.0</v>
      </c>
      <c r="K88" s="3">
        <v>0.579</v>
      </c>
      <c r="L88" s="3">
        <v>54.0</v>
      </c>
      <c r="M88" s="3" t="s">
        <v>111</v>
      </c>
      <c r="N88" s="3">
        <v>93.0</v>
      </c>
      <c r="O88" s="3">
        <v>-14.892</v>
      </c>
      <c r="P88" s="3">
        <v>167.085</v>
      </c>
      <c r="Q88" s="3" t="s">
        <v>185</v>
      </c>
      <c r="R88" s="3" t="s">
        <v>213</v>
      </c>
      <c r="S88" s="3" t="s">
        <v>113</v>
      </c>
      <c r="T88" s="16">
        <f t="shared" si="1"/>
        <v>44426.42361</v>
      </c>
      <c r="U88" s="4" t="b">
        <f t="shared" si="2"/>
        <v>1</v>
      </c>
      <c r="V88" s="4" t="b">
        <f t="shared" si="3"/>
        <v>0</v>
      </c>
      <c r="W88" s="4" t="str">
        <f t="shared" si="8"/>
        <v>Distance/Location</v>
      </c>
      <c r="X88" s="4" t="str">
        <f t="shared" si="4"/>
        <v>mww</v>
      </c>
      <c r="Y88" s="4">
        <f t="shared" si="5"/>
        <v>1</v>
      </c>
      <c r="Z88" s="4" t="str">
        <f t="shared" si="6"/>
        <v>Unique</v>
      </c>
      <c r="AA88" s="4" t="str">
        <f t="shared" si="7"/>
        <v>Valid</v>
      </c>
    </row>
    <row r="89">
      <c r="A89" s="3" t="s">
        <v>335</v>
      </c>
      <c r="B89" s="3">
        <v>6.9</v>
      </c>
      <c r="C89" s="3" t="s">
        <v>336</v>
      </c>
      <c r="D89" s="3">
        <v>6.0</v>
      </c>
      <c r="E89" s="3">
        <v>4.0</v>
      </c>
      <c r="F89" s="3" t="s">
        <v>109</v>
      </c>
      <c r="G89" s="3">
        <v>1.0</v>
      </c>
      <c r="H89" s="3">
        <v>734.0</v>
      </c>
      <c r="I89" s="3" t="s">
        <v>110</v>
      </c>
      <c r="J89" s="3">
        <v>0.0</v>
      </c>
      <c r="K89" s="3">
        <v>8.363</v>
      </c>
      <c r="L89" s="3">
        <v>48.0</v>
      </c>
      <c r="M89" s="3" t="s">
        <v>111</v>
      </c>
      <c r="N89" s="3">
        <v>16.7</v>
      </c>
      <c r="O89" s="3">
        <v>-58.3814</v>
      </c>
      <c r="P89" s="3">
        <v>-23.3318</v>
      </c>
      <c r="Q89" s="3" t="s">
        <v>329</v>
      </c>
      <c r="R89" s="4"/>
      <c r="S89" s="4"/>
      <c r="T89" s="16">
        <f t="shared" si="1"/>
        <v>44424.46528</v>
      </c>
      <c r="U89" s="4" t="b">
        <f t="shared" si="2"/>
        <v>1</v>
      </c>
      <c r="V89" s="4" t="b">
        <f t="shared" si="3"/>
        <v>0</v>
      </c>
      <c r="W89" s="4" t="str">
        <f t="shared" si="8"/>
        <v>Named Region</v>
      </c>
      <c r="X89" s="4" t="str">
        <f t="shared" si="4"/>
        <v>mww</v>
      </c>
      <c r="Y89" s="4">
        <f t="shared" si="5"/>
        <v>1</v>
      </c>
      <c r="Z89" s="4" t="str">
        <f t="shared" si="6"/>
        <v>Unique</v>
      </c>
      <c r="AA89" s="4" t="str">
        <f t="shared" si="7"/>
        <v>Valid</v>
      </c>
    </row>
    <row r="90">
      <c r="A90" s="3" t="s">
        <v>337</v>
      </c>
      <c r="B90" s="3">
        <v>7.2</v>
      </c>
      <c r="C90" s="3" t="s">
        <v>338</v>
      </c>
      <c r="D90" s="3">
        <v>9.0</v>
      </c>
      <c r="E90" s="3">
        <v>8.0</v>
      </c>
      <c r="F90" s="3" t="s">
        <v>198</v>
      </c>
      <c r="G90" s="3">
        <v>1.0</v>
      </c>
      <c r="H90" s="3">
        <v>2331.0</v>
      </c>
      <c r="I90" s="3" t="s">
        <v>110</v>
      </c>
      <c r="J90" s="3">
        <v>0.0</v>
      </c>
      <c r="K90" s="3">
        <v>1.178</v>
      </c>
      <c r="L90" s="3">
        <v>23.0</v>
      </c>
      <c r="M90" s="3" t="s">
        <v>111</v>
      </c>
      <c r="N90" s="3">
        <v>10.0</v>
      </c>
      <c r="O90" s="3">
        <v>18.3521</v>
      </c>
      <c r="P90" s="3">
        <v>-73.4804</v>
      </c>
      <c r="Q90" s="3" t="s">
        <v>339</v>
      </c>
      <c r="R90" s="3" t="s">
        <v>233</v>
      </c>
      <c r="S90" s="3" t="s">
        <v>340</v>
      </c>
      <c r="T90" s="16">
        <f t="shared" si="1"/>
        <v>44422.52014</v>
      </c>
      <c r="U90" s="4" t="b">
        <f t="shared" si="2"/>
        <v>1</v>
      </c>
      <c r="V90" s="4" t="b">
        <f t="shared" si="3"/>
        <v>0</v>
      </c>
      <c r="W90" s="4" t="str">
        <f t="shared" si="8"/>
        <v>Named Region</v>
      </c>
      <c r="X90" s="4" t="str">
        <f t="shared" si="4"/>
        <v>mww</v>
      </c>
      <c r="Y90" s="4">
        <f t="shared" si="5"/>
        <v>1</v>
      </c>
      <c r="Z90" s="4" t="str">
        <f t="shared" si="6"/>
        <v>Unique</v>
      </c>
      <c r="AA90" s="4" t="str">
        <f t="shared" si="7"/>
        <v>Valid</v>
      </c>
    </row>
    <row r="91">
      <c r="A91" s="3" t="s">
        <v>341</v>
      </c>
      <c r="B91" s="3">
        <v>6.9</v>
      </c>
      <c r="C91" s="3" t="s">
        <v>342</v>
      </c>
      <c r="D91" s="3">
        <v>5.0</v>
      </c>
      <c r="E91" s="3">
        <v>4.0</v>
      </c>
      <c r="F91" s="3" t="s">
        <v>109</v>
      </c>
      <c r="G91" s="3">
        <v>1.0</v>
      </c>
      <c r="H91" s="3">
        <v>738.0</v>
      </c>
      <c r="I91" s="3" t="s">
        <v>316</v>
      </c>
      <c r="J91" s="3">
        <v>0.0</v>
      </c>
      <c r="K91" s="3">
        <v>0.0</v>
      </c>
      <c r="L91" s="3">
        <v>0.0</v>
      </c>
      <c r="M91" s="3" t="s">
        <v>111</v>
      </c>
      <c r="N91" s="3">
        <v>33.3</v>
      </c>
      <c r="O91" s="3">
        <v>55.2364</v>
      </c>
      <c r="P91" s="3">
        <v>-157.707</v>
      </c>
      <c r="Q91" s="3" t="s">
        <v>343</v>
      </c>
      <c r="R91" s="4"/>
      <c r="S91" s="4"/>
      <c r="T91" s="16">
        <f t="shared" si="1"/>
        <v>44422.49792</v>
      </c>
      <c r="U91" s="4" t="b">
        <f t="shared" si="2"/>
        <v>1</v>
      </c>
      <c r="V91" s="4" t="b">
        <f t="shared" si="3"/>
        <v>0</v>
      </c>
      <c r="W91" s="4" t="str">
        <f t="shared" si="8"/>
        <v>Distance/Location</v>
      </c>
      <c r="X91" s="4" t="str">
        <f t="shared" si="4"/>
        <v>mww</v>
      </c>
      <c r="Y91" s="4">
        <f t="shared" si="5"/>
        <v>1</v>
      </c>
      <c r="Z91" s="4" t="str">
        <f t="shared" si="6"/>
        <v>Unique</v>
      </c>
      <c r="AA91" s="4" t="str">
        <f t="shared" si="7"/>
        <v>Valid</v>
      </c>
    </row>
    <row r="92">
      <c r="A92" s="3" t="s">
        <v>344</v>
      </c>
      <c r="B92" s="3">
        <v>6.9</v>
      </c>
      <c r="C92" s="3" t="s">
        <v>342</v>
      </c>
      <c r="D92" s="3">
        <v>5.0</v>
      </c>
      <c r="E92" s="3">
        <v>4.0</v>
      </c>
      <c r="F92" s="3" t="s">
        <v>109</v>
      </c>
      <c r="G92" s="3">
        <v>1.0</v>
      </c>
      <c r="H92" s="3">
        <v>738.0</v>
      </c>
      <c r="I92" s="3" t="s">
        <v>110</v>
      </c>
      <c r="J92" s="3">
        <v>0.0</v>
      </c>
      <c r="K92" s="3">
        <v>1.173</v>
      </c>
      <c r="L92" s="3">
        <v>36.0</v>
      </c>
      <c r="M92" s="3" t="s">
        <v>111</v>
      </c>
      <c r="N92" s="3">
        <v>20.74</v>
      </c>
      <c r="O92" s="3">
        <v>55.2657</v>
      </c>
      <c r="P92" s="3">
        <v>-157.68</v>
      </c>
      <c r="Q92" s="3" t="s">
        <v>343</v>
      </c>
      <c r="R92" s="4"/>
      <c r="S92" s="4"/>
      <c r="T92" s="16">
        <f t="shared" si="1"/>
        <v>44422.49792</v>
      </c>
      <c r="U92" s="4" t="b">
        <f t="shared" si="2"/>
        <v>1</v>
      </c>
      <c r="V92" s="4" t="b">
        <f t="shared" si="3"/>
        <v>0</v>
      </c>
      <c r="W92" s="4" t="str">
        <f t="shared" si="8"/>
        <v>Distance/Location</v>
      </c>
      <c r="X92" s="4" t="str">
        <f t="shared" si="4"/>
        <v>mww</v>
      </c>
      <c r="Y92" s="4">
        <f t="shared" si="5"/>
        <v>1</v>
      </c>
      <c r="Z92" s="4" t="str">
        <f t="shared" si="6"/>
        <v>Unique</v>
      </c>
      <c r="AA92" s="4" t="str">
        <f t="shared" si="7"/>
        <v>Valid</v>
      </c>
    </row>
    <row r="93">
      <c r="A93" s="3" t="s">
        <v>345</v>
      </c>
      <c r="B93" s="3">
        <v>8.1</v>
      </c>
      <c r="C93" s="17">
        <v>44538.774305555555</v>
      </c>
      <c r="D93" s="3">
        <v>0.0</v>
      </c>
      <c r="E93" s="3">
        <v>7.0</v>
      </c>
      <c r="F93" s="3" t="s">
        <v>109</v>
      </c>
      <c r="G93" s="3">
        <v>0.0</v>
      </c>
      <c r="H93" s="3">
        <v>1009.0</v>
      </c>
      <c r="I93" s="3" t="s">
        <v>110</v>
      </c>
      <c r="J93" s="3">
        <v>0.0</v>
      </c>
      <c r="K93" s="3">
        <v>7.463</v>
      </c>
      <c r="L93" s="3">
        <v>78.0</v>
      </c>
      <c r="M93" s="3" t="s">
        <v>111</v>
      </c>
      <c r="N93" s="3">
        <v>22.79</v>
      </c>
      <c r="O93" s="3">
        <v>-58.4157</v>
      </c>
      <c r="P93" s="3">
        <v>-25.3206</v>
      </c>
      <c r="Q93" s="3" t="s">
        <v>329</v>
      </c>
      <c r="R93" s="4"/>
      <c r="S93" s="4"/>
      <c r="T93" s="16">
        <f t="shared" si="1"/>
        <v>44420.77431</v>
      </c>
      <c r="U93" s="4" t="b">
        <f t="shared" si="2"/>
        <v>1</v>
      </c>
      <c r="V93" s="4" t="b">
        <f t="shared" si="3"/>
        <v>1</v>
      </c>
      <c r="W93" s="4" t="str">
        <f t="shared" si="8"/>
        <v>Named Region</v>
      </c>
      <c r="X93" s="4" t="str">
        <f t="shared" si="4"/>
        <v>mww</v>
      </c>
      <c r="Y93" s="4">
        <f t="shared" si="5"/>
        <v>1</v>
      </c>
      <c r="Z93" s="4" t="str">
        <f t="shared" si="6"/>
        <v>Unique</v>
      </c>
      <c r="AA93" s="4" t="str">
        <f t="shared" si="7"/>
        <v>Valid</v>
      </c>
    </row>
    <row r="94">
      <c r="A94" s="3" t="s">
        <v>346</v>
      </c>
      <c r="B94" s="3">
        <v>7.5</v>
      </c>
      <c r="C94" s="17">
        <v>44538.77222222222</v>
      </c>
      <c r="D94" s="3">
        <v>9.0</v>
      </c>
      <c r="E94" s="3">
        <v>6.0</v>
      </c>
      <c r="F94" s="3" t="s">
        <v>109</v>
      </c>
      <c r="G94" s="3">
        <v>1.0</v>
      </c>
      <c r="H94" s="3">
        <v>868.0</v>
      </c>
      <c r="I94" s="3" t="s">
        <v>110</v>
      </c>
      <c r="J94" s="3">
        <v>0.0</v>
      </c>
      <c r="K94" s="3">
        <v>7.227</v>
      </c>
      <c r="L94" s="3">
        <v>38.0</v>
      </c>
      <c r="M94" s="3" t="s">
        <v>111</v>
      </c>
      <c r="N94" s="3">
        <v>47.23</v>
      </c>
      <c r="O94" s="3">
        <v>-57.5959</v>
      </c>
      <c r="P94" s="3">
        <v>-25.1874</v>
      </c>
      <c r="Q94" s="3" t="s">
        <v>329</v>
      </c>
      <c r="R94" s="4"/>
      <c r="S94" s="4"/>
      <c r="T94" s="16">
        <f t="shared" si="1"/>
        <v>44420.77222</v>
      </c>
      <c r="U94" s="4" t="b">
        <f t="shared" si="2"/>
        <v>1</v>
      </c>
      <c r="V94" s="4" t="b">
        <f t="shared" si="3"/>
        <v>1</v>
      </c>
      <c r="W94" s="4" t="str">
        <f t="shared" si="8"/>
        <v>Named Region</v>
      </c>
      <c r="X94" s="4" t="str">
        <f t="shared" si="4"/>
        <v>mww</v>
      </c>
      <c r="Y94" s="4">
        <f t="shared" si="5"/>
        <v>1</v>
      </c>
      <c r="Z94" s="4" t="str">
        <f t="shared" si="6"/>
        <v>Unique</v>
      </c>
      <c r="AA94" s="4" t="str">
        <f t="shared" si="7"/>
        <v>Valid</v>
      </c>
    </row>
    <row r="95">
      <c r="A95" s="3" t="s">
        <v>347</v>
      </c>
      <c r="B95" s="3">
        <v>7.1</v>
      </c>
      <c r="C95" s="17">
        <v>44508.740277777775</v>
      </c>
      <c r="D95" s="3">
        <v>9.0</v>
      </c>
      <c r="E95" s="3">
        <v>7.0</v>
      </c>
      <c r="F95" s="3" t="s">
        <v>109</v>
      </c>
      <c r="G95" s="3">
        <v>1.0</v>
      </c>
      <c r="H95" s="3">
        <v>846.0</v>
      </c>
      <c r="I95" s="3" t="s">
        <v>110</v>
      </c>
      <c r="J95" s="3">
        <v>0.0</v>
      </c>
      <c r="K95" s="3">
        <v>1.273</v>
      </c>
      <c r="L95" s="3">
        <v>25.0</v>
      </c>
      <c r="M95" s="3" t="s">
        <v>111</v>
      </c>
      <c r="N95" s="3">
        <v>55.14</v>
      </c>
      <c r="O95" s="3">
        <v>6.4547</v>
      </c>
      <c r="P95" s="3">
        <v>126.742</v>
      </c>
      <c r="Q95" s="3" t="s">
        <v>348</v>
      </c>
      <c r="R95" s="4"/>
      <c r="S95" s="4"/>
      <c r="T95" s="16">
        <f t="shared" si="1"/>
        <v>44419.74028</v>
      </c>
      <c r="U95" s="4" t="b">
        <f t="shared" si="2"/>
        <v>1</v>
      </c>
      <c r="V95" s="4" t="b">
        <f t="shared" si="3"/>
        <v>1</v>
      </c>
      <c r="W95" s="4" t="str">
        <f t="shared" si="8"/>
        <v>Distance/Location</v>
      </c>
      <c r="X95" s="4" t="str">
        <f t="shared" si="4"/>
        <v>mww</v>
      </c>
      <c r="Y95" s="4">
        <f t="shared" si="5"/>
        <v>1</v>
      </c>
      <c r="Z95" s="4" t="str">
        <f t="shared" si="6"/>
        <v>Unique</v>
      </c>
      <c r="AA95" s="4" t="str">
        <f t="shared" si="7"/>
        <v>Valid</v>
      </c>
    </row>
    <row r="96">
      <c r="A96" s="3" t="s">
        <v>349</v>
      </c>
      <c r="B96" s="3">
        <v>8.2</v>
      </c>
      <c r="C96" s="3" t="s">
        <v>350</v>
      </c>
      <c r="D96" s="3">
        <v>8.0</v>
      </c>
      <c r="E96" s="3">
        <v>6.0</v>
      </c>
      <c r="F96" s="3" t="s">
        <v>109</v>
      </c>
      <c r="G96" s="3">
        <v>1.0</v>
      </c>
      <c r="H96" s="3">
        <v>1237.0</v>
      </c>
      <c r="I96" s="3" t="s">
        <v>110</v>
      </c>
      <c r="J96" s="3">
        <v>0.0</v>
      </c>
      <c r="K96" s="3">
        <v>0.875</v>
      </c>
      <c r="L96" s="3">
        <v>66.0</v>
      </c>
      <c r="M96" s="3" t="s">
        <v>111</v>
      </c>
      <c r="N96" s="3">
        <v>46.66</v>
      </c>
      <c r="O96" s="3">
        <v>55.4742</v>
      </c>
      <c r="P96" s="3">
        <v>-157.917</v>
      </c>
      <c r="Q96" s="3" t="s">
        <v>343</v>
      </c>
      <c r="R96" s="4"/>
      <c r="S96" s="4"/>
      <c r="T96" s="16">
        <f t="shared" si="1"/>
        <v>44406.26042</v>
      </c>
      <c r="U96" s="4" t="b">
        <f t="shared" si="2"/>
        <v>1</v>
      </c>
      <c r="V96" s="4" t="b">
        <f t="shared" si="3"/>
        <v>0</v>
      </c>
      <c r="W96" s="4" t="str">
        <f t="shared" si="8"/>
        <v>Distance/Location</v>
      </c>
      <c r="X96" s="4" t="str">
        <f t="shared" si="4"/>
        <v>mww</v>
      </c>
      <c r="Y96" s="4">
        <f t="shared" si="5"/>
        <v>1</v>
      </c>
      <c r="Z96" s="4" t="str">
        <f t="shared" si="6"/>
        <v>Unique</v>
      </c>
      <c r="AA96" s="4" t="str">
        <f t="shared" si="7"/>
        <v>Valid</v>
      </c>
    </row>
    <row r="97">
      <c r="A97" s="3" t="s">
        <v>351</v>
      </c>
      <c r="B97" s="3">
        <v>8.2</v>
      </c>
      <c r="C97" s="3" t="s">
        <v>350</v>
      </c>
      <c r="D97" s="3">
        <v>8.0</v>
      </c>
      <c r="E97" s="3">
        <v>7.0</v>
      </c>
      <c r="F97" s="3" t="s">
        <v>116</v>
      </c>
      <c r="G97" s="3">
        <v>1.0</v>
      </c>
      <c r="H97" s="3">
        <v>1252.0</v>
      </c>
      <c r="I97" s="3" t="s">
        <v>316</v>
      </c>
      <c r="J97" s="3">
        <v>0.0</v>
      </c>
      <c r="K97" s="3">
        <v>0.0</v>
      </c>
      <c r="L97" s="3">
        <v>0.0</v>
      </c>
      <c r="M97" s="3" t="s">
        <v>111</v>
      </c>
      <c r="N97" s="3">
        <v>35.0</v>
      </c>
      <c r="O97" s="3">
        <v>55.3154</v>
      </c>
      <c r="P97" s="3">
        <v>-157.829</v>
      </c>
      <c r="Q97" s="3" t="s">
        <v>343</v>
      </c>
      <c r="R97" s="4"/>
      <c r="S97" s="4"/>
      <c r="T97" s="16">
        <f t="shared" si="1"/>
        <v>44406.26042</v>
      </c>
      <c r="U97" s="4" t="b">
        <f t="shared" si="2"/>
        <v>1</v>
      </c>
      <c r="V97" s="4" t="b">
        <f t="shared" si="3"/>
        <v>0</v>
      </c>
      <c r="W97" s="4" t="str">
        <f t="shared" si="8"/>
        <v>Distance/Location</v>
      </c>
      <c r="X97" s="4" t="str">
        <f t="shared" si="4"/>
        <v>mww</v>
      </c>
      <c r="Y97" s="4">
        <f t="shared" si="5"/>
        <v>1</v>
      </c>
      <c r="Z97" s="4" t="str">
        <f t="shared" si="6"/>
        <v>Unique</v>
      </c>
      <c r="AA97" s="4" t="str">
        <f t="shared" si="7"/>
        <v>Valid</v>
      </c>
    </row>
    <row r="98">
      <c r="A98" s="3" t="s">
        <v>352</v>
      </c>
      <c r="B98" s="3">
        <v>6.7</v>
      </c>
      <c r="C98" s="3" t="s">
        <v>353</v>
      </c>
      <c r="D98" s="3">
        <v>8.0</v>
      </c>
      <c r="E98" s="3">
        <v>5.0</v>
      </c>
      <c r="F98" s="3" t="s">
        <v>109</v>
      </c>
      <c r="G98" s="3">
        <v>1.0</v>
      </c>
      <c r="H98" s="3">
        <v>935.0</v>
      </c>
      <c r="I98" s="3" t="s">
        <v>110</v>
      </c>
      <c r="J98" s="3">
        <v>0.0</v>
      </c>
      <c r="K98" s="3">
        <v>8.139</v>
      </c>
      <c r="L98" s="3">
        <v>12.0</v>
      </c>
      <c r="M98" s="3" t="s">
        <v>111</v>
      </c>
      <c r="N98" s="3">
        <v>110.0</v>
      </c>
      <c r="O98" s="3">
        <v>13.6989</v>
      </c>
      <c r="P98" s="3">
        <v>120.713</v>
      </c>
      <c r="Q98" s="3" t="s">
        <v>354</v>
      </c>
      <c r="R98" s="3" t="s">
        <v>164</v>
      </c>
      <c r="S98" s="3" t="s">
        <v>258</v>
      </c>
      <c r="T98" s="16">
        <f t="shared" si="1"/>
        <v>44400.86667</v>
      </c>
      <c r="U98" s="4" t="b">
        <f t="shared" si="2"/>
        <v>1</v>
      </c>
      <c r="V98" s="4" t="b">
        <f t="shared" si="3"/>
        <v>0</v>
      </c>
      <c r="W98" s="4" t="str">
        <f t="shared" si="8"/>
        <v>Distance/Location</v>
      </c>
      <c r="X98" s="4" t="str">
        <f t="shared" si="4"/>
        <v>mww</v>
      </c>
      <c r="Y98" s="4">
        <f t="shared" si="5"/>
        <v>1</v>
      </c>
      <c r="Z98" s="4" t="str">
        <f t="shared" si="6"/>
        <v>Unique</v>
      </c>
      <c r="AA98" s="4" t="str">
        <f t="shared" si="7"/>
        <v>Valid</v>
      </c>
    </row>
    <row r="99">
      <c r="A99" s="3" t="s">
        <v>355</v>
      </c>
      <c r="B99" s="3">
        <v>6.7</v>
      </c>
      <c r="C99" s="3" t="s">
        <v>356</v>
      </c>
      <c r="D99" s="3">
        <v>6.0</v>
      </c>
      <c r="E99" s="3">
        <v>6.0</v>
      </c>
      <c r="F99" s="3" t="s">
        <v>109</v>
      </c>
      <c r="G99" s="3">
        <v>1.0</v>
      </c>
      <c r="H99" s="3">
        <v>830.0</v>
      </c>
      <c r="I99" s="3" t="s">
        <v>110</v>
      </c>
      <c r="J99" s="3">
        <v>0.0</v>
      </c>
      <c r="K99" s="3">
        <v>1.395</v>
      </c>
      <c r="L99" s="3">
        <v>61.0</v>
      </c>
      <c r="M99" s="3" t="s">
        <v>111</v>
      </c>
      <c r="N99" s="3">
        <v>10.0</v>
      </c>
      <c r="O99" s="3">
        <v>7.5904</v>
      </c>
      <c r="P99" s="3">
        <v>-82.8813</v>
      </c>
      <c r="Q99" s="3" t="s">
        <v>357</v>
      </c>
      <c r="R99" s="4"/>
      <c r="S99" s="4"/>
      <c r="T99" s="16">
        <f t="shared" si="1"/>
        <v>44398.88542</v>
      </c>
      <c r="U99" s="4" t="b">
        <f t="shared" si="2"/>
        <v>1</v>
      </c>
      <c r="V99" s="4" t="b">
        <f t="shared" si="3"/>
        <v>0</v>
      </c>
      <c r="W99" s="4" t="str">
        <f t="shared" si="8"/>
        <v>Distance/Location</v>
      </c>
      <c r="X99" s="4" t="str">
        <f t="shared" si="4"/>
        <v>mww</v>
      </c>
      <c r="Y99" s="4">
        <f t="shared" si="5"/>
        <v>1</v>
      </c>
      <c r="Z99" s="4" t="str">
        <f t="shared" si="6"/>
        <v>Unique</v>
      </c>
      <c r="AA99" s="4" t="str">
        <f t="shared" si="7"/>
        <v>Valid</v>
      </c>
    </row>
    <row r="100">
      <c r="A100" s="3" t="s">
        <v>358</v>
      </c>
      <c r="B100" s="3">
        <v>6.5</v>
      </c>
      <c r="C100" s="3" t="s">
        <v>359</v>
      </c>
      <c r="D100" s="3">
        <v>0.0</v>
      </c>
      <c r="E100" s="3">
        <v>4.0</v>
      </c>
      <c r="F100" s="3" t="s">
        <v>109</v>
      </c>
      <c r="G100" s="3">
        <v>1.0</v>
      </c>
      <c r="H100" s="3">
        <v>650.0</v>
      </c>
      <c r="I100" s="3" t="s">
        <v>110</v>
      </c>
      <c r="J100" s="3">
        <v>0.0</v>
      </c>
      <c r="K100" s="3">
        <v>7.994</v>
      </c>
      <c r="L100" s="3">
        <v>24.0</v>
      </c>
      <c r="M100" s="3" t="s">
        <v>111</v>
      </c>
      <c r="N100" s="3">
        <v>25.0</v>
      </c>
      <c r="O100" s="3">
        <v>-30.2144</v>
      </c>
      <c r="P100" s="3">
        <v>-177.773</v>
      </c>
      <c r="Q100" s="3" t="s">
        <v>156</v>
      </c>
      <c r="R100" s="4"/>
      <c r="S100" s="4"/>
      <c r="T100" s="16">
        <f t="shared" si="1"/>
        <v>44367.71181</v>
      </c>
      <c r="U100" s="4" t="b">
        <f t="shared" si="2"/>
        <v>1</v>
      </c>
      <c r="V100" s="4" t="b">
        <f t="shared" si="3"/>
        <v>0</v>
      </c>
      <c r="W100" s="4" t="str">
        <f t="shared" si="8"/>
        <v>Named Region</v>
      </c>
      <c r="X100" s="4" t="str">
        <f t="shared" si="4"/>
        <v>mww</v>
      </c>
      <c r="Y100" s="4">
        <f t="shared" si="5"/>
        <v>1</v>
      </c>
      <c r="Z100" s="4" t="str">
        <f t="shared" si="6"/>
        <v>Unique</v>
      </c>
      <c r="AA100" s="4" t="str">
        <f t="shared" si="7"/>
        <v>Valid</v>
      </c>
    </row>
    <row r="101">
      <c r="A101" s="3" t="s">
        <v>360</v>
      </c>
      <c r="B101" s="3">
        <v>6.5</v>
      </c>
      <c r="C101" s="3" t="s">
        <v>361</v>
      </c>
      <c r="D101" s="3">
        <v>5.0</v>
      </c>
      <c r="E101" s="3">
        <v>7.0</v>
      </c>
      <c r="F101" s="3" t="s">
        <v>109</v>
      </c>
      <c r="G101" s="3">
        <v>1.0</v>
      </c>
      <c r="H101" s="3">
        <v>652.0</v>
      </c>
      <c r="I101" s="3" t="s">
        <v>110</v>
      </c>
      <c r="J101" s="3">
        <v>0.0</v>
      </c>
      <c r="K101" s="3">
        <v>4.518</v>
      </c>
      <c r="L101" s="3">
        <v>44.0</v>
      </c>
      <c r="M101" s="3" t="s">
        <v>111</v>
      </c>
      <c r="N101" s="3">
        <v>10.0</v>
      </c>
      <c r="O101" s="3">
        <v>-16.4796</v>
      </c>
      <c r="P101" s="3">
        <v>-177.356</v>
      </c>
      <c r="Q101" s="3" t="s">
        <v>362</v>
      </c>
      <c r="R101" s="4"/>
      <c r="S101" s="4"/>
      <c r="T101" s="16">
        <f t="shared" si="1"/>
        <v>44337.92569</v>
      </c>
      <c r="U101" s="4" t="b">
        <f t="shared" si="2"/>
        <v>1</v>
      </c>
      <c r="V101" s="4" t="b">
        <f t="shared" si="3"/>
        <v>0</v>
      </c>
      <c r="W101" s="4" t="str">
        <f t="shared" si="8"/>
        <v>Distance/Location</v>
      </c>
      <c r="X101" s="4" t="str">
        <f t="shared" si="4"/>
        <v>mww</v>
      </c>
      <c r="Y101" s="4">
        <f t="shared" si="5"/>
        <v>1</v>
      </c>
      <c r="Z101" s="4" t="str">
        <f t="shared" si="6"/>
        <v>Unique</v>
      </c>
      <c r="AA101" s="4" t="str">
        <f t="shared" si="7"/>
        <v>Valid</v>
      </c>
    </row>
    <row r="102">
      <c r="A102" s="3" t="s">
        <v>363</v>
      </c>
      <c r="B102" s="3">
        <v>7.3</v>
      </c>
      <c r="C102" s="3" t="s">
        <v>364</v>
      </c>
      <c r="D102" s="3">
        <v>9.0</v>
      </c>
      <c r="E102" s="3">
        <v>9.0</v>
      </c>
      <c r="F102" s="3" t="s">
        <v>178</v>
      </c>
      <c r="G102" s="3">
        <v>0.0</v>
      </c>
      <c r="H102" s="3">
        <v>1025.0</v>
      </c>
      <c r="I102" s="3" t="s">
        <v>110</v>
      </c>
      <c r="J102" s="3">
        <v>0.0</v>
      </c>
      <c r="K102" s="3">
        <v>4.655</v>
      </c>
      <c r="L102" s="3">
        <v>9.0</v>
      </c>
      <c r="M102" s="3" t="s">
        <v>111</v>
      </c>
      <c r="N102" s="3">
        <v>10.0</v>
      </c>
      <c r="O102" s="3">
        <v>34.5861</v>
      </c>
      <c r="P102" s="3">
        <v>98.2551</v>
      </c>
      <c r="Q102" s="3" t="s">
        <v>365</v>
      </c>
      <c r="R102" s="3" t="s">
        <v>164</v>
      </c>
      <c r="S102" s="3" t="s">
        <v>251</v>
      </c>
      <c r="T102" s="16">
        <f t="shared" si="1"/>
        <v>44337.75278</v>
      </c>
      <c r="U102" s="4" t="b">
        <f t="shared" si="2"/>
        <v>1</v>
      </c>
      <c r="V102" s="4" t="b">
        <f t="shared" si="3"/>
        <v>0</v>
      </c>
      <c r="W102" s="4" t="str">
        <f t="shared" si="8"/>
        <v>Named Region</v>
      </c>
      <c r="X102" s="4" t="str">
        <f t="shared" si="4"/>
        <v>mww</v>
      </c>
      <c r="Y102" s="4">
        <f t="shared" si="5"/>
        <v>1</v>
      </c>
      <c r="Z102" s="4" t="str">
        <f t="shared" si="6"/>
        <v>Unique</v>
      </c>
      <c r="AA102" s="4" t="str">
        <f t="shared" si="7"/>
        <v>Valid</v>
      </c>
    </row>
    <row r="103">
      <c r="A103" s="3" t="s">
        <v>366</v>
      </c>
      <c r="B103" s="3">
        <v>6.7</v>
      </c>
      <c r="C103" s="3" t="s">
        <v>367</v>
      </c>
      <c r="D103" s="3">
        <v>8.0</v>
      </c>
      <c r="E103" s="3">
        <v>4.0</v>
      </c>
      <c r="F103" s="3" t="s">
        <v>109</v>
      </c>
      <c r="G103" s="3">
        <v>0.0</v>
      </c>
      <c r="H103" s="3">
        <v>698.0</v>
      </c>
      <c r="I103" s="3" t="s">
        <v>110</v>
      </c>
      <c r="J103" s="3">
        <v>0.0</v>
      </c>
      <c r="K103" s="3">
        <v>1.487</v>
      </c>
      <c r="L103" s="3">
        <v>37.0</v>
      </c>
      <c r="M103" s="3" t="s">
        <v>111</v>
      </c>
      <c r="N103" s="3">
        <v>11.0</v>
      </c>
      <c r="O103" s="3">
        <v>0.1684</v>
      </c>
      <c r="P103" s="3">
        <v>96.6475</v>
      </c>
      <c r="Q103" s="3" t="s">
        <v>368</v>
      </c>
      <c r="R103" s="4"/>
      <c r="S103" s="4"/>
      <c r="T103" s="16">
        <f t="shared" si="1"/>
        <v>44330.27292</v>
      </c>
      <c r="U103" s="4" t="b">
        <f t="shared" si="2"/>
        <v>1</v>
      </c>
      <c r="V103" s="4" t="b">
        <f t="shared" si="3"/>
        <v>0</v>
      </c>
      <c r="W103" s="4" t="str">
        <f t="shared" si="8"/>
        <v>Distance/Location</v>
      </c>
      <c r="X103" s="4" t="str">
        <f t="shared" si="4"/>
        <v>mww</v>
      </c>
      <c r="Y103" s="4">
        <f t="shared" si="5"/>
        <v>1</v>
      </c>
      <c r="Z103" s="4" t="str">
        <f t="shared" si="6"/>
        <v>Unique</v>
      </c>
      <c r="AA103" s="4" t="str">
        <f t="shared" si="7"/>
        <v>Valid</v>
      </c>
    </row>
    <row r="104">
      <c r="A104" s="3" t="s">
        <v>369</v>
      </c>
      <c r="B104" s="3">
        <v>6.7</v>
      </c>
      <c r="C104" s="17">
        <v>44535.586805555555</v>
      </c>
      <c r="D104" s="3">
        <v>9.0</v>
      </c>
      <c r="E104" s="3">
        <v>3.0</v>
      </c>
      <c r="F104" s="3" t="s">
        <v>109</v>
      </c>
      <c r="G104" s="3">
        <v>0.0</v>
      </c>
      <c r="H104" s="3">
        <v>694.0</v>
      </c>
      <c r="I104" s="3" t="s">
        <v>110</v>
      </c>
      <c r="J104" s="3">
        <v>0.0</v>
      </c>
      <c r="K104" s="3">
        <v>10.669</v>
      </c>
      <c r="L104" s="3">
        <v>45.0</v>
      </c>
      <c r="M104" s="3" t="s">
        <v>111</v>
      </c>
      <c r="N104" s="3">
        <v>10.0</v>
      </c>
      <c r="O104" s="3">
        <v>-17.2495</v>
      </c>
      <c r="P104" s="3">
        <v>66.3745</v>
      </c>
      <c r="Q104" s="3" t="s">
        <v>370</v>
      </c>
      <c r="R104" s="4"/>
      <c r="S104" s="4"/>
      <c r="T104" s="16">
        <f t="shared" si="1"/>
        <v>44328.58681</v>
      </c>
      <c r="U104" s="4" t="b">
        <f t="shared" si="2"/>
        <v>1</v>
      </c>
      <c r="V104" s="4" t="b">
        <f t="shared" si="3"/>
        <v>1</v>
      </c>
      <c r="W104" s="4" t="str">
        <f t="shared" si="8"/>
        <v>Named Region</v>
      </c>
      <c r="X104" s="4" t="str">
        <f t="shared" si="4"/>
        <v>mww</v>
      </c>
      <c r="Y104" s="4">
        <f t="shared" si="5"/>
        <v>1</v>
      </c>
      <c r="Z104" s="4" t="str">
        <f t="shared" si="6"/>
        <v>Unique</v>
      </c>
      <c r="AA104" s="4" t="str">
        <f t="shared" si="7"/>
        <v>Valid</v>
      </c>
    </row>
    <row r="105">
      <c r="A105" s="3" t="s">
        <v>266</v>
      </c>
      <c r="B105" s="3">
        <v>6.9</v>
      </c>
      <c r="C105" s="17">
        <v>44201.06041666667</v>
      </c>
      <c r="D105" s="3">
        <v>7.0</v>
      </c>
      <c r="E105" s="3">
        <v>6.0</v>
      </c>
      <c r="F105" s="3" t="s">
        <v>109</v>
      </c>
      <c r="G105" s="3">
        <v>1.0</v>
      </c>
      <c r="H105" s="3">
        <v>919.0</v>
      </c>
      <c r="I105" s="3" t="s">
        <v>110</v>
      </c>
      <c r="J105" s="3">
        <v>0.0</v>
      </c>
      <c r="K105" s="3">
        <v>2.619</v>
      </c>
      <c r="L105" s="3">
        <v>35.0</v>
      </c>
      <c r="M105" s="3" t="s">
        <v>111</v>
      </c>
      <c r="N105" s="3">
        <v>43.0</v>
      </c>
      <c r="O105" s="3">
        <v>38.2296</v>
      </c>
      <c r="P105" s="3">
        <v>141.665</v>
      </c>
      <c r="Q105" s="4"/>
      <c r="R105" s="3" t="s">
        <v>164</v>
      </c>
      <c r="S105" s="3" t="s">
        <v>371</v>
      </c>
      <c r="T105" s="16">
        <f t="shared" si="1"/>
        <v>44317.06042</v>
      </c>
      <c r="U105" s="4" t="b">
        <f t="shared" si="2"/>
        <v>1</v>
      </c>
      <c r="V105" s="4" t="b">
        <f t="shared" si="3"/>
        <v>1</v>
      </c>
      <c r="W105" s="4" t="str">
        <f t="shared" si="8"/>
        <v>Named Region</v>
      </c>
      <c r="X105" s="4" t="str">
        <f t="shared" si="4"/>
        <v>mww</v>
      </c>
      <c r="Y105" s="4">
        <f t="shared" si="5"/>
        <v>1</v>
      </c>
      <c r="Z105" s="4" t="str">
        <f t="shared" si="6"/>
        <v>Unique</v>
      </c>
      <c r="AA105" s="4" t="str">
        <f t="shared" si="7"/>
        <v>Valid</v>
      </c>
    </row>
    <row r="106">
      <c r="A106" s="3" t="s">
        <v>372</v>
      </c>
      <c r="B106" s="3">
        <v>6.5</v>
      </c>
      <c r="C106" s="3" t="s">
        <v>373</v>
      </c>
      <c r="D106" s="3">
        <v>4.0</v>
      </c>
      <c r="E106" s="3">
        <v>4.0</v>
      </c>
      <c r="F106" s="3" t="s">
        <v>109</v>
      </c>
      <c r="G106" s="3">
        <v>0.0</v>
      </c>
      <c r="H106" s="3">
        <v>651.0</v>
      </c>
      <c r="I106" s="3" t="s">
        <v>110</v>
      </c>
      <c r="J106" s="3">
        <v>0.0</v>
      </c>
      <c r="K106" s="3">
        <v>5.931</v>
      </c>
      <c r="L106" s="3">
        <v>20.0</v>
      </c>
      <c r="M106" s="3" t="s">
        <v>111</v>
      </c>
      <c r="N106" s="3">
        <v>246.0</v>
      </c>
      <c r="O106" s="3">
        <v>-21.6857</v>
      </c>
      <c r="P106" s="3">
        <v>-177.064</v>
      </c>
      <c r="Q106" s="3" t="s">
        <v>374</v>
      </c>
      <c r="R106" s="4"/>
      <c r="S106" s="4"/>
      <c r="T106" s="16">
        <f t="shared" si="1"/>
        <v>44311.93611</v>
      </c>
      <c r="U106" s="4" t="b">
        <f t="shared" si="2"/>
        <v>1</v>
      </c>
      <c r="V106" s="4" t="b">
        <f t="shared" si="3"/>
        <v>0</v>
      </c>
      <c r="W106" s="4" t="str">
        <f t="shared" si="8"/>
        <v>Distance/Location</v>
      </c>
      <c r="X106" s="4" t="str">
        <f t="shared" si="4"/>
        <v>mww</v>
      </c>
      <c r="Y106" s="4">
        <f t="shared" si="5"/>
        <v>1</v>
      </c>
      <c r="Z106" s="4" t="str">
        <f t="shared" si="6"/>
        <v>Unique</v>
      </c>
      <c r="AA106" s="4" t="str">
        <f t="shared" si="7"/>
        <v>Valid</v>
      </c>
    </row>
    <row r="107">
      <c r="A107" s="3" t="s">
        <v>375</v>
      </c>
      <c r="B107" s="3">
        <v>6.5</v>
      </c>
      <c r="C107" s="3" t="s">
        <v>376</v>
      </c>
      <c r="D107" s="3">
        <v>6.0</v>
      </c>
      <c r="E107" s="3">
        <v>4.0</v>
      </c>
      <c r="F107" s="3" t="s">
        <v>109</v>
      </c>
      <c r="G107" s="3">
        <v>0.0</v>
      </c>
      <c r="H107" s="3">
        <v>652.0</v>
      </c>
      <c r="I107" s="3" t="s">
        <v>110</v>
      </c>
      <c r="J107" s="3">
        <v>0.0</v>
      </c>
      <c r="K107" s="3">
        <v>10.405</v>
      </c>
      <c r="L107" s="3">
        <v>19.0</v>
      </c>
      <c r="M107" s="3" t="s">
        <v>111</v>
      </c>
      <c r="N107" s="3">
        <v>301.0</v>
      </c>
      <c r="O107" s="3">
        <v>-18.9204</v>
      </c>
      <c r="P107" s="3">
        <v>-176.235</v>
      </c>
      <c r="Q107" s="3" t="s">
        <v>377</v>
      </c>
      <c r="R107" s="4"/>
      <c r="S107" s="4"/>
      <c r="T107" s="16">
        <f t="shared" si="1"/>
        <v>44310.01597</v>
      </c>
      <c r="U107" s="4" t="b">
        <f t="shared" si="2"/>
        <v>1</v>
      </c>
      <c r="V107" s="4" t="b">
        <f t="shared" si="3"/>
        <v>0</v>
      </c>
      <c r="W107" s="4" t="str">
        <f t="shared" si="8"/>
        <v>Distance/Location</v>
      </c>
      <c r="X107" s="4" t="str">
        <f t="shared" si="4"/>
        <v>mww</v>
      </c>
      <c r="Y107" s="4">
        <f t="shared" si="5"/>
        <v>1</v>
      </c>
      <c r="Z107" s="4" t="str">
        <f t="shared" si="6"/>
        <v>Unique</v>
      </c>
      <c r="AA107" s="4" t="str">
        <f t="shared" si="7"/>
        <v>Valid</v>
      </c>
    </row>
    <row r="108">
      <c r="A108" s="3" t="s">
        <v>378</v>
      </c>
      <c r="B108" s="3">
        <v>7.0</v>
      </c>
      <c r="C108" s="3" t="s">
        <v>379</v>
      </c>
      <c r="D108" s="3">
        <v>7.0</v>
      </c>
      <c r="E108" s="3">
        <v>7.0</v>
      </c>
      <c r="F108" s="3" t="s">
        <v>116</v>
      </c>
      <c r="G108" s="3">
        <v>1.0</v>
      </c>
      <c r="H108" s="3">
        <v>1052.0</v>
      </c>
      <c r="I108" s="3" t="s">
        <v>110</v>
      </c>
      <c r="J108" s="3">
        <v>0.0</v>
      </c>
      <c r="K108" s="3">
        <v>2.378</v>
      </c>
      <c r="L108" s="3">
        <v>35.0</v>
      </c>
      <c r="M108" s="3" t="s">
        <v>111</v>
      </c>
      <c r="N108" s="3">
        <v>43.0</v>
      </c>
      <c r="O108" s="3">
        <v>38.4752</v>
      </c>
      <c r="P108" s="3">
        <v>141.607</v>
      </c>
      <c r="Q108" s="3" t="s">
        <v>380</v>
      </c>
      <c r="R108" s="3" t="s">
        <v>164</v>
      </c>
      <c r="S108" s="3" t="s">
        <v>371</v>
      </c>
      <c r="T108" s="16">
        <f t="shared" si="1"/>
        <v>44275.38125</v>
      </c>
      <c r="U108" s="4" t="b">
        <f t="shared" si="2"/>
        <v>1</v>
      </c>
      <c r="V108" s="4" t="b">
        <f t="shared" si="3"/>
        <v>0</v>
      </c>
      <c r="W108" s="4" t="str">
        <f t="shared" si="8"/>
        <v>Distance/Location</v>
      </c>
      <c r="X108" s="4" t="str">
        <f t="shared" si="4"/>
        <v>mww</v>
      </c>
      <c r="Y108" s="4">
        <f t="shared" si="5"/>
        <v>1</v>
      </c>
      <c r="Z108" s="4" t="str">
        <f t="shared" si="6"/>
        <v>Unique</v>
      </c>
      <c r="AA108" s="4" t="str">
        <f t="shared" si="7"/>
        <v>Valid</v>
      </c>
    </row>
    <row r="109">
      <c r="A109" s="3" t="s">
        <v>381</v>
      </c>
      <c r="B109" s="3">
        <v>6.6</v>
      </c>
      <c r="C109" s="3" t="s">
        <v>382</v>
      </c>
      <c r="D109" s="3">
        <v>5.0</v>
      </c>
      <c r="E109" s="3">
        <v>5.0</v>
      </c>
      <c r="F109" s="3" t="s">
        <v>109</v>
      </c>
      <c r="G109" s="3">
        <v>1.0</v>
      </c>
      <c r="H109" s="3">
        <v>672.0</v>
      </c>
      <c r="I109" s="3" t="s">
        <v>110</v>
      </c>
      <c r="J109" s="3">
        <v>0.0</v>
      </c>
      <c r="K109" s="3">
        <v>3.183</v>
      </c>
      <c r="L109" s="3">
        <v>18.0</v>
      </c>
      <c r="M109" s="3" t="s">
        <v>111</v>
      </c>
      <c r="N109" s="3">
        <v>13.23</v>
      </c>
      <c r="O109" s="3">
        <v>54.7018</v>
      </c>
      <c r="P109" s="3">
        <v>163.208</v>
      </c>
      <c r="Q109" s="3" t="s">
        <v>383</v>
      </c>
      <c r="R109" s="4"/>
      <c r="S109" s="4"/>
      <c r="T109" s="16">
        <f t="shared" si="1"/>
        <v>44271.77639</v>
      </c>
      <c r="U109" s="4" t="b">
        <f t="shared" si="2"/>
        <v>1</v>
      </c>
      <c r="V109" s="4" t="b">
        <f t="shared" si="3"/>
        <v>0</v>
      </c>
      <c r="W109" s="4" t="str">
        <f t="shared" si="8"/>
        <v>Distance/Location</v>
      </c>
      <c r="X109" s="4" t="str">
        <f t="shared" si="4"/>
        <v>mww</v>
      </c>
      <c r="Y109" s="4">
        <f t="shared" si="5"/>
        <v>1</v>
      </c>
      <c r="Z109" s="4" t="str">
        <f t="shared" si="6"/>
        <v>Unique</v>
      </c>
      <c r="AA109" s="4" t="str">
        <f t="shared" si="7"/>
        <v>Valid</v>
      </c>
    </row>
    <row r="110">
      <c r="A110" s="3" t="s">
        <v>290</v>
      </c>
      <c r="B110" s="3">
        <v>6.5</v>
      </c>
      <c r="C110" s="17">
        <v>44289.96666666667</v>
      </c>
      <c r="D110" s="3">
        <v>0.0</v>
      </c>
      <c r="E110" s="3">
        <v>4.0</v>
      </c>
      <c r="F110" s="3" t="s">
        <v>109</v>
      </c>
      <c r="G110" s="3">
        <v>0.0</v>
      </c>
      <c r="H110" s="3">
        <v>650.0</v>
      </c>
      <c r="I110" s="3" t="s">
        <v>110</v>
      </c>
      <c r="J110" s="3">
        <v>0.0</v>
      </c>
      <c r="K110" s="3">
        <v>11.764</v>
      </c>
      <c r="L110" s="3">
        <v>25.0</v>
      </c>
      <c r="M110" s="3" t="s">
        <v>224</v>
      </c>
      <c r="N110" s="3">
        <v>24.0</v>
      </c>
      <c r="O110" s="3">
        <v>-28.4792</v>
      </c>
      <c r="P110" s="3">
        <v>-176.619</v>
      </c>
      <c r="Q110" s="3" t="s">
        <v>182</v>
      </c>
      <c r="R110" s="4"/>
      <c r="S110" s="4"/>
      <c r="T110" s="16">
        <f t="shared" si="1"/>
        <v>44259.96667</v>
      </c>
      <c r="U110" s="4" t="b">
        <f t="shared" si="2"/>
        <v>1</v>
      </c>
      <c r="V110" s="4" t="b">
        <f t="shared" si="3"/>
        <v>1</v>
      </c>
      <c r="W110" s="4" t="str">
        <f t="shared" si="8"/>
        <v>Named Region</v>
      </c>
      <c r="X110" s="4" t="str">
        <f t="shared" si="4"/>
        <v>mwb</v>
      </c>
      <c r="Y110" s="4">
        <f t="shared" si="5"/>
        <v>1</v>
      </c>
      <c r="Z110" s="4" t="str">
        <f t="shared" si="6"/>
        <v>Unique</v>
      </c>
      <c r="AA110" s="4" t="str">
        <f t="shared" si="7"/>
        <v>Valid</v>
      </c>
    </row>
    <row r="111">
      <c r="A111" s="3" t="s">
        <v>384</v>
      </c>
      <c r="B111" s="3">
        <v>8.1</v>
      </c>
      <c r="C111" s="17">
        <v>44289.811111111114</v>
      </c>
      <c r="D111" s="3">
        <v>9.0</v>
      </c>
      <c r="E111" s="3">
        <v>8.0</v>
      </c>
      <c r="F111" s="3" t="s">
        <v>109</v>
      </c>
      <c r="G111" s="3">
        <v>1.0</v>
      </c>
      <c r="H111" s="3">
        <v>1021.0</v>
      </c>
      <c r="I111" s="3" t="s">
        <v>110</v>
      </c>
      <c r="J111" s="3">
        <v>0.0</v>
      </c>
      <c r="K111" s="3">
        <v>0.739</v>
      </c>
      <c r="L111" s="3">
        <v>21.0</v>
      </c>
      <c r="M111" s="3" t="s">
        <v>111</v>
      </c>
      <c r="N111" s="3">
        <v>28.93</v>
      </c>
      <c r="O111" s="3">
        <v>-29.7466</v>
      </c>
      <c r="P111" s="3">
        <v>-177.224</v>
      </c>
      <c r="Q111" s="3" t="s">
        <v>156</v>
      </c>
      <c r="R111" s="4"/>
      <c r="S111" s="4"/>
      <c r="T111" s="16">
        <f t="shared" si="1"/>
        <v>44259.81111</v>
      </c>
      <c r="U111" s="4" t="b">
        <f t="shared" si="2"/>
        <v>1</v>
      </c>
      <c r="V111" s="4" t="b">
        <f t="shared" si="3"/>
        <v>1</v>
      </c>
      <c r="W111" s="4" t="str">
        <f t="shared" si="8"/>
        <v>Named Region</v>
      </c>
      <c r="X111" s="4" t="str">
        <f t="shared" si="4"/>
        <v>mww</v>
      </c>
      <c r="Y111" s="4">
        <f t="shared" si="5"/>
        <v>1</v>
      </c>
      <c r="Z111" s="4" t="str">
        <f t="shared" si="6"/>
        <v>Unique</v>
      </c>
      <c r="AA111" s="4" t="str">
        <f t="shared" si="7"/>
        <v>Valid</v>
      </c>
    </row>
    <row r="112">
      <c r="A112" s="3" t="s">
        <v>385</v>
      </c>
      <c r="B112" s="3">
        <v>7.4</v>
      </c>
      <c r="C112" s="17">
        <v>44289.736805555556</v>
      </c>
      <c r="D112" s="3">
        <v>3.0</v>
      </c>
      <c r="E112" s="3">
        <v>7.0</v>
      </c>
      <c r="F112" s="3" t="s">
        <v>109</v>
      </c>
      <c r="G112" s="3">
        <v>1.0</v>
      </c>
      <c r="H112" s="3">
        <v>843.0</v>
      </c>
      <c r="I112" s="3" t="s">
        <v>110</v>
      </c>
      <c r="J112" s="3">
        <v>0.0</v>
      </c>
      <c r="K112" s="3">
        <v>0.437</v>
      </c>
      <c r="L112" s="3">
        <v>30.0</v>
      </c>
      <c r="M112" s="3" t="s">
        <v>111</v>
      </c>
      <c r="N112" s="3">
        <v>43.0</v>
      </c>
      <c r="O112" s="3">
        <v>-29.6131</v>
      </c>
      <c r="P112" s="3">
        <v>-177.842</v>
      </c>
      <c r="Q112" s="3" t="s">
        <v>156</v>
      </c>
      <c r="R112" s="4"/>
      <c r="S112" s="4"/>
      <c r="T112" s="16">
        <f t="shared" si="1"/>
        <v>44259.73681</v>
      </c>
      <c r="U112" s="4" t="b">
        <f t="shared" si="2"/>
        <v>1</v>
      </c>
      <c r="V112" s="4" t="b">
        <f t="shared" si="3"/>
        <v>1</v>
      </c>
      <c r="W112" s="4" t="str">
        <f t="shared" si="8"/>
        <v>Named Region</v>
      </c>
      <c r="X112" s="4" t="str">
        <f t="shared" si="4"/>
        <v>mww</v>
      </c>
      <c r="Y112" s="4">
        <f t="shared" si="5"/>
        <v>1</v>
      </c>
      <c r="Z112" s="4" t="str">
        <f t="shared" si="6"/>
        <v>Unique</v>
      </c>
      <c r="AA112" s="4" t="str">
        <f t="shared" si="7"/>
        <v>Valid</v>
      </c>
    </row>
    <row r="113">
      <c r="A113" s="3" t="s">
        <v>386</v>
      </c>
      <c r="B113" s="3">
        <v>7.3</v>
      </c>
      <c r="C113" s="17">
        <v>44289.56041666667</v>
      </c>
      <c r="D113" s="3">
        <v>7.0</v>
      </c>
      <c r="E113" s="3">
        <v>6.0</v>
      </c>
      <c r="F113" s="3" t="s">
        <v>109</v>
      </c>
      <c r="G113" s="3">
        <v>1.0</v>
      </c>
      <c r="H113" s="3">
        <v>932.0</v>
      </c>
      <c r="I113" s="3" t="s">
        <v>110</v>
      </c>
      <c r="J113" s="3">
        <v>0.0</v>
      </c>
      <c r="K113" s="3">
        <v>0.918</v>
      </c>
      <c r="L113" s="3">
        <v>24.0</v>
      </c>
      <c r="M113" s="3" t="s">
        <v>111</v>
      </c>
      <c r="N113" s="3">
        <v>10.0</v>
      </c>
      <c r="O113" s="3">
        <v>-37.596</v>
      </c>
      <c r="P113" s="3">
        <v>179.544</v>
      </c>
      <c r="Q113" s="3" t="s">
        <v>387</v>
      </c>
      <c r="R113" s="4"/>
      <c r="S113" s="4"/>
      <c r="T113" s="16">
        <f t="shared" si="1"/>
        <v>44259.56042</v>
      </c>
      <c r="U113" s="4" t="b">
        <f t="shared" si="2"/>
        <v>1</v>
      </c>
      <c r="V113" s="4" t="b">
        <f t="shared" si="3"/>
        <v>1</v>
      </c>
      <c r="W113" s="4" t="str">
        <f t="shared" si="8"/>
        <v>Distance/Location</v>
      </c>
      <c r="X113" s="4" t="str">
        <f t="shared" si="4"/>
        <v>mww</v>
      </c>
      <c r="Y113" s="4">
        <f t="shared" si="5"/>
        <v>1</v>
      </c>
      <c r="Z113" s="4" t="str">
        <f t="shared" si="6"/>
        <v>Unique</v>
      </c>
      <c r="AA113" s="4" t="str">
        <f t="shared" si="7"/>
        <v>Valid</v>
      </c>
    </row>
    <row r="114">
      <c r="A114" s="3" t="s">
        <v>388</v>
      </c>
      <c r="B114" s="3">
        <v>7.1</v>
      </c>
      <c r="C114" s="3" t="s">
        <v>389</v>
      </c>
      <c r="D114" s="3">
        <v>9.0</v>
      </c>
      <c r="E114" s="3">
        <v>8.0</v>
      </c>
      <c r="F114" s="3" t="s">
        <v>178</v>
      </c>
      <c r="G114" s="3">
        <v>1.0</v>
      </c>
      <c r="H114" s="3">
        <v>1612.0</v>
      </c>
      <c r="I114" s="3" t="s">
        <v>110</v>
      </c>
      <c r="J114" s="3">
        <v>0.0</v>
      </c>
      <c r="K114" s="3">
        <v>3.085</v>
      </c>
      <c r="L114" s="3">
        <v>11.0</v>
      </c>
      <c r="M114" s="3" t="s">
        <v>111</v>
      </c>
      <c r="N114" s="3">
        <v>43.98</v>
      </c>
      <c r="O114" s="3">
        <v>37.6856</v>
      </c>
      <c r="P114" s="3">
        <v>141.992</v>
      </c>
      <c r="Q114" s="3" t="s">
        <v>282</v>
      </c>
      <c r="R114" s="4"/>
      <c r="S114" s="4"/>
      <c r="T114" s="16">
        <f t="shared" si="1"/>
        <v>44240.58819</v>
      </c>
      <c r="U114" s="4" t="b">
        <f t="shared" si="2"/>
        <v>1</v>
      </c>
      <c r="V114" s="4" t="b">
        <f t="shared" si="3"/>
        <v>0</v>
      </c>
      <c r="W114" s="4" t="str">
        <f t="shared" si="8"/>
        <v>Distance/Location</v>
      </c>
      <c r="X114" s="4" t="str">
        <f t="shared" si="4"/>
        <v>mww</v>
      </c>
      <c r="Y114" s="4">
        <f t="shared" si="5"/>
        <v>1</v>
      </c>
      <c r="Z114" s="4" t="str">
        <f t="shared" si="6"/>
        <v>Unique</v>
      </c>
      <c r="AA114" s="4" t="str">
        <f t="shared" si="7"/>
        <v>Valid</v>
      </c>
    </row>
    <row r="115">
      <c r="A115" s="3" t="s">
        <v>144</v>
      </c>
      <c r="B115" s="3">
        <v>7.7</v>
      </c>
      <c r="C115" s="17">
        <v>44471.55486111111</v>
      </c>
      <c r="D115" s="3">
        <v>9.0</v>
      </c>
      <c r="E115" s="3">
        <v>4.0</v>
      </c>
      <c r="F115" s="3" t="s">
        <v>109</v>
      </c>
      <c r="G115" s="3">
        <v>1.0</v>
      </c>
      <c r="H115" s="3">
        <v>918.0</v>
      </c>
      <c r="I115" s="3" t="s">
        <v>110</v>
      </c>
      <c r="J115" s="3">
        <v>0.0</v>
      </c>
      <c r="K115" s="3">
        <v>7.989</v>
      </c>
      <c r="L115" s="3">
        <v>15.0</v>
      </c>
      <c r="M115" s="3" t="s">
        <v>111</v>
      </c>
      <c r="N115" s="3">
        <v>10.0</v>
      </c>
      <c r="O115" s="3">
        <v>-23.2787</v>
      </c>
      <c r="P115" s="3">
        <v>171.489</v>
      </c>
      <c r="Q115" s="3" t="s">
        <v>143</v>
      </c>
      <c r="R115" s="4"/>
      <c r="S115" s="4"/>
      <c r="T115" s="16">
        <f t="shared" si="1"/>
        <v>44237.55486</v>
      </c>
      <c r="U115" s="4" t="b">
        <f t="shared" si="2"/>
        <v>1</v>
      </c>
      <c r="V115" s="4" t="b">
        <f t="shared" si="3"/>
        <v>1</v>
      </c>
      <c r="W115" s="4" t="str">
        <f t="shared" si="8"/>
        <v>Named Region</v>
      </c>
      <c r="X115" s="4" t="str">
        <f t="shared" si="4"/>
        <v>mww</v>
      </c>
      <c r="Y115" s="4">
        <f t="shared" si="5"/>
        <v>1</v>
      </c>
      <c r="Z115" s="4" t="str">
        <f t="shared" si="6"/>
        <v>Unique</v>
      </c>
      <c r="AA115" s="4" t="str">
        <f t="shared" si="7"/>
        <v>Valid</v>
      </c>
    </row>
    <row r="116">
      <c r="A116" s="3" t="s">
        <v>390</v>
      </c>
      <c r="B116" s="3">
        <v>6.9</v>
      </c>
      <c r="C116" s="3" t="s">
        <v>391</v>
      </c>
      <c r="D116" s="3">
        <v>9.0</v>
      </c>
      <c r="E116" s="3">
        <v>5.0</v>
      </c>
      <c r="F116" s="3" t="s">
        <v>109</v>
      </c>
      <c r="G116" s="3">
        <v>1.0</v>
      </c>
      <c r="H116" s="3">
        <v>739.0</v>
      </c>
      <c r="I116" s="3" t="s">
        <v>110</v>
      </c>
      <c r="J116" s="3">
        <v>0.0</v>
      </c>
      <c r="K116" s="3">
        <v>1.55</v>
      </c>
      <c r="L116" s="3">
        <v>16.0</v>
      </c>
      <c r="M116" s="3" t="s">
        <v>111</v>
      </c>
      <c r="N116" s="3">
        <v>15.0</v>
      </c>
      <c r="O116" s="3">
        <v>-61.8484</v>
      </c>
      <c r="P116" s="3">
        <v>-55.559</v>
      </c>
      <c r="Q116" s="3" t="s">
        <v>392</v>
      </c>
      <c r="R116" s="4"/>
      <c r="S116" s="3" t="s">
        <v>330</v>
      </c>
      <c r="T116" s="16">
        <f t="shared" si="1"/>
        <v>44219.98333</v>
      </c>
      <c r="U116" s="4" t="b">
        <f t="shared" si="2"/>
        <v>1</v>
      </c>
      <c r="V116" s="4" t="b">
        <f t="shared" si="3"/>
        <v>0</v>
      </c>
      <c r="W116" s="4" t="str">
        <f t="shared" si="8"/>
        <v>Named Region</v>
      </c>
      <c r="X116" s="4" t="str">
        <f t="shared" si="4"/>
        <v>mww</v>
      </c>
      <c r="Y116" s="4">
        <f t="shared" si="5"/>
        <v>1</v>
      </c>
      <c r="Z116" s="4" t="str">
        <f t="shared" si="6"/>
        <v>Unique</v>
      </c>
      <c r="AA116" s="4" t="str">
        <f t="shared" si="7"/>
        <v>Valid</v>
      </c>
    </row>
    <row r="117">
      <c r="A117" s="3" t="s">
        <v>393</v>
      </c>
      <c r="B117" s="3">
        <v>7.0</v>
      </c>
      <c r="C117" s="3" t="s">
        <v>394</v>
      </c>
      <c r="D117" s="3">
        <v>7.0</v>
      </c>
      <c r="E117" s="3">
        <v>5.0</v>
      </c>
      <c r="F117" s="3" t="s">
        <v>109</v>
      </c>
      <c r="G117" s="3">
        <v>1.0</v>
      </c>
      <c r="H117" s="3">
        <v>802.0</v>
      </c>
      <c r="I117" s="3" t="s">
        <v>110</v>
      </c>
      <c r="J117" s="3">
        <v>0.0</v>
      </c>
      <c r="K117" s="3">
        <v>2.821</v>
      </c>
      <c r="L117" s="3">
        <v>15.0</v>
      </c>
      <c r="M117" s="3" t="s">
        <v>111</v>
      </c>
      <c r="N117" s="3">
        <v>80.0</v>
      </c>
      <c r="O117" s="3">
        <v>5.0074</v>
      </c>
      <c r="P117" s="3">
        <v>127.517</v>
      </c>
      <c r="Q117" s="3" t="s">
        <v>348</v>
      </c>
      <c r="R117" s="4"/>
      <c r="S117" s="4"/>
      <c r="T117" s="16">
        <f t="shared" si="1"/>
        <v>44217.51597</v>
      </c>
      <c r="U117" s="4" t="b">
        <f t="shared" si="2"/>
        <v>1</v>
      </c>
      <c r="V117" s="4" t="b">
        <f t="shared" si="3"/>
        <v>0</v>
      </c>
      <c r="W117" s="4" t="str">
        <f t="shared" si="8"/>
        <v>Distance/Location</v>
      </c>
      <c r="X117" s="4" t="str">
        <f t="shared" si="4"/>
        <v>mww</v>
      </c>
      <c r="Y117" s="4">
        <f t="shared" si="5"/>
        <v>1</v>
      </c>
      <c r="Z117" s="4" t="str">
        <f t="shared" si="6"/>
        <v>Unique</v>
      </c>
      <c r="AA117" s="4" t="str">
        <f t="shared" si="7"/>
        <v>Valid</v>
      </c>
    </row>
    <row r="118">
      <c r="A118" s="3" t="s">
        <v>395</v>
      </c>
      <c r="B118" s="3">
        <v>6.7</v>
      </c>
      <c r="C118" s="17">
        <v>44501.89722222222</v>
      </c>
      <c r="D118" s="3">
        <v>8.0</v>
      </c>
      <c r="E118" s="3">
        <v>8.0</v>
      </c>
      <c r="F118" s="3" t="s">
        <v>109</v>
      </c>
      <c r="G118" s="3">
        <v>0.0</v>
      </c>
      <c r="H118" s="3">
        <v>776.0</v>
      </c>
      <c r="I118" s="3" t="s">
        <v>110</v>
      </c>
      <c r="J118" s="3">
        <v>0.0</v>
      </c>
      <c r="K118" s="3">
        <v>2.043</v>
      </c>
      <c r="L118" s="3">
        <v>22.0</v>
      </c>
      <c r="M118" s="3" t="s">
        <v>111</v>
      </c>
      <c r="N118" s="3">
        <v>10.0</v>
      </c>
      <c r="O118" s="3">
        <v>51.2407</v>
      </c>
      <c r="P118" s="3">
        <v>100.443</v>
      </c>
      <c r="Q118" s="3" t="s">
        <v>396</v>
      </c>
      <c r="R118" s="3" t="s">
        <v>164</v>
      </c>
      <c r="S118" s="3" t="s">
        <v>397</v>
      </c>
      <c r="T118" s="16">
        <f t="shared" si="1"/>
        <v>44207.89722</v>
      </c>
      <c r="U118" s="4" t="b">
        <f t="shared" si="2"/>
        <v>1</v>
      </c>
      <c r="V118" s="4" t="b">
        <f t="shared" si="3"/>
        <v>1</v>
      </c>
      <c r="W118" s="4" t="str">
        <f t="shared" si="8"/>
        <v>Distance/Location</v>
      </c>
      <c r="X118" s="4" t="str">
        <f t="shared" si="4"/>
        <v>mww</v>
      </c>
      <c r="Y118" s="4">
        <f t="shared" si="5"/>
        <v>1</v>
      </c>
      <c r="Z118" s="4" t="str">
        <f t="shared" si="6"/>
        <v>Unique</v>
      </c>
      <c r="AA118" s="4" t="str">
        <f t="shared" si="7"/>
        <v>Valid</v>
      </c>
    </row>
    <row r="119">
      <c r="A119" s="3" t="s">
        <v>398</v>
      </c>
      <c r="B119" s="3">
        <v>6.7</v>
      </c>
      <c r="C119" s="3" t="s">
        <v>399</v>
      </c>
      <c r="D119" s="3">
        <v>5.0</v>
      </c>
      <c r="E119" s="3">
        <v>5.0</v>
      </c>
      <c r="F119" s="3" t="s">
        <v>109</v>
      </c>
      <c r="G119" s="3">
        <v>1.0</v>
      </c>
      <c r="H119" s="3">
        <v>776.0</v>
      </c>
      <c r="I119" s="3" t="s">
        <v>110</v>
      </c>
      <c r="J119" s="3">
        <v>0.0</v>
      </c>
      <c r="K119" s="3">
        <v>1.319</v>
      </c>
      <c r="L119" s="3">
        <v>19.0</v>
      </c>
      <c r="M119" s="3" t="s">
        <v>111</v>
      </c>
      <c r="N119" s="3">
        <v>10.0</v>
      </c>
      <c r="O119" s="3">
        <v>-39.3264</v>
      </c>
      <c r="P119" s="3">
        <v>-74.9067</v>
      </c>
      <c r="Q119" s="3" t="s">
        <v>400</v>
      </c>
      <c r="R119" s="4"/>
      <c r="S119" s="4"/>
      <c r="T119" s="16">
        <f t="shared" si="1"/>
        <v>44192.90208</v>
      </c>
      <c r="U119" s="4" t="b">
        <f t="shared" si="2"/>
        <v>1</v>
      </c>
      <c r="V119" s="4" t="b">
        <f t="shared" si="3"/>
        <v>0</v>
      </c>
      <c r="W119" s="4" t="str">
        <f t="shared" si="8"/>
        <v>Distance/Location</v>
      </c>
      <c r="X119" s="4" t="str">
        <f t="shared" si="4"/>
        <v>mww</v>
      </c>
      <c r="Y119" s="4">
        <f t="shared" si="5"/>
        <v>1</v>
      </c>
      <c r="Z119" s="4" t="str">
        <f t="shared" si="6"/>
        <v>Unique</v>
      </c>
      <c r="AA119" s="4" t="str">
        <f t="shared" si="7"/>
        <v>Valid</v>
      </c>
    </row>
    <row r="120">
      <c r="A120" s="3" t="s">
        <v>401</v>
      </c>
      <c r="B120" s="3">
        <v>7.0</v>
      </c>
      <c r="C120" s="3" t="s">
        <v>402</v>
      </c>
      <c r="D120" s="3">
        <v>8.0</v>
      </c>
      <c r="E120" s="3">
        <v>7.0</v>
      </c>
      <c r="F120" s="3" t="s">
        <v>178</v>
      </c>
      <c r="G120" s="3">
        <v>0.0</v>
      </c>
      <c r="H120" s="3">
        <v>1527.0</v>
      </c>
      <c r="I120" s="3" t="s">
        <v>110</v>
      </c>
      <c r="J120" s="3">
        <v>0.0</v>
      </c>
      <c r="K120" s="3">
        <v>1.518</v>
      </c>
      <c r="L120" s="3">
        <v>18.0</v>
      </c>
      <c r="M120" s="3" t="s">
        <v>111</v>
      </c>
      <c r="N120" s="3">
        <v>21.0</v>
      </c>
      <c r="O120" s="3">
        <v>37.8973</v>
      </c>
      <c r="P120" s="3">
        <v>26.7953</v>
      </c>
      <c r="Q120" s="3" t="s">
        <v>403</v>
      </c>
      <c r="R120" s="3" t="s">
        <v>404</v>
      </c>
      <c r="S120" s="3" t="s">
        <v>405</v>
      </c>
      <c r="T120" s="16">
        <f t="shared" si="1"/>
        <v>44134.49375</v>
      </c>
      <c r="U120" s="4" t="b">
        <f t="shared" si="2"/>
        <v>1</v>
      </c>
      <c r="V120" s="4" t="b">
        <f t="shared" si="3"/>
        <v>0</v>
      </c>
      <c r="W120" s="4" t="str">
        <f t="shared" si="8"/>
        <v>Distance/Location</v>
      </c>
      <c r="X120" s="4" t="str">
        <f t="shared" si="4"/>
        <v>mww</v>
      </c>
      <c r="Y120" s="4">
        <f t="shared" si="5"/>
        <v>1</v>
      </c>
      <c r="Z120" s="4" t="str">
        <f t="shared" si="6"/>
        <v>Unique</v>
      </c>
      <c r="AA120" s="4" t="str">
        <f t="shared" si="7"/>
        <v>Valid</v>
      </c>
    </row>
    <row r="121">
      <c r="A121" s="3" t="s">
        <v>406</v>
      </c>
      <c r="B121" s="3">
        <v>7.6</v>
      </c>
      <c r="C121" s="3" t="s">
        <v>407</v>
      </c>
      <c r="D121" s="3">
        <v>9.0</v>
      </c>
      <c r="E121" s="3">
        <v>7.0</v>
      </c>
      <c r="F121" s="3" t="s">
        <v>116</v>
      </c>
      <c r="G121" s="3">
        <v>1.0</v>
      </c>
      <c r="H121" s="3">
        <v>1165.0</v>
      </c>
      <c r="I121" s="3" t="s">
        <v>110</v>
      </c>
      <c r="J121" s="3">
        <v>0.0</v>
      </c>
      <c r="K121" s="3">
        <v>0.23</v>
      </c>
      <c r="L121" s="3">
        <v>36.0</v>
      </c>
      <c r="M121" s="3" t="s">
        <v>111</v>
      </c>
      <c r="N121" s="3">
        <v>28.37</v>
      </c>
      <c r="O121" s="3">
        <v>54.662</v>
      </c>
      <c r="P121" s="3">
        <v>-159.675</v>
      </c>
      <c r="Q121" s="3" t="s">
        <v>125</v>
      </c>
      <c r="R121" s="3" t="s">
        <v>233</v>
      </c>
      <c r="S121" s="3" t="s">
        <v>318</v>
      </c>
      <c r="T121" s="16">
        <f t="shared" si="1"/>
        <v>44123.87083</v>
      </c>
      <c r="U121" s="4" t="b">
        <f t="shared" si="2"/>
        <v>1</v>
      </c>
      <c r="V121" s="4" t="b">
        <f t="shared" si="3"/>
        <v>0</v>
      </c>
      <c r="W121" s="4" t="str">
        <f t="shared" si="8"/>
        <v>Distance/Location</v>
      </c>
      <c r="X121" s="4" t="str">
        <f t="shared" si="4"/>
        <v>mww</v>
      </c>
      <c r="Y121" s="4">
        <f t="shared" si="5"/>
        <v>1</v>
      </c>
      <c r="Z121" s="4" t="str">
        <f t="shared" si="6"/>
        <v>Unique</v>
      </c>
      <c r="AA121" s="4" t="str">
        <f t="shared" si="7"/>
        <v>Valid</v>
      </c>
    </row>
    <row r="122">
      <c r="A122" s="3" t="s">
        <v>408</v>
      </c>
      <c r="B122" s="3">
        <v>6.9</v>
      </c>
      <c r="C122" s="3" t="s">
        <v>409</v>
      </c>
      <c r="D122" s="3">
        <v>0.0</v>
      </c>
      <c r="E122" s="3">
        <v>3.0</v>
      </c>
      <c r="F122" s="3" t="s">
        <v>109</v>
      </c>
      <c r="G122" s="3">
        <v>1.0</v>
      </c>
      <c r="H122" s="3">
        <v>732.0</v>
      </c>
      <c r="I122" s="3" t="s">
        <v>110</v>
      </c>
      <c r="J122" s="3">
        <v>0.0</v>
      </c>
      <c r="K122" s="3">
        <v>11.255</v>
      </c>
      <c r="L122" s="3">
        <v>16.0</v>
      </c>
      <c r="M122" s="3" t="s">
        <v>111</v>
      </c>
      <c r="N122" s="3">
        <v>10.0</v>
      </c>
      <c r="O122" s="3">
        <v>0.9604</v>
      </c>
      <c r="P122" s="3">
        <v>-26.8332</v>
      </c>
      <c r="Q122" s="3" t="s">
        <v>410</v>
      </c>
      <c r="R122" s="4"/>
      <c r="S122" s="4"/>
      <c r="T122" s="16">
        <f t="shared" si="1"/>
        <v>44092.90486</v>
      </c>
      <c r="U122" s="4" t="b">
        <f t="shared" si="2"/>
        <v>1</v>
      </c>
      <c r="V122" s="4" t="b">
        <f t="shared" si="3"/>
        <v>0</v>
      </c>
      <c r="W122" s="4" t="str">
        <f t="shared" si="8"/>
        <v>Named Region</v>
      </c>
      <c r="X122" s="4" t="str">
        <f t="shared" si="4"/>
        <v>mww</v>
      </c>
      <c r="Y122" s="4">
        <f t="shared" si="5"/>
        <v>1</v>
      </c>
      <c r="Z122" s="4" t="str">
        <f t="shared" si="6"/>
        <v>Unique</v>
      </c>
      <c r="AA122" s="4" t="str">
        <f t="shared" si="7"/>
        <v>Valid</v>
      </c>
    </row>
    <row r="123">
      <c r="A123" s="3" t="s">
        <v>411</v>
      </c>
      <c r="B123" s="3">
        <v>6.5</v>
      </c>
      <c r="C123" s="17">
        <v>43839.88125</v>
      </c>
      <c r="D123" s="3">
        <v>6.0</v>
      </c>
      <c r="E123" s="3">
        <v>6.0</v>
      </c>
      <c r="F123" s="3" t="s">
        <v>109</v>
      </c>
      <c r="G123" s="3">
        <v>0.0</v>
      </c>
      <c r="H123" s="3">
        <v>674.0</v>
      </c>
      <c r="I123" s="3" t="s">
        <v>110</v>
      </c>
      <c r="J123" s="3">
        <v>0.0</v>
      </c>
      <c r="K123" s="3">
        <v>0.388</v>
      </c>
      <c r="L123" s="3">
        <v>49.0</v>
      </c>
      <c r="M123" s="3" t="s">
        <v>111</v>
      </c>
      <c r="N123" s="3">
        <v>16.0</v>
      </c>
      <c r="O123" s="3">
        <v>-27.9285</v>
      </c>
      <c r="P123" s="3">
        <v>-71.3937</v>
      </c>
      <c r="Q123" s="3" t="s">
        <v>412</v>
      </c>
      <c r="R123" s="4"/>
      <c r="S123" s="4"/>
      <c r="T123" s="16">
        <f t="shared" si="1"/>
        <v>44075.88125</v>
      </c>
      <c r="U123" s="4" t="b">
        <f t="shared" si="2"/>
        <v>1</v>
      </c>
      <c r="V123" s="4" t="b">
        <f t="shared" si="3"/>
        <v>1</v>
      </c>
      <c r="W123" s="4" t="str">
        <f t="shared" si="8"/>
        <v>Distance/Location</v>
      </c>
      <c r="X123" s="4" t="str">
        <f t="shared" si="4"/>
        <v>mww</v>
      </c>
      <c r="Y123" s="4">
        <f t="shared" si="5"/>
        <v>1</v>
      </c>
      <c r="Z123" s="4" t="str">
        <f t="shared" si="6"/>
        <v>Unique</v>
      </c>
      <c r="AA123" s="4" t="str">
        <f t="shared" si="7"/>
        <v>Valid</v>
      </c>
    </row>
    <row r="124">
      <c r="A124" s="3" t="s">
        <v>413</v>
      </c>
      <c r="B124" s="3">
        <v>6.8</v>
      </c>
      <c r="C124" s="17">
        <v>43839.17291666667</v>
      </c>
      <c r="D124" s="3">
        <v>6.0</v>
      </c>
      <c r="E124" s="3">
        <v>7.0</v>
      </c>
      <c r="F124" s="3" t="s">
        <v>109</v>
      </c>
      <c r="G124" s="3">
        <v>1.0</v>
      </c>
      <c r="H124" s="3">
        <v>824.0</v>
      </c>
      <c r="I124" s="3" t="s">
        <v>110</v>
      </c>
      <c r="J124" s="3">
        <v>0.0</v>
      </c>
      <c r="K124" s="3">
        <v>0.312</v>
      </c>
      <c r="L124" s="3">
        <v>69.0</v>
      </c>
      <c r="M124" s="3" t="s">
        <v>111</v>
      </c>
      <c r="N124" s="3">
        <v>21.0</v>
      </c>
      <c r="O124" s="3">
        <v>-28.013</v>
      </c>
      <c r="P124" s="3">
        <v>-71.1958</v>
      </c>
      <c r="Q124" s="3" t="s">
        <v>412</v>
      </c>
      <c r="R124" s="4"/>
      <c r="S124" s="3" t="s">
        <v>414</v>
      </c>
      <c r="T124" s="16">
        <f t="shared" si="1"/>
        <v>44075.17292</v>
      </c>
      <c r="U124" s="4" t="b">
        <f t="shared" si="2"/>
        <v>1</v>
      </c>
      <c r="V124" s="4" t="b">
        <f t="shared" si="3"/>
        <v>1</v>
      </c>
      <c r="W124" s="4" t="str">
        <f t="shared" si="8"/>
        <v>Distance/Location</v>
      </c>
      <c r="X124" s="4" t="str">
        <f t="shared" si="4"/>
        <v>mww</v>
      </c>
      <c r="Y124" s="4">
        <f t="shared" si="5"/>
        <v>1</v>
      </c>
      <c r="Z124" s="4" t="str">
        <f t="shared" si="6"/>
        <v>Unique</v>
      </c>
      <c r="AA124" s="4" t="str">
        <f t="shared" si="7"/>
        <v>Valid</v>
      </c>
    </row>
    <row r="125">
      <c r="A125" s="3" t="s">
        <v>415</v>
      </c>
      <c r="B125" s="3">
        <v>6.5</v>
      </c>
      <c r="C125" s="3" t="s">
        <v>416</v>
      </c>
      <c r="D125" s="3">
        <v>4.0</v>
      </c>
      <c r="E125" s="3">
        <v>5.0</v>
      </c>
      <c r="F125" s="3" t="s">
        <v>109</v>
      </c>
      <c r="G125" s="3">
        <v>0.0</v>
      </c>
      <c r="H125" s="3">
        <v>651.0</v>
      </c>
      <c r="I125" s="3" t="s">
        <v>110</v>
      </c>
      <c r="J125" s="3">
        <v>0.0</v>
      </c>
      <c r="K125" s="3">
        <v>15.394</v>
      </c>
      <c r="L125" s="3">
        <v>31.0</v>
      </c>
      <c r="M125" s="3" t="s">
        <v>111</v>
      </c>
      <c r="N125" s="3">
        <v>10.0</v>
      </c>
      <c r="O125" s="3">
        <v>0.8696</v>
      </c>
      <c r="P125" s="3">
        <v>-29.7046</v>
      </c>
      <c r="Q125" s="3" t="s">
        <v>410</v>
      </c>
      <c r="R125" s="4"/>
      <c r="S125" s="4"/>
      <c r="T125" s="16">
        <f t="shared" si="1"/>
        <v>44073.88889</v>
      </c>
      <c r="U125" s="4" t="b">
        <f t="shared" si="2"/>
        <v>1</v>
      </c>
      <c r="V125" s="4" t="b">
        <f t="shared" si="3"/>
        <v>0</v>
      </c>
      <c r="W125" s="4" t="str">
        <f t="shared" si="8"/>
        <v>Named Region</v>
      </c>
      <c r="X125" s="4" t="str">
        <f t="shared" si="4"/>
        <v>mww</v>
      </c>
      <c r="Y125" s="4">
        <f t="shared" si="5"/>
        <v>1</v>
      </c>
      <c r="Z125" s="4" t="str">
        <f t="shared" si="6"/>
        <v>Unique</v>
      </c>
      <c r="AA125" s="4" t="str">
        <f t="shared" si="7"/>
        <v>Valid</v>
      </c>
    </row>
    <row r="126">
      <c r="A126" s="3" t="s">
        <v>417</v>
      </c>
      <c r="B126" s="3">
        <v>6.9</v>
      </c>
      <c r="C126" s="3" t="s">
        <v>418</v>
      </c>
      <c r="D126" s="3">
        <v>4.0</v>
      </c>
      <c r="E126" s="3">
        <v>3.0</v>
      </c>
      <c r="F126" s="3" t="s">
        <v>109</v>
      </c>
      <c r="G126" s="3">
        <v>0.0</v>
      </c>
      <c r="H126" s="3">
        <v>749.0</v>
      </c>
      <c r="I126" s="3" t="s">
        <v>110</v>
      </c>
      <c r="J126" s="3">
        <v>0.0</v>
      </c>
      <c r="K126" s="3">
        <v>2.267</v>
      </c>
      <c r="L126" s="3">
        <v>20.0</v>
      </c>
      <c r="M126" s="3" t="s">
        <v>111</v>
      </c>
      <c r="N126" s="3">
        <v>624.0</v>
      </c>
      <c r="O126" s="3">
        <v>-6.6704</v>
      </c>
      <c r="P126" s="3">
        <v>123.493</v>
      </c>
      <c r="Q126" s="3" t="s">
        <v>419</v>
      </c>
      <c r="R126" s="4"/>
      <c r="S126" s="3" t="s">
        <v>153</v>
      </c>
      <c r="T126" s="16">
        <f t="shared" si="1"/>
        <v>44064.17292</v>
      </c>
      <c r="U126" s="4" t="b">
        <f t="shared" si="2"/>
        <v>1</v>
      </c>
      <c r="V126" s="4" t="b">
        <f t="shared" si="3"/>
        <v>0</v>
      </c>
      <c r="W126" s="4" t="str">
        <f t="shared" si="8"/>
        <v>Distance/Location</v>
      </c>
      <c r="X126" s="4" t="str">
        <f t="shared" si="4"/>
        <v>mww</v>
      </c>
      <c r="Y126" s="4">
        <f t="shared" si="5"/>
        <v>1</v>
      </c>
      <c r="Z126" s="4" t="str">
        <f t="shared" si="6"/>
        <v>Unique</v>
      </c>
      <c r="AA126" s="4" t="str">
        <f t="shared" si="7"/>
        <v>Valid</v>
      </c>
    </row>
    <row r="127">
      <c r="A127" s="3" t="s">
        <v>420</v>
      </c>
      <c r="B127" s="3">
        <v>6.9</v>
      </c>
      <c r="C127" s="3" t="s">
        <v>421</v>
      </c>
      <c r="D127" s="3">
        <v>4.0</v>
      </c>
      <c r="E127" s="3">
        <v>4.0</v>
      </c>
      <c r="F127" s="3" t="s">
        <v>109</v>
      </c>
      <c r="G127" s="3">
        <v>0.0</v>
      </c>
      <c r="H127" s="3">
        <v>735.0</v>
      </c>
      <c r="I127" s="3" t="s">
        <v>110</v>
      </c>
      <c r="J127" s="3">
        <v>0.0</v>
      </c>
      <c r="K127" s="3">
        <v>1.716</v>
      </c>
      <c r="L127" s="3">
        <v>25.0</v>
      </c>
      <c r="M127" s="3" t="s">
        <v>111</v>
      </c>
      <c r="N127" s="3">
        <v>26.0</v>
      </c>
      <c r="O127" s="3">
        <v>-4.2791</v>
      </c>
      <c r="P127" s="3">
        <v>101.215</v>
      </c>
      <c r="Q127" s="3" t="s">
        <v>217</v>
      </c>
      <c r="R127" s="4"/>
      <c r="S127" s="3" t="s">
        <v>153</v>
      </c>
      <c r="T127" s="16">
        <f t="shared" si="1"/>
        <v>44061.93681</v>
      </c>
      <c r="U127" s="4" t="b">
        <f t="shared" si="2"/>
        <v>1</v>
      </c>
      <c r="V127" s="4" t="b">
        <f t="shared" si="3"/>
        <v>0</v>
      </c>
      <c r="W127" s="4" t="str">
        <f t="shared" si="8"/>
        <v>Distance/Location</v>
      </c>
      <c r="X127" s="4" t="str">
        <f t="shared" si="4"/>
        <v>mww</v>
      </c>
      <c r="Y127" s="4">
        <f t="shared" si="5"/>
        <v>1</v>
      </c>
      <c r="Z127" s="4" t="str">
        <f t="shared" si="6"/>
        <v>Unique</v>
      </c>
      <c r="AA127" s="4" t="str">
        <f t="shared" si="7"/>
        <v>Valid</v>
      </c>
    </row>
    <row r="128">
      <c r="A128" s="3" t="s">
        <v>422</v>
      </c>
      <c r="B128" s="3">
        <v>6.8</v>
      </c>
      <c r="C128" s="3" t="s">
        <v>423</v>
      </c>
      <c r="D128" s="3">
        <v>5.0</v>
      </c>
      <c r="E128" s="3">
        <v>4.0</v>
      </c>
      <c r="F128" s="3" t="s">
        <v>109</v>
      </c>
      <c r="G128" s="3">
        <v>0.0</v>
      </c>
      <c r="H128" s="3">
        <v>716.0</v>
      </c>
      <c r="I128" s="3" t="s">
        <v>110</v>
      </c>
      <c r="J128" s="3">
        <v>0.0</v>
      </c>
      <c r="K128" s="3">
        <v>1.816</v>
      </c>
      <c r="L128" s="3">
        <v>34.0</v>
      </c>
      <c r="M128" s="3" t="s">
        <v>111</v>
      </c>
      <c r="N128" s="3">
        <v>22.0</v>
      </c>
      <c r="O128" s="3">
        <v>-4.3724</v>
      </c>
      <c r="P128" s="3">
        <v>101.095</v>
      </c>
      <c r="Q128" s="3" t="s">
        <v>217</v>
      </c>
      <c r="R128" s="4"/>
      <c r="S128" s="3" t="s">
        <v>153</v>
      </c>
      <c r="T128" s="16">
        <f t="shared" si="1"/>
        <v>44061.93264</v>
      </c>
      <c r="U128" s="4" t="b">
        <f t="shared" si="2"/>
        <v>1</v>
      </c>
      <c r="V128" s="4" t="b">
        <f t="shared" si="3"/>
        <v>0</v>
      </c>
      <c r="W128" s="4" t="str">
        <f t="shared" si="8"/>
        <v>Distance/Location</v>
      </c>
      <c r="X128" s="4" t="str">
        <f t="shared" si="4"/>
        <v>mww</v>
      </c>
      <c r="Y128" s="4">
        <f t="shared" si="5"/>
        <v>1</v>
      </c>
      <c r="Z128" s="4" t="str">
        <f t="shared" si="6"/>
        <v>Unique</v>
      </c>
      <c r="AA128" s="4" t="str">
        <f t="shared" si="7"/>
        <v>Valid</v>
      </c>
    </row>
    <row r="129">
      <c r="A129" s="3" t="s">
        <v>424</v>
      </c>
      <c r="B129" s="3">
        <v>6.6</v>
      </c>
      <c r="C129" s="3" t="s">
        <v>425</v>
      </c>
      <c r="D129" s="3">
        <v>9.0</v>
      </c>
      <c r="E129" s="3">
        <v>8.0</v>
      </c>
      <c r="F129" s="3" t="s">
        <v>116</v>
      </c>
      <c r="G129" s="3">
        <v>1.0</v>
      </c>
      <c r="H129" s="3">
        <v>784.0</v>
      </c>
      <c r="I129" s="3" t="s">
        <v>110</v>
      </c>
      <c r="J129" s="3">
        <v>0.0</v>
      </c>
      <c r="K129" s="3">
        <v>5.128</v>
      </c>
      <c r="L129" s="3">
        <v>14.0</v>
      </c>
      <c r="M129" s="3" t="s">
        <v>111</v>
      </c>
      <c r="N129" s="3">
        <v>10.0</v>
      </c>
      <c r="O129" s="3">
        <v>12.0065</v>
      </c>
      <c r="P129" s="3">
        <v>124.13</v>
      </c>
      <c r="Q129" s="3" t="s">
        <v>426</v>
      </c>
      <c r="R129" s="4"/>
      <c r="S129" s="3" t="s">
        <v>258</v>
      </c>
      <c r="T129" s="16">
        <f t="shared" si="1"/>
        <v>44061.00208</v>
      </c>
      <c r="U129" s="4" t="b">
        <f t="shared" si="2"/>
        <v>1</v>
      </c>
      <c r="V129" s="4" t="b">
        <f t="shared" si="3"/>
        <v>0</v>
      </c>
      <c r="W129" s="4" t="str">
        <f t="shared" si="8"/>
        <v>Distance/Location</v>
      </c>
      <c r="X129" s="4" t="str">
        <f t="shared" si="4"/>
        <v>mww</v>
      </c>
      <c r="Y129" s="4">
        <f t="shared" si="5"/>
        <v>1</v>
      </c>
      <c r="Z129" s="4" t="str">
        <f t="shared" si="6"/>
        <v>Unique</v>
      </c>
      <c r="AA129" s="4" t="str">
        <f t="shared" si="7"/>
        <v>Valid</v>
      </c>
    </row>
    <row r="130">
      <c r="A130" s="3" t="s">
        <v>427</v>
      </c>
      <c r="B130" s="3">
        <v>7.8</v>
      </c>
      <c r="C130" s="3" t="s">
        <v>428</v>
      </c>
      <c r="D130" s="3">
        <v>9.0</v>
      </c>
      <c r="E130" s="3">
        <v>7.0</v>
      </c>
      <c r="F130" s="3" t="s">
        <v>109</v>
      </c>
      <c r="G130" s="3">
        <v>1.0</v>
      </c>
      <c r="H130" s="3">
        <v>1111.0</v>
      </c>
      <c r="I130" s="3" t="s">
        <v>110</v>
      </c>
      <c r="J130" s="3">
        <v>0.0</v>
      </c>
      <c r="K130" s="3">
        <v>0.621</v>
      </c>
      <c r="L130" s="3">
        <v>60.0</v>
      </c>
      <c r="M130" s="3" t="s">
        <v>111</v>
      </c>
      <c r="N130" s="3">
        <v>28.0</v>
      </c>
      <c r="O130" s="3">
        <v>55.1079</v>
      </c>
      <c r="P130" s="3">
        <v>-158.477</v>
      </c>
      <c r="Q130" s="3" t="s">
        <v>343</v>
      </c>
      <c r="R130" s="4"/>
      <c r="S130" s="4"/>
      <c r="T130" s="16">
        <f t="shared" si="1"/>
        <v>44034.25833</v>
      </c>
      <c r="U130" s="4" t="b">
        <f t="shared" si="2"/>
        <v>1</v>
      </c>
      <c r="V130" s="4" t="b">
        <f t="shared" si="3"/>
        <v>0</v>
      </c>
      <c r="W130" s="4" t="str">
        <f t="shared" si="8"/>
        <v>Distance/Location</v>
      </c>
      <c r="X130" s="4" t="str">
        <f t="shared" si="4"/>
        <v>mww</v>
      </c>
      <c r="Y130" s="4">
        <f t="shared" si="5"/>
        <v>1</v>
      </c>
      <c r="Z130" s="4" t="str">
        <f t="shared" si="6"/>
        <v>Unique</v>
      </c>
      <c r="AA130" s="4" t="str">
        <f t="shared" si="7"/>
        <v>Valid</v>
      </c>
    </row>
    <row r="131">
      <c r="A131" s="3" t="s">
        <v>429</v>
      </c>
      <c r="B131" s="3">
        <v>7.0</v>
      </c>
      <c r="C131" s="3" t="s">
        <v>430</v>
      </c>
      <c r="D131" s="3">
        <v>6.0</v>
      </c>
      <c r="E131" s="3">
        <v>7.0</v>
      </c>
      <c r="F131" s="3" t="s">
        <v>109</v>
      </c>
      <c r="G131" s="3">
        <v>1.0</v>
      </c>
      <c r="H131" s="3">
        <v>820.0</v>
      </c>
      <c r="I131" s="3" t="s">
        <v>110</v>
      </c>
      <c r="J131" s="3">
        <v>0.0</v>
      </c>
      <c r="K131" s="3">
        <v>1.671</v>
      </c>
      <c r="L131" s="3">
        <v>18.0</v>
      </c>
      <c r="M131" s="3" t="s">
        <v>111</v>
      </c>
      <c r="N131" s="3">
        <v>73.0</v>
      </c>
      <c r="O131" s="3">
        <v>-7.847</v>
      </c>
      <c r="P131" s="3">
        <v>147.755</v>
      </c>
      <c r="Q131" s="3" t="s">
        <v>431</v>
      </c>
      <c r="R131" s="4"/>
      <c r="S131" s="3" t="s">
        <v>168</v>
      </c>
      <c r="T131" s="16">
        <f t="shared" si="1"/>
        <v>44029.11806</v>
      </c>
      <c r="U131" s="4" t="b">
        <f t="shared" si="2"/>
        <v>1</v>
      </c>
      <c r="V131" s="4" t="b">
        <f t="shared" si="3"/>
        <v>0</v>
      </c>
      <c r="W131" s="4" t="str">
        <f t="shared" si="8"/>
        <v>Distance/Location</v>
      </c>
      <c r="X131" s="4" t="str">
        <f t="shared" si="4"/>
        <v>mww</v>
      </c>
      <c r="Y131" s="4">
        <f t="shared" si="5"/>
        <v>1</v>
      </c>
      <c r="Z131" s="4" t="str">
        <f t="shared" si="6"/>
        <v>Unique</v>
      </c>
      <c r="AA131" s="4" t="str">
        <f t="shared" si="7"/>
        <v>Valid</v>
      </c>
    </row>
    <row r="132">
      <c r="A132" s="3" t="s">
        <v>432</v>
      </c>
      <c r="B132" s="3">
        <v>6.6</v>
      </c>
      <c r="C132" s="17">
        <v>43989.95416666667</v>
      </c>
      <c r="D132" s="3">
        <v>4.0</v>
      </c>
      <c r="E132" s="3">
        <v>2.0</v>
      </c>
      <c r="F132" s="3" t="s">
        <v>109</v>
      </c>
      <c r="G132" s="3">
        <v>0.0</v>
      </c>
      <c r="H132" s="3">
        <v>684.0</v>
      </c>
      <c r="I132" s="3" t="s">
        <v>110</v>
      </c>
      <c r="J132" s="3">
        <v>0.0</v>
      </c>
      <c r="K132" s="3">
        <v>1.458</v>
      </c>
      <c r="L132" s="3">
        <v>14.0</v>
      </c>
      <c r="M132" s="3" t="s">
        <v>111</v>
      </c>
      <c r="N132" s="3">
        <v>533.76</v>
      </c>
      <c r="O132" s="3">
        <v>-5.6368</v>
      </c>
      <c r="P132" s="3">
        <v>110.678</v>
      </c>
      <c r="Q132" s="3" t="s">
        <v>433</v>
      </c>
      <c r="R132" s="4"/>
      <c r="S132" s="3" t="s">
        <v>153</v>
      </c>
      <c r="T132" s="16">
        <f t="shared" si="1"/>
        <v>44018.95417</v>
      </c>
      <c r="U132" s="4" t="b">
        <f t="shared" si="2"/>
        <v>1</v>
      </c>
      <c r="V132" s="4" t="b">
        <f t="shared" si="3"/>
        <v>1</v>
      </c>
      <c r="W132" s="4" t="str">
        <f t="shared" si="8"/>
        <v>Distance/Location</v>
      </c>
      <c r="X132" s="4" t="str">
        <f t="shared" si="4"/>
        <v>mww</v>
      </c>
      <c r="Y132" s="4">
        <f t="shared" si="5"/>
        <v>1</v>
      </c>
      <c r="Z132" s="4" t="str">
        <f t="shared" si="6"/>
        <v>Unique</v>
      </c>
      <c r="AA132" s="4" t="str">
        <f t="shared" si="7"/>
        <v>Valid</v>
      </c>
    </row>
    <row r="133">
      <c r="A133" s="3" t="s">
        <v>434</v>
      </c>
      <c r="B133" s="3">
        <v>7.4</v>
      </c>
      <c r="C133" s="3" t="s">
        <v>435</v>
      </c>
      <c r="D133" s="3">
        <v>8.0</v>
      </c>
      <c r="E133" s="3">
        <v>8.0</v>
      </c>
      <c r="F133" s="3" t="s">
        <v>178</v>
      </c>
      <c r="G133" s="3">
        <v>1.0</v>
      </c>
      <c r="H133" s="3">
        <v>1494.0</v>
      </c>
      <c r="I133" s="3" t="s">
        <v>110</v>
      </c>
      <c r="J133" s="3">
        <v>0.0</v>
      </c>
      <c r="K133" s="3">
        <v>0.151</v>
      </c>
      <c r="L133" s="3">
        <v>30.0</v>
      </c>
      <c r="M133" s="3" t="s">
        <v>111</v>
      </c>
      <c r="N133" s="3">
        <v>20.0</v>
      </c>
      <c r="O133" s="3">
        <v>15.9163</v>
      </c>
      <c r="P133" s="3">
        <v>-95.9533</v>
      </c>
      <c r="Q133" s="3" t="s">
        <v>436</v>
      </c>
      <c r="R133" s="3" t="s">
        <v>233</v>
      </c>
      <c r="S133" s="3" t="s">
        <v>234</v>
      </c>
      <c r="T133" s="16">
        <f t="shared" si="1"/>
        <v>44005.64514</v>
      </c>
      <c r="U133" s="4" t="b">
        <f t="shared" si="2"/>
        <v>1</v>
      </c>
      <c r="V133" s="4" t="b">
        <f t="shared" si="3"/>
        <v>0</v>
      </c>
      <c r="W133" s="4" t="str">
        <f t="shared" si="8"/>
        <v>Distance/Location</v>
      </c>
      <c r="X133" s="4" t="str">
        <f t="shared" si="4"/>
        <v>mww</v>
      </c>
      <c r="Y133" s="4">
        <f t="shared" si="5"/>
        <v>1</v>
      </c>
      <c r="Z133" s="4" t="str">
        <f t="shared" si="6"/>
        <v>Unique</v>
      </c>
      <c r="AA133" s="4" t="str">
        <f t="shared" si="7"/>
        <v>Valid</v>
      </c>
    </row>
    <row r="134">
      <c r="A134" s="3" t="s">
        <v>437</v>
      </c>
      <c r="B134" s="3">
        <v>7.4</v>
      </c>
      <c r="C134" s="3" t="s">
        <v>438</v>
      </c>
      <c r="D134" s="3">
        <v>7.0</v>
      </c>
      <c r="E134" s="3">
        <v>7.0</v>
      </c>
      <c r="F134" s="3" t="s">
        <v>109</v>
      </c>
      <c r="G134" s="3">
        <v>1.0</v>
      </c>
      <c r="H134" s="3">
        <v>873.0</v>
      </c>
      <c r="I134" s="3" t="s">
        <v>110</v>
      </c>
      <c r="J134" s="3">
        <v>0.0</v>
      </c>
      <c r="K134" s="3">
        <v>4.035</v>
      </c>
      <c r="L134" s="3">
        <v>23.0</v>
      </c>
      <c r="M134" s="3" t="s">
        <v>111</v>
      </c>
      <c r="N134" s="3">
        <v>10.0</v>
      </c>
      <c r="O134" s="3">
        <v>-33.2938</v>
      </c>
      <c r="P134" s="3">
        <v>-177.838</v>
      </c>
      <c r="Q134" s="3" t="s">
        <v>254</v>
      </c>
      <c r="R134" s="4"/>
      <c r="S134" s="4"/>
      <c r="T134" s="16">
        <f t="shared" si="1"/>
        <v>44000.53403</v>
      </c>
      <c r="U134" s="4" t="b">
        <f t="shared" si="2"/>
        <v>1</v>
      </c>
      <c r="V134" s="4" t="b">
        <f t="shared" si="3"/>
        <v>0</v>
      </c>
      <c r="W134" s="4" t="str">
        <f t="shared" si="8"/>
        <v>Named Region</v>
      </c>
      <c r="X134" s="4" t="str">
        <f t="shared" si="4"/>
        <v>mww</v>
      </c>
      <c r="Y134" s="4">
        <f t="shared" si="5"/>
        <v>1</v>
      </c>
      <c r="Z134" s="4" t="str">
        <f t="shared" si="6"/>
        <v>Unique</v>
      </c>
      <c r="AA134" s="4" t="str">
        <f t="shared" si="7"/>
        <v>Valid</v>
      </c>
    </row>
    <row r="135">
      <c r="A135" s="3" t="s">
        <v>439</v>
      </c>
      <c r="B135" s="3">
        <v>6.6</v>
      </c>
      <c r="C135" s="3" t="s">
        <v>440</v>
      </c>
      <c r="D135" s="3">
        <v>5.0</v>
      </c>
      <c r="E135" s="3">
        <v>4.0</v>
      </c>
      <c r="F135" s="3" t="s">
        <v>109</v>
      </c>
      <c r="G135" s="3">
        <v>1.0</v>
      </c>
      <c r="H135" s="3">
        <v>734.0</v>
      </c>
      <c r="I135" s="3" t="s">
        <v>110</v>
      </c>
      <c r="J135" s="3">
        <v>0.0</v>
      </c>
      <c r="K135" s="3">
        <v>2.015</v>
      </c>
      <c r="L135" s="3">
        <v>18.0</v>
      </c>
      <c r="M135" s="3" t="s">
        <v>111</v>
      </c>
      <c r="N135" s="3">
        <v>165.0</v>
      </c>
      <c r="O135" s="3">
        <v>28.9386</v>
      </c>
      <c r="P135" s="3">
        <v>128.262</v>
      </c>
      <c r="Q135" s="3" t="s">
        <v>441</v>
      </c>
      <c r="R135" s="4"/>
      <c r="S135" s="4"/>
      <c r="T135" s="16">
        <f t="shared" si="1"/>
        <v>43995.66042</v>
      </c>
      <c r="U135" s="4" t="b">
        <f t="shared" si="2"/>
        <v>1</v>
      </c>
      <c r="V135" s="4" t="b">
        <f t="shared" si="3"/>
        <v>0</v>
      </c>
      <c r="W135" s="4" t="str">
        <f t="shared" si="8"/>
        <v>Distance/Location</v>
      </c>
      <c r="X135" s="4" t="str">
        <f t="shared" si="4"/>
        <v>mww</v>
      </c>
      <c r="Y135" s="4">
        <f t="shared" si="5"/>
        <v>1</v>
      </c>
      <c r="Z135" s="4" t="str">
        <f t="shared" si="6"/>
        <v>Unique</v>
      </c>
      <c r="AA135" s="4" t="str">
        <f t="shared" si="7"/>
        <v>Valid</v>
      </c>
    </row>
    <row r="136">
      <c r="A136" s="3" t="s">
        <v>442</v>
      </c>
      <c r="B136" s="3">
        <v>6.8</v>
      </c>
      <c r="C136" s="17">
        <v>43896.31597222222</v>
      </c>
      <c r="D136" s="3">
        <v>6.0</v>
      </c>
      <c r="E136" s="3">
        <v>6.0</v>
      </c>
      <c r="F136" s="3" t="s">
        <v>109</v>
      </c>
      <c r="G136" s="3">
        <v>1.0</v>
      </c>
      <c r="H136" s="3">
        <v>835.0</v>
      </c>
      <c r="I136" s="3" t="s">
        <v>110</v>
      </c>
      <c r="J136" s="3">
        <v>0.0</v>
      </c>
      <c r="K136" s="3">
        <v>1.164</v>
      </c>
      <c r="L136" s="3">
        <v>21.0</v>
      </c>
      <c r="M136" s="3" t="s">
        <v>111</v>
      </c>
      <c r="N136" s="3">
        <v>112.0</v>
      </c>
      <c r="O136" s="3">
        <v>-23.2966</v>
      </c>
      <c r="P136" s="3">
        <v>-68.4204</v>
      </c>
      <c r="Q136" s="3" t="s">
        <v>443</v>
      </c>
      <c r="R136" s="3" t="s">
        <v>121</v>
      </c>
      <c r="S136" s="3" t="s">
        <v>414</v>
      </c>
      <c r="T136" s="16">
        <f t="shared" si="1"/>
        <v>43985.31597</v>
      </c>
      <c r="U136" s="4" t="b">
        <f t="shared" si="2"/>
        <v>1</v>
      </c>
      <c r="V136" s="4" t="b">
        <f t="shared" si="3"/>
        <v>1</v>
      </c>
      <c r="W136" s="4" t="str">
        <f t="shared" si="8"/>
        <v>Distance/Location</v>
      </c>
      <c r="X136" s="4" t="str">
        <f t="shared" si="4"/>
        <v>mww</v>
      </c>
      <c r="Y136" s="4">
        <f t="shared" si="5"/>
        <v>1</v>
      </c>
      <c r="Z136" s="4" t="str">
        <f t="shared" si="6"/>
        <v>Unique</v>
      </c>
      <c r="AA136" s="4" t="str">
        <f t="shared" si="7"/>
        <v>Valid</v>
      </c>
    </row>
    <row r="137">
      <c r="A137" s="3" t="s">
        <v>444</v>
      </c>
      <c r="B137" s="3">
        <v>6.5</v>
      </c>
      <c r="C137" s="3" t="s">
        <v>445</v>
      </c>
      <c r="D137" s="3">
        <v>7.0</v>
      </c>
      <c r="E137" s="3">
        <v>8.0</v>
      </c>
      <c r="F137" s="3" t="s">
        <v>109</v>
      </c>
      <c r="G137" s="3">
        <v>0.0</v>
      </c>
      <c r="H137" s="3">
        <v>1320.0</v>
      </c>
      <c r="I137" s="3" t="s">
        <v>446</v>
      </c>
      <c r="J137" s="3">
        <v>27.0</v>
      </c>
      <c r="K137" s="3">
        <v>0.357</v>
      </c>
      <c r="L137" s="3">
        <v>55.79</v>
      </c>
      <c r="M137" s="3" t="s">
        <v>447</v>
      </c>
      <c r="N137" s="3">
        <v>2.7</v>
      </c>
      <c r="O137" s="3">
        <v>38.1689</v>
      </c>
      <c r="P137" s="3">
        <v>-117.85</v>
      </c>
      <c r="Q137" s="3" t="s">
        <v>448</v>
      </c>
      <c r="R137" s="3" t="s">
        <v>233</v>
      </c>
      <c r="S137" s="3" t="s">
        <v>318</v>
      </c>
      <c r="T137" s="16">
        <f t="shared" si="1"/>
        <v>43966.46042</v>
      </c>
      <c r="U137" s="4" t="b">
        <f t="shared" si="2"/>
        <v>1</v>
      </c>
      <c r="V137" s="4" t="b">
        <f t="shared" si="3"/>
        <v>0</v>
      </c>
      <c r="W137" s="4" t="str">
        <f t="shared" si="8"/>
        <v>Named Region</v>
      </c>
      <c r="X137" s="4" t="str">
        <f t="shared" si="4"/>
        <v>ml</v>
      </c>
      <c r="Y137" s="4">
        <f t="shared" si="5"/>
        <v>1</v>
      </c>
      <c r="Z137" s="4" t="str">
        <f t="shared" si="6"/>
        <v>Unique</v>
      </c>
      <c r="AA137" s="4" t="str">
        <f t="shared" si="7"/>
        <v>Valid</v>
      </c>
    </row>
    <row r="138">
      <c r="A138" s="3" t="s">
        <v>449</v>
      </c>
      <c r="B138" s="3">
        <v>6.6</v>
      </c>
      <c r="C138" s="17">
        <v>44170.94513888889</v>
      </c>
      <c r="D138" s="3">
        <v>4.0</v>
      </c>
      <c r="E138" s="3">
        <v>6.0</v>
      </c>
      <c r="F138" s="3" t="s">
        <v>109</v>
      </c>
      <c r="G138" s="3">
        <v>1.0</v>
      </c>
      <c r="H138" s="3">
        <v>671.0</v>
      </c>
      <c r="I138" s="3" t="s">
        <v>110</v>
      </c>
      <c r="J138" s="3">
        <v>0.0</v>
      </c>
      <c r="K138" s="3">
        <v>3.403</v>
      </c>
      <c r="L138" s="3">
        <v>12.0</v>
      </c>
      <c r="M138" s="3" t="s">
        <v>111</v>
      </c>
      <c r="N138" s="3">
        <v>107.0</v>
      </c>
      <c r="O138" s="3">
        <v>-12.0662</v>
      </c>
      <c r="P138" s="3">
        <v>166.648</v>
      </c>
      <c r="Q138" s="3" t="s">
        <v>450</v>
      </c>
      <c r="R138" s="4"/>
      <c r="S138" s="4"/>
      <c r="T138" s="16">
        <f t="shared" si="1"/>
        <v>43963.94514</v>
      </c>
      <c r="U138" s="4" t="b">
        <f t="shared" si="2"/>
        <v>1</v>
      </c>
      <c r="V138" s="4" t="b">
        <f t="shared" si="3"/>
        <v>1</v>
      </c>
      <c r="W138" s="4" t="str">
        <f t="shared" si="8"/>
        <v>Distance/Location</v>
      </c>
      <c r="X138" s="4" t="str">
        <f t="shared" si="4"/>
        <v>mww</v>
      </c>
      <c r="Y138" s="4">
        <f t="shared" si="5"/>
        <v>1</v>
      </c>
      <c r="Z138" s="4" t="str">
        <f t="shared" si="6"/>
        <v>Unique</v>
      </c>
      <c r="AA138" s="4" t="str">
        <f t="shared" si="7"/>
        <v>Valid</v>
      </c>
    </row>
    <row r="139">
      <c r="A139" s="3" t="s">
        <v>451</v>
      </c>
      <c r="B139" s="3">
        <v>6.8</v>
      </c>
      <c r="C139" s="17">
        <v>43987.57847222222</v>
      </c>
      <c r="D139" s="3">
        <v>4.0</v>
      </c>
      <c r="E139" s="3">
        <v>6.0</v>
      </c>
      <c r="F139" s="3" t="s">
        <v>109</v>
      </c>
      <c r="G139" s="3">
        <v>0.0</v>
      </c>
      <c r="H139" s="3">
        <v>738.0</v>
      </c>
      <c r="I139" s="3" t="s">
        <v>110</v>
      </c>
      <c r="J139" s="3">
        <v>0.0</v>
      </c>
      <c r="K139" s="3">
        <v>1.921</v>
      </c>
      <c r="L139" s="3">
        <v>16.0</v>
      </c>
      <c r="M139" s="3" t="s">
        <v>111</v>
      </c>
      <c r="N139" s="3">
        <v>96.0</v>
      </c>
      <c r="O139" s="3">
        <v>-6.7762</v>
      </c>
      <c r="P139" s="3">
        <v>129.785</v>
      </c>
      <c r="Q139" s="3" t="s">
        <v>452</v>
      </c>
      <c r="R139" s="4"/>
      <c r="S139" s="3" t="s">
        <v>153</v>
      </c>
      <c r="T139" s="16">
        <f t="shared" si="1"/>
        <v>43957.57847</v>
      </c>
      <c r="U139" s="4" t="b">
        <f t="shared" si="2"/>
        <v>1</v>
      </c>
      <c r="V139" s="4" t="b">
        <f t="shared" si="3"/>
        <v>1</v>
      </c>
      <c r="W139" s="4" t="str">
        <f t="shared" si="8"/>
        <v>Named Region</v>
      </c>
      <c r="X139" s="4" t="str">
        <f t="shared" si="4"/>
        <v>mww</v>
      </c>
      <c r="Y139" s="4">
        <f t="shared" si="5"/>
        <v>1</v>
      </c>
      <c r="Z139" s="4" t="str">
        <f t="shared" si="6"/>
        <v>Unique</v>
      </c>
      <c r="AA139" s="4" t="str">
        <f t="shared" si="7"/>
        <v>Valid</v>
      </c>
    </row>
    <row r="140">
      <c r="A140" s="3" t="s">
        <v>453</v>
      </c>
      <c r="B140" s="3">
        <v>6.5</v>
      </c>
      <c r="C140" s="17">
        <v>43866.535416666666</v>
      </c>
      <c r="D140" s="3">
        <v>7.0</v>
      </c>
      <c r="E140" s="3">
        <v>6.0</v>
      </c>
      <c r="F140" s="3" t="s">
        <v>109</v>
      </c>
      <c r="G140" s="3">
        <v>0.0</v>
      </c>
      <c r="H140" s="3">
        <v>678.0</v>
      </c>
      <c r="I140" s="3" t="s">
        <v>110</v>
      </c>
      <c r="J140" s="3">
        <v>0.0</v>
      </c>
      <c r="K140" s="3">
        <v>1.293</v>
      </c>
      <c r="L140" s="3">
        <v>19.0</v>
      </c>
      <c r="M140" s="3" t="s">
        <v>111</v>
      </c>
      <c r="N140" s="3">
        <v>10.0</v>
      </c>
      <c r="O140" s="3">
        <v>34.1818</v>
      </c>
      <c r="P140" s="3">
        <v>25.7101</v>
      </c>
      <c r="Q140" s="3" t="s">
        <v>454</v>
      </c>
      <c r="R140" s="4"/>
      <c r="S140" s="4"/>
      <c r="T140" s="16">
        <f t="shared" si="1"/>
        <v>43953.53542</v>
      </c>
      <c r="U140" s="4" t="b">
        <f t="shared" si="2"/>
        <v>1</v>
      </c>
      <c r="V140" s="4" t="b">
        <f t="shared" si="3"/>
        <v>1</v>
      </c>
      <c r="W140" s="4" t="str">
        <f t="shared" si="8"/>
        <v>Distance/Location</v>
      </c>
      <c r="X140" s="4" t="str">
        <f t="shared" si="4"/>
        <v>mww</v>
      </c>
      <c r="Y140" s="4">
        <f t="shared" si="5"/>
        <v>1</v>
      </c>
      <c r="Z140" s="4" t="str">
        <f t="shared" si="6"/>
        <v>Unique</v>
      </c>
      <c r="AA140" s="4" t="str">
        <f t="shared" si="7"/>
        <v>Valid</v>
      </c>
    </row>
    <row r="141">
      <c r="A141" s="3" t="s">
        <v>455</v>
      </c>
      <c r="B141" s="3">
        <v>6.5</v>
      </c>
      <c r="C141" s="3" t="s">
        <v>456</v>
      </c>
      <c r="D141" s="3">
        <v>8.0</v>
      </c>
      <c r="E141" s="3">
        <v>8.0</v>
      </c>
      <c r="F141" s="3" t="s">
        <v>109</v>
      </c>
      <c r="G141" s="3">
        <v>0.0</v>
      </c>
      <c r="H141" s="3">
        <v>1410.0</v>
      </c>
      <c r="I141" s="3" t="s">
        <v>110</v>
      </c>
      <c r="J141" s="3">
        <v>0.0</v>
      </c>
      <c r="K141" s="3">
        <v>0.885</v>
      </c>
      <c r="L141" s="3">
        <v>31.0</v>
      </c>
      <c r="M141" s="3" t="s">
        <v>111</v>
      </c>
      <c r="N141" s="3">
        <v>12.06</v>
      </c>
      <c r="O141" s="3">
        <v>44.4646</v>
      </c>
      <c r="P141" s="3">
        <v>-115.118</v>
      </c>
      <c r="Q141" s="3" t="s">
        <v>457</v>
      </c>
      <c r="R141" s="3" t="s">
        <v>233</v>
      </c>
      <c r="S141" s="3" t="s">
        <v>318</v>
      </c>
      <c r="T141" s="16">
        <f t="shared" si="1"/>
        <v>43921.99444</v>
      </c>
      <c r="U141" s="4" t="b">
        <f t="shared" si="2"/>
        <v>1</v>
      </c>
      <c r="V141" s="4" t="b">
        <f t="shared" si="3"/>
        <v>0</v>
      </c>
      <c r="W141" s="4" t="str">
        <f t="shared" si="8"/>
        <v>Named Region</v>
      </c>
      <c r="X141" s="4" t="str">
        <f t="shared" si="4"/>
        <v>mww</v>
      </c>
      <c r="Y141" s="4">
        <f t="shared" si="5"/>
        <v>1</v>
      </c>
      <c r="Z141" s="4" t="str">
        <f t="shared" si="6"/>
        <v>Unique</v>
      </c>
      <c r="AA141" s="4" t="str">
        <f t="shared" si="7"/>
        <v>Valid</v>
      </c>
    </row>
    <row r="142">
      <c r="A142" s="3" t="s">
        <v>458</v>
      </c>
      <c r="B142" s="3">
        <v>7.5</v>
      </c>
      <c r="C142" s="3" t="s">
        <v>459</v>
      </c>
      <c r="D142" s="3">
        <v>6.0</v>
      </c>
      <c r="E142" s="3">
        <v>5.0</v>
      </c>
      <c r="F142" s="3" t="s">
        <v>109</v>
      </c>
      <c r="G142" s="3">
        <v>1.0</v>
      </c>
      <c r="H142" s="3">
        <v>879.0</v>
      </c>
      <c r="I142" s="3" t="s">
        <v>110</v>
      </c>
      <c r="J142" s="3">
        <v>0.0</v>
      </c>
      <c r="K142" s="3">
        <v>4.109</v>
      </c>
      <c r="L142" s="3">
        <v>12.0</v>
      </c>
      <c r="M142" s="3" t="s">
        <v>111</v>
      </c>
      <c r="N142" s="3">
        <v>57.8</v>
      </c>
      <c r="O142" s="3">
        <v>48.9638</v>
      </c>
      <c r="P142" s="3">
        <v>157.695</v>
      </c>
      <c r="Q142" s="3" t="s">
        <v>460</v>
      </c>
      <c r="R142" s="4"/>
      <c r="S142" s="4"/>
      <c r="T142" s="16">
        <f t="shared" si="1"/>
        <v>43915.11736</v>
      </c>
      <c r="U142" s="4" t="b">
        <f t="shared" si="2"/>
        <v>1</v>
      </c>
      <c r="V142" s="4" t="b">
        <f t="shared" si="3"/>
        <v>0</v>
      </c>
      <c r="W142" s="4" t="str">
        <f t="shared" si="8"/>
        <v>Distance/Location</v>
      </c>
      <c r="X142" s="4" t="str">
        <f t="shared" si="4"/>
        <v>mww</v>
      </c>
      <c r="Y142" s="4">
        <f t="shared" si="5"/>
        <v>1</v>
      </c>
      <c r="Z142" s="4" t="str">
        <f t="shared" si="6"/>
        <v>Unique</v>
      </c>
      <c r="AA142" s="4" t="str">
        <f t="shared" si="7"/>
        <v>Valid</v>
      </c>
    </row>
    <row r="143">
      <c r="A143" s="3" t="s">
        <v>461</v>
      </c>
      <c r="B143" s="3">
        <v>7.0</v>
      </c>
      <c r="C143" s="3" t="s">
        <v>462</v>
      </c>
      <c r="D143" s="3">
        <v>5.0</v>
      </c>
      <c r="E143" s="3">
        <v>6.0</v>
      </c>
      <c r="F143" s="3" t="s">
        <v>116</v>
      </c>
      <c r="G143" s="3">
        <v>1.0</v>
      </c>
      <c r="H143" s="3">
        <v>770.0</v>
      </c>
      <c r="I143" s="3" t="s">
        <v>110</v>
      </c>
      <c r="J143" s="3">
        <v>0.0</v>
      </c>
      <c r="K143" s="3">
        <v>4.501</v>
      </c>
      <c r="L143" s="3">
        <v>25.0</v>
      </c>
      <c r="M143" s="3" t="s">
        <v>111</v>
      </c>
      <c r="N143" s="3">
        <v>143.0</v>
      </c>
      <c r="O143" s="3">
        <v>45.6161</v>
      </c>
      <c r="P143" s="3">
        <v>148.959</v>
      </c>
      <c r="Q143" s="3" t="s">
        <v>463</v>
      </c>
      <c r="R143" s="3" t="s">
        <v>164</v>
      </c>
      <c r="S143" s="3" t="s">
        <v>464</v>
      </c>
      <c r="T143" s="16">
        <f t="shared" si="1"/>
        <v>43874.43958</v>
      </c>
      <c r="U143" s="4" t="b">
        <f t="shared" si="2"/>
        <v>1</v>
      </c>
      <c r="V143" s="4" t="b">
        <f t="shared" si="3"/>
        <v>0</v>
      </c>
      <c r="W143" s="4" t="str">
        <f t="shared" si="8"/>
        <v>Distance/Location</v>
      </c>
      <c r="X143" s="4" t="str">
        <f t="shared" si="4"/>
        <v>mww</v>
      </c>
      <c r="Y143" s="4">
        <f t="shared" si="5"/>
        <v>1</v>
      </c>
      <c r="Z143" s="4" t="str">
        <f t="shared" si="6"/>
        <v>Unique</v>
      </c>
      <c r="AA143" s="4" t="str">
        <f t="shared" si="7"/>
        <v>Valid</v>
      </c>
    </row>
    <row r="144">
      <c r="A144" s="3" t="s">
        <v>465</v>
      </c>
      <c r="B144" s="3">
        <v>7.7</v>
      </c>
      <c r="C144" s="3" t="s">
        <v>466</v>
      </c>
      <c r="D144" s="3">
        <v>9.0</v>
      </c>
      <c r="E144" s="3">
        <v>6.0</v>
      </c>
      <c r="F144" s="3" t="s">
        <v>116</v>
      </c>
      <c r="G144" s="3">
        <v>1.0</v>
      </c>
      <c r="H144" s="3">
        <v>1812.0</v>
      </c>
      <c r="I144" s="3" t="s">
        <v>110</v>
      </c>
      <c r="J144" s="3">
        <v>0.0</v>
      </c>
      <c r="K144" s="3">
        <v>1.657</v>
      </c>
      <c r="L144" s="3">
        <v>26.0</v>
      </c>
      <c r="M144" s="3" t="s">
        <v>111</v>
      </c>
      <c r="N144" s="3">
        <v>14.86</v>
      </c>
      <c r="O144" s="3">
        <v>19.4193</v>
      </c>
      <c r="P144" s="3">
        <v>-78.756</v>
      </c>
      <c r="Q144" s="3" t="s">
        <v>467</v>
      </c>
      <c r="R144" s="4"/>
      <c r="S144" s="4"/>
      <c r="T144" s="16">
        <f t="shared" si="1"/>
        <v>43858.79861</v>
      </c>
      <c r="U144" s="4" t="b">
        <f t="shared" si="2"/>
        <v>1</v>
      </c>
      <c r="V144" s="4" t="b">
        <f t="shared" si="3"/>
        <v>0</v>
      </c>
      <c r="W144" s="4" t="str">
        <f t="shared" si="8"/>
        <v>Distance/Location</v>
      </c>
      <c r="X144" s="4" t="str">
        <f t="shared" si="4"/>
        <v>mww</v>
      </c>
      <c r="Y144" s="4">
        <f t="shared" si="5"/>
        <v>1</v>
      </c>
      <c r="Z144" s="4" t="str">
        <f t="shared" si="6"/>
        <v>Unique</v>
      </c>
      <c r="AA144" s="4" t="str">
        <f t="shared" si="7"/>
        <v>Valid</v>
      </c>
    </row>
    <row r="145">
      <c r="A145" s="3" t="s">
        <v>468</v>
      </c>
      <c r="B145" s="3">
        <v>6.7</v>
      </c>
      <c r="C145" s="3" t="s">
        <v>469</v>
      </c>
      <c r="D145" s="3">
        <v>8.0</v>
      </c>
      <c r="E145" s="3">
        <v>9.0</v>
      </c>
      <c r="F145" s="3" t="s">
        <v>178</v>
      </c>
      <c r="G145" s="3">
        <v>0.0</v>
      </c>
      <c r="H145" s="3">
        <v>1247.0</v>
      </c>
      <c r="I145" s="3" t="s">
        <v>110</v>
      </c>
      <c r="J145" s="3">
        <v>0.0</v>
      </c>
      <c r="K145" s="3">
        <v>0.87</v>
      </c>
      <c r="L145" s="3">
        <v>49.0</v>
      </c>
      <c r="M145" s="3" t="s">
        <v>111</v>
      </c>
      <c r="N145" s="3">
        <v>10.0</v>
      </c>
      <c r="O145" s="3">
        <v>38.4312</v>
      </c>
      <c r="P145" s="3">
        <v>39.0609</v>
      </c>
      <c r="Q145" s="3" t="s">
        <v>470</v>
      </c>
      <c r="R145" s="3" t="s">
        <v>164</v>
      </c>
      <c r="S145" s="3" t="s">
        <v>471</v>
      </c>
      <c r="T145" s="16">
        <f t="shared" si="1"/>
        <v>43854.74653</v>
      </c>
      <c r="U145" s="4" t="b">
        <f t="shared" si="2"/>
        <v>1</v>
      </c>
      <c r="V145" s="4" t="b">
        <f t="shared" si="3"/>
        <v>0</v>
      </c>
      <c r="W145" s="4" t="str">
        <f t="shared" si="8"/>
        <v>Distance/Location</v>
      </c>
      <c r="X145" s="4" t="str">
        <f t="shared" si="4"/>
        <v>mww</v>
      </c>
      <c r="Y145" s="4">
        <f t="shared" si="5"/>
        <v>1</v>
      </c>
      <c r="Z145" s="4" t="str">
        <f t="shared" si="6"/>
        <v>Unique</v>
      </c>
      <c r="AA145" s="4" t="str">
        <f t="shared" si="7"/>
        <v>Valid</v>
      </c>
    </row>
    <row r="146">
      <c r="A146" s="3" t="s">
        <v>472</v>
      </c>
      <c r="B146" s="3">
        <v>6.8</v>
      </c>
      <c r="C146" s="3" t="s">
        <v>473</v>
      </c>
      <c r="D146" s="3">
        <v>9.0</v>
      </c>
      <c r="E146" s="3">
        <v>7.0</v>
      </c>
      <c r="F146" s="3" t="s">
        <v>116</v>
      </c>
      <c r="G146" s="3">
        <v>1.0</v>
      </c>
      <c r="H146" s="3">
        <v>825.0</v>
      </c>
      <c r="I146" s="3" t="s">
        <v>110</v>
      </c>
      <c r="J146" s="3">
        <v>0.0</v>
      </c>
      <c r="K146" s="3">
        <v>0.546</v>
      </c>
      <c r="L146" s="3">
        <v>39.0</v>
      </c>
      <c r="M146" s="3" t="s">
        <v>111</v>
      </c>
      <c r="N146" s="3">
        <v>18.0</v>
      </c>
      <c r="O146" s="3">
        <v>6.6969</v>
      </c>
      <c r="P146" s="3">
        <v>125.174</v>
      </c>
      <c r="Q146" s="3" t="s">
        <v>474</v>
      </c>
      <c r="R146" s="4"/>
      <c r="S146" s="3" t="s">
        <v>258</v>
      </c>
      <c r="T146" s="16">
        <f t="shared" si="1"/>
        <v>43814.25764</v>
      </c>
      <c r="U146" s="4" t="b">
        <f t="shared" si="2"/>
        <v>1</v>
      </c>
      <c r="V146" s="4" t="b">
        <f t="shared" si="3"/>
        <v>0</v>
      </c>
      <c r="W146" s="4" t="str">
        <f t="shared" si="8"/>
        <v>Distance/Location</v>
      </c>
      <c r="X146" s="4" t="str">
        <f t="shared" si="4"/>
        <v>mww</v>
      </c>
      <c r="Y146" s="4">
        <f t="shared" si="5"/>
        <v>1</v>
      </c>
      <c r="Z146" s="4" t="str">
        <f t="shared" si="6"/>
        <v>Unique</v>
      </c>
      <c r="AA146" s="4" t="str">
        <f t="shared" si="7"/>
        <v>Valid</v>
      </c>
    </row>
    <row r="147">
      <c r="A147" s="3" t="s">
        <v>475</v>
      </c>
      <c r="B147" s="3">
        <v>7.1</v>
      </c>
      <c r="C147" s="3" t="s">
        <v>476</v>
      </c>
      <c r="D147" s="3">
        <v>6.0</v>
      </c>
      <c r="E147" s="3">
        <v>6.0</v>
      </c>
      <c r="F147" s="3" t="s">
        <v>109</v>
      </c>
      <c r="G147" s="3">
        <v>1.0</v>
      </c>
      <c r="H147" s="3">
        <v>799.0</v>
      </c>
      <c r="I147" s="3" t="s">
        <v>110</v>
      </c>
      <c r="J147" s="3">
        <v>0.0</v>
      </c>
      <c r="K147" s="3">
        <v>1.271</v>
      </c>
      <c r="L147" s="3">
        <v>11.0</v>
      </c>
      <c r="M147" s="3" t="s">
        <v>111</v>
      </c>
      <c r="N147" s="3">
        <v>33.0</v>
      </c>
      <c r="O147" s="3">
        <v>1.6213</v>
      </c>
      <c r="P147" s="3">
        <v>126.416</v>
      </c>
      <c r="Q147" s="3" t="s">
        <v>477</v>
      </c>
      <c r="R147" s="4"/>
      <c r="S147" s="3" t="s">
        <v>153</v>
      </c>
      <c r="T147" s="16">
        <f t="shared" si="1"/>
        <v>43783.67847</v>
      </c>
      <c r="U147" s="4" t="b">
        <f t="shared" si="2"/>
        <v>1</v>
      </c>
      <c r="V147" s="4" t="b">
        <f t="shared" si="3"/>
        <v>0</v>
      </c>
      <c r="W147" s="4" t="str">
        <f t="shared" si="8"/>
        <v>Named Region</v>
      </c>
      <c r="X147" s="4" t="str">
        <f t="shared" si="4"/>
        <v>mww</v>
      </c>
      <c r="Y147" s="4">
        <f t="shared" si="5"/>
        <v>1</v>
      </c>
      <c r="Z147" s="4" t="str">
        <f t="shared" si="6"/>
        <v>Unique</v>
      </c>
      <c r="AA147" s="4" t="str">
        <f t="shared" si="7"/>
        <v>Valid</v>
      </c>
    </row>
    <row r="148">
      <c r="A148" s="3" t="s">
        <v>478</v>
      </c>
      <c r="B148" s="3">
        <v>6.5</v>
      </c>
      <c r="C148" s="17">
        <v>43688.447222222225</v>
      </c>
      <c r="D148" s="3">
        <v>0.0</v>
      </c>
      <c r="E148" s="3">
        <v>2.0</v>
      </c>
      <c r="F148" s="3" t="s">
        <v>109</v>
      </c>
      <c r="G148" s="3">
        <v>0.0</v>
      </c>
      <c r="H148" s="3">
        <v>650.0</v>
      </c>
      <c r="I148" s="3" t="s">
        <v>110</v>
      </c>
      <c r="J148" s="3">
        <v>0.0</v>
      </c>
      <c r="K148" s="3">
        <v>4.765</v>
      </c>
      <c r="L148" s="3">
        <v>25.0</v>
      </c>
      <c r="M148" s="3" t="s">
        <v>111</v>
      </c>
      <c r="N148" s="3">
        <v>577.0</v>
      </c>
      <c r="O148" s="3">
        <v>-21.9449</v>
      </c>
      <c r="P148" s="3">
        <v>-179.511</v>
      </c>
      <c r="Q148" s="3" t="s">
        <v>479</v>
      </c>
      <c r="R148" s="4"/>
      <c r="S148" s="4"/>
      <c r="T148" s="16">
        <f t="shared" si="1"/>
        <v>43777.44722</v>
      </c>
      <c r="U148" s="4" t="b">
        <f t="shared" si="2"/>
        <v>1</v>
      </c>
      <c r="V148" s="4" t="b">
        <f t="shared" si="3"/>
        <v>1</v>
      </c>
      <c r="W148" s="4" t="str">
        <f t="shared" si="8"/>
        <v>Named Region</v>
      </c>
      <c r="X148" s="4" t="str">
        <f t="shared" si="4"/>
        <v>mww</v>
      </c>
      <c r="Y148" s="4">
        <f t="shared" si="5"/>
        <v>1</v>
      </c>
      <c r="Z148" s="4" t="str">
        <f t="shared" si="6"/>
        <v>Unique</v>
      </c>
      <c r="AA148" s="4" t="str">
        <f t="shared" si="7"/>
        <v>Valid</v>
      </c>
    </row>
    <row r="149">
      <c r="A149" s="3" t="s">
        <v>480</v>
      </c>
      <c r="B149" s="3">
        <v>6.6</v>
      </c>
      <c r="C149" s="17">
        <v>43566.94652777778</v>
      </c>
      <c r="D149" s="3">
        <v>4.0</v>
      </c>
      <c r="E149" s="3">
        <v>4.0</v>
      </c>
      <c r="F149" s="3" t="s">
        <v>109</v>
      </c>
      <c r="G149" s="3">
        <v>1.0</v>
      </c>
      <c r="H149" s="3">
        <v>673.0</v>
      </c>
      <c r="I149" s="3" t="s">
        <v>110</v>
      </c>
      <c r="J149" s="3">
        <v>0.0</v>
      </c>
      <c r="K149" s="3">
        <v>5.086</v>
      </c>
      <c r="L149" s="3">
        <v>48.0</v>
      </c>
      <c r="M149" s="3" t="s">
        <v>111</v>
      </c>
      <c r="N149" s="3">
        <v>10.0</v>
      </c>
      <c r="O149" s="3">
        <v>-18.5747</v>
      </c>
      <c r="P149" s="3">
        <v>-175.272</v>
      </c>
      <c r="Q149" s="3" t="s">
        <v>221</v>
      </c>
      <c r="R149" s="4"/>
      <c r="S149" s="4"/>
      <c r="T149" s="16">
        <f t="shared" si="1"/>
        <v>43773.94653</v>
      </c>
      <c r="U149" s="4" t="b">
        <f t="shared" si="2"/>
        <v>1</v>
      </c>
      <c r="V149" s="4" t="b">
        <f t="shared" si="3"/>
        <v>1</v>
      </c>
      <c r="W149" s="4" t="str">
        <f t="shared" si="8"/>
        <v>Distance/Location</v>
      </c>
      <c r="X149" s="4" t="str">
        <f t="shared" si="4"/>
        <v>mww</v>
      </c>
      <c r="Y149" s="4">
        <f t="shared" si="5"/>
        <v>1</v>
      </c>
      <c r="Z149" s="4" t="str">
        <f t="shared" si="6"/>
        <v>Unique</v>
      </c>
      <c r="AA149" s="4" t="str">
        <f t="shared" si="7"/>
        <v>Valid</v>
      </c>
    </row>
    <row r="150">
      <c r="A150" s="3" t="s">
        <v>481</v>
      </c>
      <c r="B150" s="3">
        <v>6.5</v>
      </c>
      <c r="C150" s="3" t="s">
        <v>482</v>
      </c>
      <c r="D150" s="3">
        <v>9.0</v>
      </c>
      <c r="E150" s="3">
        <v>7.0</v>
      </c>
      <c r="F150" s="3" t="s">
        <v>109</v>
      </c>
      <c r="G150" s="3">
        <v>1.0</v>
      </c>
      <c r="H150" s="3">
        <v>733.0</v>
      </c>
      <c r="I150" s="3" t="s">
        <v>110</v>
      </c>
      <c r="J150" s="3">
        <v>0.0</v>
      </c>
      <c r="K150" s="3">
        <v>0.428</v>
      </c>
      <c r="L150" s="3">
        <v>19.0</v>
      </c>
      <c r="M150" s="3" t="s">
        <v>111</v>
      </c>
      <c r="N150" s="3">
        <v>10.0</v>
      </c>
      <c r="O150" s="3">
        <v>6.9098</v>
      </c>
      <c r="P150" s="3">
        <v>125.178</v>
      </c>
      <c r="Q150" s="3" t="s">
        <v>483</v>
      </c>
      <c r="R150" s="4"/>
      <c r="S150" s="3" t="s">
        <v>258</v>
      </c>
      <c r="T150" s="16">
        <f t="shared" si="1"/>
        <v>43769.04931</v>
      </c>
      <c r="U150" s="4" t="b">
        <f t="shared" si="2"/>
        <v>1</v>
      </c>
      <c r="V150" s="4" t="b">
        <f t="shared" si="3"/>
        <v>0</v>
      </c>
      <c r="W150" s="4" t="str">
        <f t="shared" si="8"/>
        <v>Named Region</v>
      </c>
      <c r="X150" s="4" t="str">
        <f t="shared" si="4"/>
        <v>mww</v>
      </c>
      <c r="Y150" s="4">
        <f t="shared" si="5"/>
        <v>1</v>
      </c>
      <c r="Z150" s="4" t="str">
        <f t="shared" si="6"/>
        <v>Unique</v>
      </c>
      <c r="AA150" s="4" t="str">
        <f t="shared" si="7"/>
        <v>Valid</v>
      </c>
    </row>
    <row r="151">
      <c r="A151" s="3" t="s">
        <v>484</v>
      </c>
      <c r="B151" s="3">
        <v>6.6</v>
      </c>
      <c r="C151" s="3" t="s">
        <v>485</v>
      </c>
      <c r="D151" s="3">
        <v>9.0</v>
      </c>
      <c r="E151" s="3">
        <v>7.0</v>
      </c>
      <c r="F151" s="3" t="s">
        <v>116</v>
      </c>
      <c r="G151" s="3">
        <v>1.0</v>
      </c>
      <c r="H151" s="3">
        <v>780.0</v>
      </c>
      <c r="I151" s="3" t="s">
        <v>110</v>
      </c>
      <c r="J151" s="3">
        <v>0.0</v>
      </c>
      <c r="K151" s="3">
        <v>0.646</v>
      </c>
      <c r="L151" s="3">
        <v>24.0</v>
      </c>
      <c r="M151" s="3" t="s">
        <v>111</v>
      </c>
      <c r="N151" s="3">
        <v>15.0</v>
      </c>
      <c r="O151" s="3">
        <v>6.7567</v>
      </c>
      <c r="P151" s="3">
        <v>125.008</v>
      </c>
      <c r="Q151" s="3" t="s">
        <v>486</v>
      </c>
      <c r="R151" s="4"/>
      <c r="S151" s="3" t="s">
        <v>258</v>
      </c>
      <c r="T151" s="16">
        <f t="shared" si="1"/>
        <v>43767.04444</v>
      </c>
      <c r="U151" s="4" t="b">
        <f t="shared" si="2"/>
        <v>1</v>
      </c>
      <c r="V151" s="4" t="b">
        <f t="shared" si="3"/>
        <v>0</v>
      </c>
      <c r="W151" s="4" t="str">
        <f t="shared" si="8"/>
        <v>Distance/Location</v>
      </c>
      <c r="X151" s="4" t="str">
        <f t="shared" si="4"/>
        <v>mww</v>
      </c>
      <c r="Y151" s="4">
        <f t="shared" si="5"/>
        <v>1</v>
      </c>
      <c r="Z151" s="4" t="str">
        <f t="shared" si="6"/>
        <v>Unique</v>
      </c>
      <c r="AA151" s="4" t="str">
        <f t="shared" si="7"/>
        <v>Valid</v>
      </c>
    </row>
    <row r="152">
      <c r="A152" s="3" t="s">
        <v>487</v>
      </c>
      <c r="B152" s="3">
        <v>6.7</v>
      </c>
      <c r="C152" s="3" t="s">
        <v>488</v>
      </c>
      <c r="D152" s="3">
        <v>7.0</v>
      </c>
      <c r="E152" s="3">
        <v>6.0</v>
      </c>
      <c r="F152" s="3" t="s">
        <v>109</v>
      </c>
      <c r="G152" s="3">
        <v>1.0</v>
      </c>
      <c r="H152" s="3">
        <v>844.0</v>
      </c>
      <c r="I152" s="3" t="s">
        <v>110</v>
      </c>
      <c r="J152" s="3">
        <v>0.0</v>
      </c>
      <c r="K152" s="3">
        <v>1.269</v>
      </c>
      <c r="L152" s="3">
        <v>98.0</v>
      </c>
      <c r="M152" s="3" t="s">
        <v>111</v>
      </c>
      <c r="N152" s="3">
        <v>11.0</v>
      </c>
      <c r="O152" s="3">
        <v>-35.4758</v>
      </c>
      <c r="P152" s="3">
        <v>-73.163</v>
      </c>
      <c r="Q152" s="3" t="s">
        <v>489</v>
      </c>
      <c r="R152" s="4"/>
      <c r="S152" s="4"/>
      <c r="T152" s="16">
        <f t="shared" si="1"/>
        <v>43737.66458</v>
      </c>
      <c r="U152" s="4" t="b">
        <f t="shared" si="2"/>
        <v>1</v>
      </c>
      <c r="V152" s="4" t="b">
        <f t="shared" si="3"/>
        <v>0</v>
      </c>
      <c r="W152" s="4" t="str">
        <f t="shared" si="8"/>
        <v>Distance/Location</v>
      </c>
      <c r="X152" s="4" t="str">
        <f t="shared" si="4"/>
        <v>mww</v>
      </c>
      <c r="Y152" s="4">
        <f t="shared" si="5"/>
        <v>1</v>
      </c>
      <c r="Z152" s="4" t="str">
        <f t="shared" si="6"/>
        <v>Unique</v>
      </c>
      <c r="AA152" s="4" t="str">
        <f t="shared" si="7"/>
        <v>Valid</v>
      </c>
    </row>
    <row r="153">
      <c r="A153" s="3" t="s">
        <v>490</v>
      </c>
      <c r="B153" s="3">
        <v>6.5</v>
      </c>
      <c r="C153" s="3" t="s">
        <v>491</v>
      </c>
      <c r="D153" s="3">
        <v>7.0</v>
      </c>
      <c r="E153" s="3">
        <v>7.0</v>
      </c>
      <c r="F153" s="3" t="s">
        <v>116</v>
      </c>
      <c r="G153" s="3">
        <v>1.0</v>
      </c>
      <c r="H153" s="3">
        <v>656.0</v>
      </c>
      <c r="I153" s="3" t="s">
        <v>110</v>
      </c>
      <c r="J153" s="3">
        <v>0.0</v>
      </c>
      <c r="K153" s="3">
        <v>3.909</v>
      </c>
      <c r="L153" s="3">
        <v>15.0</v>
      </c>
      <c r="M153" s="3" t="s">
        <v>111</v>
      </c>
      <c r="N153" s="3">
        <v>12.26</v>
      </c>
      <c r="O153" s="3">
        <v>-3.4528</v>
      </c>
      <c r="P153" s="3">
        <v>128.37</v>
      </c>
      <c r="Q153" s="3" t="s">
        <v>492</v>
      </c>
      <c r="R153" s="4"/>
      <c r="S153" s="3" t="s">
        <v>153</v>
      </c>
      <c r="T153" s="16">
        <f t="shared" si="1"/>
        <v>43733.99028</v>
      </c>
      <c r="U153" s="4" t="b">
        <f t="shared" si="2"/>
        <v>1</v>
      </c>
      <c r="V153" s="4" t="b">
        <f t="shared" si="3"/>
        <v>0</v>
      </c>
      <c r="W153" s="4" t="str">
        <f t="shared" si="8"/>
        <v>Named Region</v>
      </c>
      <c r="X153" s="4" t="str">
        <f t="shared" si="4"/>
        <v>mww</v>
      </c>
      <c r="Y153" s="4">
        <f t="shared" si="5"/>
        <v>1</v>
      </c>
      <c r="Z153" s="4" t="str">
        <f t="shared" si="6"/>
        <v>Unique</v>
      </c>
      <c r="AA153" s="4" t="str">
        <f t="shared" si="7"/>
        <v>Valid</v>
      </c>
    </row>
    <row r="154">
      <c r="A154" s="3" t="s">
        <v>493</v>
      </c>
      <c r="B154" s="3">
        <v>6.6</v>
      </c>
      <c r="C154" s="17">
        <v>43474.6625</v>
      </c>
      <c r="D154" s="3">
        <v>2.0</v>
      </c>
      <c r="E154" s="3">
        <v>3.0</v>
      </c>
      <c r="F154" s="4"/>
      <c r="G154" s="3">
        <v>1.0</v>
      </c>
      <c r="H154" s="3">
        <v>671.0</v>
      </c>
      <c r="I154" s="3" t="s">
        <v>110</v>
      </c>
      <c r="J154" s="3">
        <v>0.0</v>
      </c>
      <c r="K154" s="3">
        <v>4.121</v>
      </c>
      <c r="L154" s="3">
        <v>19.0</v>
      </c>
      <c r="M154" s="3" t="s">
        <v>111</v>
      </c>
      <c r="N154" s="3">
        <v>591.0</v>
      </c>
      <c r="O154" s="3">
        <v>-20.3641</v>
      </c>
      <c r="P154" s="3">
        <v>-178.57</v>
      </c>
      <c r="Q154" s="3" t="s">
        <v>479</v>
      </c>
      <c r="R154" s="4"/>
      <c r="S154" s="3" t="s">
        <v>219</v>
      </c>
      <c r="T154" s="16">
        <f t="shared" si="1"/>
        <v>43709.6625</v>
      </c>
      <c r="U154" s="4" t="b">
        <f t="shared" si="2"/>
        <v>1</v>
      </c>
      <c r="V154" s="4" t="b">
        <f t="shared" si="3"/>
        <v>1</v>
      </c>
      <c r="W154" s="4" t="str">
        <f t="shared" si="8"/>
        <v>Named Region</v>
      </c>
      <c r="X154" s="4" t="str">
        <f t="shared" si="4"/>
        <v>mww</v>
      </c>
      <c r="Y154" s="4">
        <f t="shared" si="5"/>
        <v>1</v>
      </c>
      <c r="Z154" s="4" t="str">
        <f t="shared" si="6"/>
        <v>Unique</v>
      </c>
      <c r="AA154" s="4" t="str">
        <f t="shared" si="7"/>
        <v>Valid</v>
      </c>
    </row>
    <row r="155">
      <c r="A155" s="3" t="s">
        <v>494</v>
      </c>
      <c r="B155" s="3">
        <v>6.6</v>
      </c>
      <c r="C155" s="3" t="s">
        <v>495</v>
      </c>
      <c r="D155" s="3">
        <v>0.0</v>
      </c>
      <c r="E155" s="3">
        <v>4.0</v>
      </c>
      <c r="F155" s="3" t="s">
        <v>109</v>
      </c>
      <c r="G155" s="3">
        <v>1.0</v>
      </c>
      <c r="H155" s="3">
        <v>670.0</v>
      </c>
      <c r="I155" s="3" t="s">
        <v>110</v>
      </c>
      <c r="J155" s="3">
        <v>0.0</v>
      </c>
      <c r="K155" s="3">
        <v>12.896</v>
      </c>
      <c r="L155" s="3">
        <v>19.0</v>
      </c>
      <c r="M155" s="3" t="s">
        <v>111</v>
      </c>
      <c r="N155" s="3">
        <v>16.0</v>
      </c>
      <c r="O155" s="3">
        <v>-60.2152</v>
      </c>
      <c r="P155" s="3">
        <v>-26.5801</v>
      </c>
      <c r="Q155" s="3" t="s">
        <v>496</v>
      </c>
      <c r="R155" s="4"/>
      <c r="S155" s="3" t="s">
        <v>497</v>
      </c>
      <c r="T155" s="16">
        <f t="shared" si="1"/>
        <v>43704.99653</v>
      </c>
      <c r="U155" s="4" t="b">
        <f t="shared" si="2"/>
        <v>1</v>
      </c>
      <c r="V155" s="4" t="b">
        <f t="shared" si="3"/>
        <v>0</v>
      </c>
      <c r="W155" s="4" t="str">
        <f t="shared" si="8"/>
        <v>Named Region</v>
      </c>
      <c r="X155" s="4" t="str">
        <f t="shared" si="4"/>
        <v>mww</v>
      </c>
      <c r="Y155" s="4">
        <f t="shared" si="5"/>
        <v>1</v>
      </c>
      <c r="Z155" s="4" t="str">
        <f t="shared" si="6"/>
        <v>Unique</v>
      </c>
      <c r="AA155" s="4" t="str">
        <f t="shared" si="7"/>
        <v>Valid</v>
      </c>
    </row>
    <row r="156">
      <c r="A156" s="3" t="s">
        <v>498</v>
      </c>
      <c r="B156" s="3">
        <v>6.9</v>
      </c>
      <c r="C156" s="17">
        <v>43504.50208333333</v>
      </c>
      <c r="D156" s="3">
        <v>4.0</v>
      </c>
      <c r="E156" s="3">
        <v>6.0</v>
      </c>
      <c r="F156" s="3" t="s">
        <v>109</v>
      </c>
      <c r="G156" s="3">
        <v>0.0</v>
      </c>
      <c r="H156" s="3">
        <v>875.0</v>
      </c>
      <c r="I156" s="3" t="s">
        <v>110</v>
      </c>
      <c r="J156" s="3">
        <v>0.0</v>
      </c>
      <c r="K156" s="3">
        <v>2.839</v>
      </c>
      <c r="L156" s="3">
        <v>23.0</v>
      </c>
      <c r="M156" s="3" t="s">
        <v>111</v>
      </c>
      <c r="N156" s="3">
        <v>49.0</v>
      </c>
      <c r="O156" s="3">
        <v>-7.2822</v>
      </c>
      <c r="P156" s="3">
        <v>104.791</v>
      </c>
      <c r="Q156" s="3" t="s">
        <v>294</v>
      </c>
      <c r="R156" s="4"/>
      <c r="S156" s="4"/>
      <c r="T156" s="16">
        <f t="shared" si="1"/>
        <v>43679.50208</v>
      </c>
      <c r="U156" s="4" t="b">
        <f t="shared" si="2"/>
        <v>1</v>
      </c>
      <c r="V156" s="4" t="b">
        <f t="shared" si="3"/>
        <v>1</v>
      </c>
      <c r="W156" s="4" t="str">
        <f t="shared" si="8"/>
        <v>Distance/Location</v>
      </c>
      <c r="X156" s="4" t="str">
        <f t="shared" si="4"/>
        <v>mww</v>
      </c>
      <c r="Y156" s="4">
        <f t="shared" si="5"/>
        <v>1</v>
      </c>
      <c r="Z156" s="4" t="str">
        <f t="shared" si="6"/>
        <v>Unique</v>
      </c>
      <c r="AA156" s="4" t="str">
        <f t="shared" si="7"/>
        <v>Valid</v>
      </c>
    </row>
    <row r="157">
      <c r="A157" s="3" t="s">
        <v>499</v>
      </c>
      <c r="B157" s="3">
        <v>6.8</v>
      </c>
      <c r="C157" s="17">
        <v>43473.76944444444</v>
      </c>
      <c r="D157" s="3">
        <v>6.0</v>
      </c>
      <c r="E157" s="3">
        <v>6.0</v>
      </c>
      <c r="F157" s="3" t="s">
        <v>109</v>
      </c>
      <c r="G157" s="3">
        <v>1.0</v>
      </c>
      <c r="H157" s="3">
        <v>947.0</v>
      </c>
      <c r="I157" s="3" t="s">
        <v>110</v>
      </c>
      <c r="J157" s="3">
        <v>0.0</v>
      </c>
      <c r="K157" s="3">
        <v>0.817</v>
      </c>
      <c r="L157" s="3">
        <v>35.0</v>
      </c>
      <c r="M157" s="3" t="s">
        <v>111</v>
      </c>
      <c r="N157" s="3">
        <v>25.0</v>
      </c>
      <c r="O157" s="3">
        <v>-34.2364</v>
      </c>
      <c r="P157" s="3">
        <v>-72.3102</v>
      </c>
      <c r="Q157" s="3" t="s">
        <v>500</v>
      </c>
      <c r="R157" s="4"/>
      <c r="S157" s="4"/>
      <c r="T157" s="16">
        <f t="shared" si="1"/>
        <v>43678.76944</v>
      </c>
      <c r="U157" s="4" t="b">
        <f t="shared" si="2"/>
        <v>1</v>
      </c>
      <c r="V157" s="4" t="b">
        <f t="shared" si="3"/>
        <v>1</v>
      </c>
      <c r="W157" s="4" t="str">
        <f t="shared" si="8"/>
        <v>Distance/Location</v>
      </c>
      <c r="X157" s="4" t="str">
        <f t="shared" si="4"/>
        <v>mww</v>
      </c>
      <c r="Y157" s="4">
        <f t="shared" si="5"/>
        <v>1</v>
      </c>
      <c r="Z157" s="4" t="str">
        <f t="shared" si="6"/>
        <v>Unique</v>
      </c>
      <c r="AA157" s="4" t="str">
        <f t="shared" si="7"/>
        <v>Valid</v>
      </c>
    </row>
    <row r="158">
      <c r="A158" s="3" t="s">
        <v>501</v>
      </c>
      <c r="B158" s="3">
        <v>6.6</v>
      </c>
      <c r="C158" s="3" t="s">
        <v>502</v>
      </c>
      <c r="D158" s="3">
        <v>0.0</v>
      </c>
      <c r="E158" s="3">
        <v>4.0</v>
      </c>
      <c r="F158" s="3" t="s">
        <v>109</v>
      </c>
      <c r="G158" s="3">
        <v>1.0</v>
      </c>
      <c r="H158" s="3">
        <v>670.0</v>
      </c>
      <c r="I158" s="3" t="s">
        <v>110</v>
      </c>
      <c r="J158" s="3">
        <v>0.0</v>
      </c>
      <c r="K158" s="3">
        <v>6.024</v>
      </c>
      <c r="L158" s="3">
        <v>30.0</v>
      </c>
      <c r="M158" s="3" t="s">
        <v>111</v>
      </c>
      <c r="N158" s="3">
        <v>181.0</v>
      </c>
      <c r="O158" s="3">
        <v>-16.1985</v>
      </c>
      <c r="P158" s="3">
        <v>167.998</v>
      </c>
      <c r="Q158" s="3" t="s">
        <v>503</v>
      </c>
      <c r="R158" s="4"/>
      <c r="S158" s="3" t="s">
        <v>113</v>
      </c>
      <c r="T158" s="16">
        <f t="shared" si="1"/>
        <v>43677.62639</v>
      </c>
      <c r="U158" s="4" t="b">
        <f t="shared" si="2"/>
        <v>1</v>
      </c>
      <c r="V158" s="4" t="b">
        <f t="shared" si="3"/>
        <v>0</v>
      </c>
      <c r="W158" s="4" t="str">
        <f t="shared" si="8"/>
        <v>Named Region</v>
      </c>
      <c r="X158" s="4" t="str">
        <f t="shared" si="4"/>
        <v>mww</v>
      </c>
      <c r="Y158" s="4">
        <f t="shared" si="5"/>
        <v>1</v>
      </c>
      <c r="Z158" s="4" t="str">
        <f t="shared" si="6"/>
        <v>Unique</v>
      </c>
      <c r="AA158" s="4" t="str">
        <f t="shared" si="7"/>
        <v>Valid</v>
      </c>
    </row>
    <row r="159">
      <c r="A159" s="3" t="s">
        <v>504</v>
      </c>
      <c r="B159" s="3">
        <v>7.2</v>
      </c>
      <c r="C159" s="3" t="s">
        <v>505</v>
      </c>
      <c r="D159" s="3">
        <v>7.0</v>
      </c>
      <c r="E159" s="3">
        <v>7.0</v>
      </c>
      <c r="F159" s="3" t="s">
        <v>109</v>
      </c>
      <c r="G159" s="3">
        <v>1.0</v>
      </c>
      <c r="H159" s="3">
        <v>809.0</v>
      </c>
      <c r="I159" s="3" t="s">
        <v>110</v>
      </c>
      <c r="J159" s="3">
        <v>0.0</v>
      </c>
      <c r="K159" s="3">
        <v>1.504</v>
      </c>
      <c r="L159" s="3">
        <v>38.0</v>
      </c>
      <c r="M159" s="3" t="s">
        <v>111</v>
      </c>
      <c r="N159" s="3">
        <v>18.98</v>
      </c>
      <c r="O159" s="3">
        <v>-0.5858</v>
      </c>
      <c r="P159" s="3">
        <v>128.034</v>
      </c>
      <c r="Q159" s="3" t="s">
        <v>506</v>
      </c>
      <c r="R159" s="4"/>
      <c r="S159" s="3" t="s">
        <v>153</v>
      </c>
      <c r="T159" s="16">
        <f t="shared" si="1"/>
        <v>43660.38194</v>
      </c>
      <c r="U159" s="4" t="b">
        <f t="shared" si="2"/>
        <v>1</v>
      </c>
      <c r="V159" s="4" t="b">
        <f t="shared" si="3"/>
        <v>0</v>
      </c>
      <c r="W159" s="4" t="str">
        <f t="shared" si="8"/>
        <v>Named Region</v>
      </c>
      <c r="X159" s="4" t="str">
        <f t="shared" si="4"/>
        <v>mww</v>
      </c>
      <c r="Y159" s="4">
        <f t="shared" si="5"/>
        <v>1</v>
      </c>
      <c r="Z159" s="4" t="str">
        <f t="shared" si="6"/>
        <v>Unique</v>
      </c>
      <c r="AA159" s="4" t="str">
        <f t="shared" si="7"/>
        <v>Valid</v>
      </c>
    </row>
    <row r="160">
      <c r="A160" s="3" t="s">
        <v>507</v>
      </c>
      <c r="B160" s="3">
        <v>6.6</v>
      </c>
      <c r="C160" s="3" t="s">
        <v>508</v>
      </c>
      <c r="D160" s="3">
        <v>5.0</v>
      </c>
      <c r="E160" s="3">
        <v>5.0</v>
      </c>
      <c r="F160" s="3" t="s">
        <v>109</v>
      </c>
      <c r="G160" s="3">
        <v>0.0</v>
      </c>
      <c r="H160" s="3">
        <v>791.0</v>
      </c>
      <c r="I160" s="3" t="s">
        <v>110</v>
      </c>
      <c r="J160" s="3">
        <v>0.0</v>
      </c>
      <c r="K160" s="3">
        <v>2.978</v>
      </c>
      <c r="L160" s="3">
        <v>32.0</v>
      </c>
      <c r="M160" s="3" t="s">
        <v>111</v>
      </c>
      <c r="N160" s="3">
        <v>10.0</v>
      </c>
      <c r="O160" s="3">
        <v>-18.2242</v>
      </c>
      <c r="P160" s="3">
        <v>120.358</v>
      </c>
      <c r="Q160" s="3" t="s">
        <v>509</v>
      </c>
      <c r="R160" s="4"/>
      <c r="S160" s="4"/>
      <c r="T160" s="16">
        <f t="shared" si="1"/>
        <v>43660.23542</v>
      </c>
      <c r="U160" s="4" t="b">
        <f t="shared" si="2"/>
        <v>1</v>
      </c>
      <c r="V160" s="4" t="b">
        <f t="shared" si="3"/>
        <v>0</v>
      </c>
      <c r="W160" s="4" t="str">
        <f t="shared" si="8"/>
        <v>Named Region</v>
      </c>
      <c r="X160" s="4" t="str">
        <f t="shared" si="4"/>
        <v>mww</v>
      </c>
      <c r="Y160" s="4">
        <f t="shared" si="5"/>
        <v>1</v>
      </c>
      <c r="Z160" s="4" t="str">
        <f t="shared" si="6"/>
        <v>Unique</v>
      </c>
      <c r="AA160" s="4" t="str">
        <f t="shared" si="7"/>
        <v>Valid</v>
      </c>
    </row>
    <row r="161">
      <c r="A161" s="3" t="s">
        <v>510</v>
      </c>
      <c r="B161" s="3">
        <v>6.9</v>
      </c>
      <c r="C161" s="17">
        <v>43653.63055555556</v>
      </c>
      <c r="D161" s="3">
        <v>7.0</v>
      </c>
      <c r="E161" s="3">
        <v>5.0</v>
      </c>
      <c r="F161" s="3" t="s">
        <v>109</v>
      </c>
      <c r="G161" s="3">
        <v>0.0</v>
      </c>
      <c r="H161" s="3">
        <v>747.0</v>
      </c>
      <c r="I161" s="3" t="s">
        <v>110</v>
      </c>
      <c r="J161" s="3">
        <v>0.0</v>
      </c>
      <c r="K161" s="3">
        <v>1.205</v>
      </c>
      <c r="L161" s="3">
        <v>21.0</v>
      </c>
      <c r="M161" s="3" t="s">
        <v>111</v>
      </c>
      <c r="N161" s="3">
        <v>35.0</v>
      </c>
      <c r="O161" s="3">
        <v>0.5126</v>
      </c>
      <c r="P161" s="3">
        <v>126.189</v>
      </c>
      <c r="Q161" s="3" t="s">
        <v>511</v>
      </c>
      <c r="R161" s="4"/>
      <c r="S161" s="3" t="s">
        <v>153</v>
      </c>
      <c r="T161" s="16">
        <f t="shared" si="1"/>
        <v>43653.63056</v>
      </c>
      <c r="U161" s="4" t="b">
        <f t="shared" si="2"/>
        <v>1</v>
      </c>
      <c r="V161" s="4" t="b">
        <f t="shared" si="3"/>
        <v>1</v>
      </c>
      <c r="W161" s="4" t="str">
        <f t="shared" si="8"/>
        <v>Named Region</v>
      </c>
      <c r="X161" s="4" t="str">
        <f t="shared" si="4"/>
        <v>mww</v>
      </c>
      <c r="Y161" s="4">
        <f t="shared" si="5"/>
        <v>1</v>
      </c>
      <c r="Z161" s="4" t="str">
        <f t="shared" si="6"/>
        <v>Unique</v>
      </c>
      <c r="AA161" s="4" t="str">
        <f t="shared" si="7"/>
        <v>Valid</v>
      </c>
    </row>
    <row r="162">
      <c r="A162" s="3" t="s">
        <v>512</v>
      </c>
      <c r="B162" s="3">
        <v>7.1</v>
      </c>
      <c r="C162" s="17">
        <v>43623.138194444444</v>
      </c>
      <c r="D162" s="3">
        <v>9.0</v>
      </c>
      <c r="E162" s="3">
        <v>9.0</v>
      </c>
      <c r="F162" s="3" t="s">
        <v>116</v>
      </c>
      <c r="G162" s="3">
        <v>0.0</v>
      </c>
      <c r="H162" s="3">
        <v>1646.0</v>
      </c>
      <c r="I162" s="3" t="s">
        <v>513</v>
      </c>
      <c r="J162" s="3">
        <v>77.0</v>
      </c>
      <c r="K162" s="3">
        <v>0.04616</v>
      </c>
      <c r="L162" s="3">
        <v>43.0</v>
      </c>
      <c r="M162" s="3" t="s">
        <v>514</v>
      </c>
      <c r="N162" s="3">
        <v>8.0</v>
      </c>
      <c r="O162" s="3">
        <v>35.7695</v>
      </c>
      <c r="P162" s="3">
        <v>-117.599</v>
      </c>
      <c r="Q162" s="3" t="s">
        <v>515</v>
      </c>
      <c r="R162" s="3" t="s">
        <v>233</v>
      </c>
      <c r="S162" s="3" t="s">
        <v>318</v>
      </c>
      <c r="T162" s="16">
        <f t="shared" si="1"/>
        <v>43652.13819</v>
      </c>
      <c r="U162" s="4" t="b">
        <f t="shared" si="2"/>
        <v>1</v>
      </c>
      <c r="V162" s="4" t="b">
        <f t="shared" si="3"/>
        <v>1</v>
      </c>
      <c r="W162" s="4" t="str">
        <f t="shared" si="8"/>
        <v>Named Region</v>
      </c>
      <c r="X162" s="4" t="str">
        <f t="shared" si="4"/>
        <v>mw</v>
      </c>
      <c r="Y162" s="4">
        <f t="shared" si="5"/>
        <v>1</v>
      </c>
      <c r="Z162" s="4" t="str">
        <f t="shared" si="6"/>
        <v>Unique</v>
      </c>
      <c r="AA162" s="4" t="str">
        <f t="shared" si="7"/>
        <v>Valid</v>
      </c>
    </row>
    <row r="163">
      <c r="A163" s="3" t="s">
        <v>516</v>
      </c>
      <c r="B163" s="3">
        <v>7.3</v>
      </c>
      <c r="C163" s="3" t="s">
        <v>517</v>
      </c>
      <c r="D163" s="3">
        <v>4.0</v>
      </c>
      <c r="E163" s="3">
        <v>6.0</v>
      </c>
      <c r="F163" s="3" t="s">
        <v>109</v>
      </c>
      <c r="G163" s="3">
        <v>1.0</v>
      </c>
      <c r="H163" s="3">
        <v>952.0</v>
      </c>
      <c r="I163" s="3" t="s">
        <v>110</v>
      </c>
      <c r="J163" s="3">
        <v>0.0</v>
      </c>
      <c r="K163" s="3">
        <v>2.629</v>
      </c>
      <c r="L163" s="3">
        <v>16.0</v>
      </c>
      <c r="M163" s="3" t="s">
        <v>111</v>
      </c>
      <c r="N163" s="3">
        <v>212.0</v>
      </c>
      <c r="O163" s="3">
        <v>-6.4078</v>
      </c>
      <c r="P163" s="3">
        <v>129.169</v>
      </c>
      <c r="Q163" s="3" t="s">
        <v>518</v>
      </c>
      <c r="R163" s="4"/>
      <c r="S163" s="3" t="s">
        <v>153</v>
      </c>
      <c r="T163" s="16">
        <f t="shared" si="1"/>
        <v>43640.12014</v>
      </c>
      <c r="U163" s="4" t="b">
        <f t="shared" si="2"/>
        <v>1</v>
      </c>
      <c r="V163" s="4" t="b">
        <f t="shared" si="3"/>
        <v>0</v>
      </c>
      <c r="W163" s="4" t="str">
        <f t="shared" si="8"/>
        <v>Named Region</v>
      </c>
      <c r="X163" s="4" t="str">
        <f t="shared" si="4"/>
        <v>mww</v>
      </c>
      <c r="Y163" s="4">
        <f t="shared" si="5"/>
        <v>1</v>
      </c>
      <c r="Z163" s="4" t="str">
        <f t="shared" si="6"/>
        <v>Unique</v>
      </c>
      <c r="AA163" s="4" t="str">
        <f t="shared" si="7"/>
        <v>Valid</v>
      </c>
    </row>
    <row r="164">
      <c r="A164" s="3" t="s">
        <v>519</v>
      </c>
      <c r="B164" s="3">
        <v>7.3</v>
      </c>
      <c r="C164" s="3" t="s">
        <v>520</v>
      </c>
      <c r="D164" s="3">
        <v>8.0</v>
      </c>
      <c r="E164" s="3">
        <v>6.0</v>
      </c>
      <c r="F164" s="3" t="s">
        <v>109</v>
      </c>
      <c r="G164" s="3">
        <v>1.0</v>
      </c>
      <c r="H164" s="3">
        <v>830.0</v>
      </c>
      <c r="I164" s="3" t="s">
        <v>110</v>
      </c>
      <c r="J164" s="3">
        <v>0.0</v>
      </c>
      <c r="K164" s="3">
        <v>1.402</v>
      </c>
      <c r="L164" s="3">
        <v>11.0</v>
      </c>
      <c r="M164" s="3" t="s">
        <v>111</v>
      </c>
      <c r="N164" s="3">
        <v>46.0</v>
      </c>
      <c r="O164" s="3">
        <v>-30.6441</v>
      </c>
      <c r="P164" s="3">
        <v>-178.1</v>
      </c>
      <c r="Q164" s="3" t="s">
        <v>521</v>
      </c>
      <c r="R164" s="4"/>
      <c r="S164" s="4"/>
      <c r="T164" s="16">
        <f t="shared" si="1"/>
        <v>43631.95486</v>
      </c>
      <c r="U164" s="4" t="b">
        <f t="shared" si="2"/>
        <v>1</v>
      </c>
      <c r="V164" s="4" t="b">
        <f t="shared" si="3"/>
        <v>0</v>
      </c>
      <c r="W164" s="4" t="str">
        <f t="shared" si="8"/>
        <v>Named Region</v>
      </c>
      <c r="X164" s="4" t="str">
        <f t="shared" si="4"/>
        <v>mww</v>
      </c>
      <c r="Y164" s="4">
        <f t="shared" si="5"/>
        <v>1</v>
      </c>
      <c r="Z164" s="4" t="str">
        <f t="shared" si="6"/>
        <v>Unique</v>
      </c>
      <c r="AA164" s="4" t="str">
        <f t="shared" si="7"/>
        <v>Valid</v>
      </c>
    </row>
    <row r="165">
      <c r="A165" s="3" t="s">
        <v>522</v>
      </c>
      <c r="B165" s="3">
        <v>6.6</v>
      </c>
      <c r="C165" s="3" t="s">
        <v>523</v>
      </c>
      <c r="D165" s="3">
        <v>7.0</v>
      </c>
      <c r="E165" s="3">
        <v>6.0</v>
      </c>
      <c r="F165" s="3" t="s">
        <v>116</v>
      </c>
      <c r="G165" s="3">
        <v>1.0</v>
      </c>
      <c r="H165" s="3">
        <v>886.0</v>
      </c>
      <c r="I165" s="3" t="s">
        <v>110</v>
      </c>
      <c r="J165" s="3">
        <v>0.0</v>
      </c>
      <c r="K165" s="3">
        <v>1.193</v>
      </c>
      <c r="L165" s="3">
        <v>22.0</v>
      </c>
      <c r="M165" s="3" t="s">
        <v>111</v>
      </c>
      <c r="N165" s="3">
        <v>57.92</v>
      </c>
      <c r="O165" s="3">
        <v>13.1994</v>
      </c>
      <c r="P165" s="3">
        <v>-89.3056</v>
      </c>
      <c r="Q165" s="3" t="s">
        <v>524</v>
      </c>
      <c r="R165" s="4"/>
      <c r="S165" s="4"/>
      <c r="T165" s="16">
        <f t="shared" si="1"/>
        <v>43615.37708</v>
      </c>
      <c r="U165" s="4" t="b">
        <f t="shared" si="2"/>
        <v>1</v>
      </c>
      <c r="V165" s="4" t="b">
        <f t="shared" si="3"/>
        <v>0</v>
      </c>
      <c r="W165" s="4" t="str">
        <f t="shared" si="8"/>
        <v>Distance/Location</v>
      </c>
      <c r="X165" s="4" t="str">
        <f t="shared" si="4"/>
        <v>mww</v>
      </c>
      <c r="Y165" s="4">
        <f t="shared" si="5"/>
        <v>1</v>
      </c>
      <c r="Z165" s="4" t="str">
        <f t="shared" si="6"/>
        <v>Unique</v>
      </c>
      <c r="AA165" s="4" t="str">
        <f t="shared" si="7"/>
        <v>Valid</v>
      </c>
    </row>
    <row r="166">
      <c r="A166" s="3" t="s">
        <v>525</v>
      </c>
      <c r="B166" s="3">
        <v>8.0</v>
      </c>
      <c r="C166" s="3" t="s">
        <v>526</v>
      </c>
      <c r="D166" s="3">
        <v>9.0</v>
      </c>
      <c r="E166" s="3">
        <v>8.0</v>
      </c>
      <c r="F166" s="3" t="s">
        <v>178</v>
      </c>
      <c r="G166" s="3">
        <v>1.0</v>
      </c>
      <c r="H166" s="3">
        <v>1890.0</v>
      </c>
      <c r="I166" s="3" t="s">
        <v>110</v>
      </c>
      <c r="J166" s="3">
        <v>0.0</v>
      </c>
      <c r="K166" s="3">
        <v>3.18</v>
      </c>
      <c r="L166" s="3">
        <v>17.0</v>
      </c>
      <c r="M166" s="3" t="s">
        <v>111</v>
      </c>
      <c r="N166" s="3">
        <v>122.57</v>
      </c>
      <c r="O166" s="3">
        <v>-5.8119</v>
      </c>
      <c r="P166" s="3">
        <v>-75.2697</v>
      </c>
      <c r="Q166" s="3" t="s">
        <v>527</v>
      </c>
      <c r="R166" s="3" t="s">
        <v>121</v>
      </c>
      <c r="S166" s="3" t="s">
        <v>265</v>
      </c>
      <c r="T166" s="16">
        <f t="shared" si="1"/>
        <v>43611.32014</v>
      </c>
      <c r="U166" s="4" t="b">
        <f t="shared" si="2"/>
        <v>1</v>
      </c>
      <c r="V166" s="4" t="b">
        <f t="shared" si="3"/>
        <v>0</v>
      </c>
      <c r="W166" s="4" t="str">
        <f t="shared" si="8"/>
        <v>Distance/Location</v>
      </c>
      <c r="X166" s="4" t="str">
        <f t="shared" si="4"/>
        <v>mww</v>
      </c>
      <c r="Y166" s="4">
        <f t="shared" si="5"/>
        <v>1</v>
      </c>
      <c r="Z166" s="4" t="str">
        <f t="shared" si="6"/>
        <v>Unique</v>
      </c>
      <c r="AA166" s="4" t="str">
        <f t="shared" si="7"/>
        <v>Valid</v>
      </c>
    </row>
    <row r="167">
      <c r="A167" s="3" t="s">
        <v>528</v>
      </c>
      <c r="B167" s="3">
        <v>7.6</v>
      </c>
      <c r="C167" s="3" t="s">
        <v>529</v>
      </c>
      <c r="D167" s="3">
        <v>7.0</v>
      </c>
      <c r="E167" s="3">
        <v>7.0</v>
      </c>
      <c r="F167" s="3" t="s">
        <v>109</v>
      </c>
      <c r="G167" s="3">
        <v>1.0</v>
      </c>
      <c r="H167" s="3">
        <v>929.0</v>
      </c>
      <c r="I167" s="3" t="s">
        <v>110</v>
      </c>
      <c r="J167" s="3">
        <v>0.0</v>
      </c>
      <c r="K167" s="3">
        <v>0.453</v>
      </c>
      <c r="L167" s="3">
        <v>16.0</v>
      </c>
      <c r="M167" s="3" t="s">
        <v>111</v>
      </c>
      <c r="N167" s="3">
        <v>10.0</v>
      </c>
      <c r="O167" s="3">
        <v>-4.051</v>
      </c>
      <c r="P167" s="3">
        <v>152.597</v>
      </c>
      <c r="Q167" s="3" t="s">
        <v>530</v>
      </c>
      <c r="R167" s="4"/>
      <c r="S167" s="3" t="s">
        <v>168</v>
      </c>
      <c r="T167" s="16">
        <f t="shared" si="1"/>
        <v>43599.54028</v>
      </c>
      <c r="U167" s="4" t="b">
        <f t="shared" si="2"/>
        <v>1</v>
      </c>
      <c r="V167" s="4" t="b">
        <f t="shared" si="3"/>
        <v>0</v>
      </c>
      <c r="W167" s="4" t="str">
        <f t="shared" si="8"/>
        <v>Named Region</v>
      </c>
      <c r="X167" s="4" t="str">
        <f t="shared" si="4"/>
        <v>mww</v>
      </c>
      <c r="Y167" s="4">
        <f t="shared" si="5"/>
        <v>1</v>
      </c>
      <c r="Z167" s="4" t="str">
        <f t="shared" si="6"/>
        <v>Unique</v>
      </c>
      <c r="AA167" s="4" t="str">
        <f t="shared" si="7"/>
        <v>Valid</v>
      </c>
    </row>
    <row r="168">
      <c r="A168" s="3" t="s">
        <v>531</v>
      </c>
      <c r="B168" s="3">
        <v>7.1</v>
      </c>
      <c r="C168" s="17">
        <v>43621.888194444444</v>
      </c>
      <c r="D168" s="3">
        <v>7.0</v>
      </c>
      <c r="E168" s="3">
        <v>6.0</v>
      </c>
      <c r="F168" s="3" t="s">
        <v>116</v>
      </c>
      <c r="G168" s="3">
        <v>1.0</v>
      </c>
      <c r="H168" s="3">
        <v>826.0</v>
      </c>
      <c r="I168" s="3" t="s">
        <v>110</v>
      </c>
      <c r="J168" s="3">
        <v>0.0</v>
      </c>
      <c r="K168" s="3">
        <v>2.514</v>
      </c>
      <c r="L168" s="3">
        <v>16.0</v>
      </c>
      <c r="M168" s="3" t="s">
        <v>111</v>
      </c>
      <c r="N168" s="3">
        <v>146.0</v>
      </c>
      <c r="O168" s="3">
        <v>-6.9746</v>
      </c>
      <c r="P168" s="3">
        <v>146.449</v>
      </c>
      <c r="Q168" s="3" t="s">
        <v>532</v>
      </c>
      <c r="R168" s="4"/>
      <c r="S168" s="3" t="s">
        <v>168</v>
      </c>
      <c r="T168" s="16">
        <f t="shared" si="1"/>
        <v>43591.88819</v>
      </c>
      <c r="U168" s="4" t="b">
        <f t="shared" si="2"/>
        <v>1</v>
      </c>
      <c r="V168" s="4" t="b">
        <f t="shared" si="3"/>
        <v>1</v>
      </c>
      <c r="W168" s="4" t="str">
        <f t="shared" si="8"/>
        <v>Named Region</v>
      </c>
      <c r="X168" s="4" t="str">
        <f t="shared" si="4"/>
        <v>mww</v>
      </c>
      <c r="Y168" s="4">
        <f t="shared" si="5"/>
        <v>1</v>
      </c>
      <c r="Z168" s="4" t="str">
        <f t="shared" si="6"/>
        <v>Unique</v>
      </c>
      <c r="AA168" s="4" t="str">
        <f t="shared" si="7"/>
        <v>Valid</v>
      </c>
    </row>
    <row r="169">
      <c r="A169" s="3" t="s">
        <v>533</v>
      </c>
      <c r="B169" s="3">
        <v>6.8</v>
      </c>
      <c r="C169" s="17">
        <v>43803.48611111111</v>
      </c>
      <c r="D169" s="3">
        <v>5.0</v>
      </c>
      <c r="E169" s="3">
        <v>6.0</v>
      </c>
      <c r="F169" s="3" t="s">
        <v>109</v>
      </c>
      <c r="G169" s="3">
        <v>1.0</v>
      </c>
      <c r="H169" s="3">
        <v>717.0</v>
      </c>
      <c r="I169" s="3" t="s">
        <v>110</v>
      </c>
      <c r="J169" s="3">
        <v>0.0</v>
      </c>
      <c r="K169" s="3">
        <v>0.791</v>
      </c>
      <c r="L169" s="3">
        <v>28.0</v>
      </c>
      <c r="M169" s="3" t="s">
        <v>111</v>
      </c>
      <c r="N169" s="3">
        <v>15.46</v>
      </c>
      <c r="O169" s="3">
        <v>-1.8146</v>
      </c>
      <c r="P169" s="3">
        <v>122.58</v>
      </c>
      <c r="Q169" s="3" t="s">
        <v>534</v>
      </c>
      <c r="R169" s="4"/>
      <c r="S169" s="3" t="s">
        <v>153</v>
      </c>
      <c r="T169" s="16">
        <f t="shared" si="1"/>
        <v>43567.48611</v>
      </c>
      <c r="U169" s="4" t="b">
        <f t="shared" si="2"/>
        <v>1</v>
      </c>
      <c r="V169" s="4" t="b">
        <f t="shared" si="3"/>
        <v>1</v>
      </c>
      <c r="W169" s="4" t="str">
        <f t="shared" si="8"/>
        <v>Named Region</v>
      </c>
      <c r="X169" s="4" t="str">
        <f t="shared" si="4"/>
        <v>mww</v>
      </c>
      <c r="Y169" s="4">
        <f t="shared" si="5"/>
        <v>1</v>
      </c>
      <c r="Z169" s="4" t="str">
        <f t="shared" si="6"/>
        <v>Unique</v>
      </c>
      <c r="AA169" s="4" t="str">
        <f t="shared" si="7"/>
        <v>Valid</v>
      </c>
    </row>
    <row r="170">
      <c r="A170" s="3" t="s">
        <v>535</v>
      </c>
      <c r="B170" s="3">
        <v>6.5</v>
      </c>
      <c r="C170" s="17">
        <v>43712.74513888889</v>
      </c>
      <c r="D170" s="3">
        <v>0.0</v>
      </c>
      <c r="E170" s="3">
        <v>5.0</v>
      </c>
      <c r="F170" s="3" t="s">
        <v>109</v>
      </c>
      <c r="G170" s="3">
        <v>1.0</v>
      </c>
      <c r="H170" s="3">
        <v>650.0</v>
      </c>
      <c r="I170" s="3" t="s">
        <v>110</v>
      </c>
      <c r="J170" s="3">
        <v>0.0</v>
      </c>
      <c r="K170" s="3">
        <v>7.568</v>
      </c>
      <c r="L170" s="3">
        <v>18.0</v>
      </c>
      <c r="M170" s="3" t="s">
        <v>111</v>
      </c>
      <c r="N170" s="3">
        <v>38.0</v>
      </c>
      <c r="O170" s="3">
        <v>-58.6262</v>
      </c>
      <c r="P170" s="3">
        <v>-25.304</v>
      </c>
      <c r="Q170" s="3" t="s">
        <v>496</v>
      </c>
      <c r="R170" s="4"/>
      <c r="S170" s="4"/>
      <c r="T170" s="16">
        <f t="shared" si="1"/>
        <v>43564.74514</v>
      </c>
      <c r="U170" s="4" t="b">
        <f t="shared" si="2"/>
        <v>1</v>
      </c>
      <c r="V170" s="4" t="b">
        <f t="shared" si="3"/>
        <v>1</v>
      </c>
      <c r="W170" s="4" t="str">
        <f t="shared" si="8"/>
        <v>Named Region</v>
      </c>
      <c r="X170" s="4" t="str">
        <f t="shared" si="4"/>
        <v>mww</v>
      </c>
      <c r="Y170" s="4">
        <f t="shared" si="5"/>
        <v>1</v>
      </c>
      <c r="Z170" s="4" t="str">
        <f t="shared" si="6"/>
        <v>Unique</v>
      </c>
      <c r="AA170" s="4" t="str">
        <f t="shared" si="7"/>
        <v>Valid</v>
      </c>
    </row>
    <row r="171">
      <c r="A171" s="3" t="s">
        <v>536</v>
      </c>
      <c r="B171" s="3">
        <v>7.0</v>
      </c>
      <c r="C171" s="17">
        <v>43468.368055555555</v>
      </c>
      <c r="D171" s="3">
        <v>7.0</v>
      </c>
      <c r="E171" s="3">
        <v>4.0</v>
      </c>
      <c r="F171" s="3" t="s">
        <v>109</v>
      </c>
      <c r="G171" s="3">
        <v>1.0</v>
      </c>
      <c r="H171" s="3">
        <v>869.0</v>
      </c>
      <c r="I171" s="3" t="s">
        <v>110</v>
      </c>
      <c r="J171" s="3">
        <v>0.0</v>
      </c>
      <c r="K171" s="3">
        <v>2.501</v>
      </c>
      <c r="L171" s="3">
        <v>42.0</v>
      </c>
      <c r="M171" s="3" t="s">
        <v>111</v>
      </c>
      <c r="N171" s="3">
        <v>267.0</v>
      </c>
      <c r="O171" s="3">
        <v>-14.7131</v>
      </c>
      <c r="P171" s="3">
        <v>-70.1546</v>
      </c>
      <c r="Q171" s="3" t="s">
        <v>264</v>
      </c>
      <c r="R171" s="3" t="s">
        <v>121</v>
      </c>
      <c r="S171" s="3" t="s">
        <v>265</v>
      </c>
      <c r="T171" s="16">
        <f t="shared" si="1"/>
        <v>43525.36806</v>
      </c>
      <c r="U171" s="4" t="b">
        <f t="shared" si="2"/>
        <v>1</v>
      </c>
      <c r="V171" s="4" t="b">
        <f t="shared" si="3"/>
        <v>1</v>
      </c>
      <c r="W171" s="4" t="str">
        <f t="shared" si="8"/>
        <v>Distance/Location</v>
      </c>
      <c r="X171" s="4" t="str">
        <f t="shared" si="4"/>
        <v>mww</v>
      </c>
      <c r="Y171" s="4">
        <f t="shared" si="5"/>
        <v>1</v>
      </c>
      <c r="Z171" s="4" t="str">
        <f t="shared" si="6"/>
        <v>Unique</v>
      </c>
      <c r="AA171" s="4" t="str">
        <f t="shared" si="7"/>
        <v>Valid</v>
      </c>
    </row>
    <row r="172">
      <c r="A172" s="3" t="s">
        <v>537</v>
      </c>
      <c r="B172" s="3">
        <v>7.5</v>
      </c>
      <c r="C172" s="3" t="s">
        <v>538</v>
      </c>
      <c r="D172" s="3">
        <v>7.0</v>
      </c>
      <c r="E172" s="3">
        <v>7.0</v>
      </c>
      <c r="F172" s="3" t="s">
        <v>116</v>
      </c>
      <c r="G172" s="3">
        <v>1.0</v>
      </c>
      <c r="H172" s="3">
        <v>1145.0</v>
      </c>
      <c r="I172" s="3" t="s">
        <v>110</v>
      </c>
      <c r="J172" s="3">
        <v>0.0</v>
      </c>
      <c r="K172" s="3">
        <v>2.045</v>
      </c>
      <c r="L172" s="3">
        <v>15.0</v>
      </c>
      <c r="M172" s="3" t="s">
        <v>111</v>
      </c>
      <c r="N172" s="3">
        <v>145.0</v>
      </c>
      <c r="O172" s="3">
        <v>-2.1862</v>
      </c>
      <c r="P172" s="3">
        <v>-77.0505</v>
      </c>
      <c r="Q172" s="3" t="s">
        <v>539</v>
      </c>
      <c r="R172" s="3" t="s">
        <v>121</v>
      </c>
      <c r="S172" s="3" t="s">
        <v>179</v>
      </c>
      <c r="T172" s="16">
        <f t="shared" si="1"/>
        <v>43518.42847</v>
      </c>
      <c r="U172" s="4" t="b">
        <f t="shared" si="2"/>
        <v>1</v>
      </c>
      <c r="V172" s="4" t="b">
        <f t="shared" si="3"/>
        <v>0</v>
      </c>
      <c r="W172" s="4" t="str">
        <f t="shared" si="8"/>
        <v>Named Region</v>
      </c>
      <c r="X172" s="4" t="str">
        <f t="shared" si="4"/>
        <v>mww</v>
      </c>
      <c r="Y172" s="4">
        <f t="shared" si="5"/>
        <v>1</v>
      </c>
      <c r="Z172" s="4" t="str">
        <f t="shared" si="6"/>
        <v>Unique</v>
      </c>
      <c r="AA172" s="4" t="str">
        <f t="shared" si="7"/>
        <v>Valid</v>
      </c>
    </row>
    <row r="173">
      <c r="A173" s="3" t="s">
        <v>540</v>
      </c>
      <c r="B173" s="3">
        <v>6.7</v>
      </c>
      <c r="C173" s="17">
        <v>43467.67638888889</v>
      </c>
      <c r="D173" s="3">
        <v>6.0</v>
      </c>
      <c r="E173" s="3">
        <v>6.0</v>
      </c>
      <c r="F173" s="3" t="s">
        <v>116</v>
      </c>
      <c r="G173" s="3">
        <v>1.0</v>
      </c>
      <c r="H173" s="3">
        <v>909.0</v>
      </c>
      <c r="I173" s="3" t="s">
        <v>110</v>
      </c>
      <c r="J173" s="3">
        <v>0.0</v>
      </c>
      <c r="K173" s="3">
        <v>0.289</v>
      </c>
      <c r="L173" s="3">
        <v>43.0</v>
      </c>
      <c r="M173" s="3" t="s">
        <v>111</v>
      </c>
      <c r="N173" s="3">
        <v>66.0</v>
      </c>
      <c r="O173" s="3">
        <v>14.6802</v>
      </c>
      <c r="P173" s="3">
        <v>-92.4527</v>
      </c>
      <c r="Q173" s="3" t="s">
        <v>541</v>
      </c>
      <c r="R173" s="4"/>
      <c r="S173" s="3" t="s">
        <v>234</v>
      </c>
      <c r="T173" s="16">
        <f t="shared" si="1"/>
        <v>43497.67639</v>
      </c>
      <c r="U173" s="4" t="b">
        <f t="shared" si="2"/>
        <v>1</v>
      </c>
      <c r="V173" s="4" t="b">
        <f t="shared" si="3"/>
        <v>1</v>
      </c>
      <c r="W173" s="4" t="str">
        <f t="shared" si="8"/>
        <v>Distance/Location</v>
      </c>
      <c r="X173" s="4" t="str">
        <f t="shared" si="4"/>
        <v>mww</v>
      </c>
      <c r="Y173" s="4">
        <f t="shared" si="5"/>
        <v>1</v>
      </c>
      <c r="Z173" s="4" t="str">
        <f t="shared" si="6"/>
        <v>Unique</v>
      </c>
      <c r="AA173" s="4" t="str">
        <f t="shared" si="7"/>
        <v>Valid</v>
      </c>
    </row>
    <row r="174">
      <c r="A174" s="3" t="s">
        <v>542</v>
      </c>
      <c r="B174" s="3">
        <v>6.7</v>
      </c>
      <c r="C174" s="3" t="s">
        <v>543</v>
      </c>
      <c r="D174" s="3">
        <v>0.0</v>
      </c>
      <c r="E174" s="3">
        <v>3.0</v>
      </c>
      <c r="F174" s="3" t="s">
        <v>109</v>
      </c>
      <c r="G174" s="3">
        <v>0.0</v>
      </c>
      <c r="H174" s="3">
        <v>691.0</v>
      </c>
      <c r="I174" s="3" t="s">
        <v>110</v>
      </c>
      <c r="J174" s="3">
        <v>0.0</v>
      </c>
      <c r="K174" s="3">
        <v>7.527</v>
      </c>
      <c r="L174" s="3">
        <v>17.0</v>
      </c>
      <c r="M174" s="3" t="s">
        <v>111</v>
      </c>
      <c r="N174" s="3">
        <v>13.0</v>
      </c>
      <c r="O174" s="3">
        <v>-43.1219</v>
      </c>
      <c r="P174" s="3">
        <v>42.3568</v>
      </c>
      <c r="Q174" s="3" t="s">
        <v>544</v>
      </c>
      <c r="R174" s="4"/>
      <c r="S174" s="4"/>
      <c r="T174" s="16">
        <f t="shared" si="1"/>
        <v>43487.79236</v>
      </c>
      <c r="U174" s="4" t="b">
        <f t="shared" si="2"/>
        <v>1</v>
      </c>
      <c r="V174" s="4" t="b">
        <f t="shared" si="3"/>
        <v>0</v>
      </c>
      <c r="W174" s="4" t="str">
        <f t="shared" si="8"/>
        <v>Named Region</v>
      </c>
      <c r="X174" s="4" t="str">
        <f t="shared" si="4"/>
        <v>mww</v>
      </c>
      <c r="Y174" s="4">
        <f t="shared" si="5"/>
        <v>1</v>
      </c>
      <c r="Z174" s="4" t="str">
        <f t="shared" si="6"/>
        <v>Unique</v>
      </c>
      <c r="AA174" s="4" t="str">
        <f t="shared" si="7"/>
        <v>Valid</v>
      </c>
    </row>
    <row r="175">
      <c r="A175" s="3" t="s">
        <v>545</v>
      </c>
      <c r="B175" s="3">
        <v>6.7</v>
      </c>
      <c r="C175" s="3" t="s">
        <v>546</v>
      </c>
      <c r="D175" s="3">
        <v>8.0</v>
      </c>
      <c r="E175" s="3">
        <v>8.0</v>
      </c>
      <c r="F175" s="3" t="s">
        <v>178</v>
      </c>
      <c r="G175" s="3">
        <v>1.0</v>
      </c>
      <c r="H175" s="3">
        <v>1600.0</v>
      </c>
      <c r="I175" s="3" t="s">
        <v>110</v>
      </c>
      <c r="J175" s="3">
        <v>0.0</v>
      </c>
      <c r="K175" s="3">
        <v>0.173</v>
      </c>
      <c r="L175" s="3">
        <v>22.0</v>
      </c>
      <c r="M175" s="3" t="s">
        <v>111</v>
      </c>
      <c r="N175" s="3">
        <v>63.0</v>
      </c>
      <c r="O175" s="3">
        <v>-30.0404</v>
      </c>
      <c r="P175" s="3">
        <v>-71.3815</v>
      </c>
      <c r="Q175" s="3" t="s">
        <v>547</v>
      </c>
      <c r="R175" s="3" t="s">
        <v>121</v>
      </c>
      <c r="S175" s="3" t="s">
        <v>414</v>
      </c>
      <c r="T175" s="16">
        <f t="shared" si="1"/>
        <v>43485.06389</v>
      </c>
      <c r="U175" s="4" t="b">
        <f t="shared" si="2"/>
        <v>1</v>
      </c>
      <c r="V175" s="4" t="b">
        <f t="shared" si="3"/>
        <v>0</v>
      </c>
      <c r="W175" s="4" t="str">
        <f t="shared" si="8"/>
        <v>Distance/Location</v>
      </c>
      <c r="X175" s="4" t="str">
        <f t="shared" si="4"/>
        <v>mww</v>
      </c>
      <c r="Y175" s="4">
        <f t="shared" si="5"/>
        <v>1</v>
      </c>
      <c r="Z175" s="4" t="str">
        <f t="shared" si="6"/>
        <v>Unique</v>
      </c>
      <c r="AA175" s="4" t="str">
        <f t="shared" si="7"/>
        <v>Valid</v>
      </c>
    </row>
    <row r="176">
      <c r="A176" s="3" t="s">
        <v>548</v>
      </c>
      <c r="B176" s="3">
        <v>6.6</v>
      </c>
      <c r="C176" s="3" t="s">
        <v>549</v>
      </c>
      <c r="D176" s="3">
        <v>5.0</v>
      </c>
      <c r="E176" s="3">
        <v>4.0</v>
      </c>
      <c r="F176" s="3" t="s">
        <v>109</v>
      </c>
      <c r="G176" s="3">
        <v>1.0</v>
      </c>
      <c r="H176" s="3">
        <v>671.0</v>
      </c>
      <c r="I176" s="3" t="s">
        <v>110</v>
      </c>
      <c r="J176" s="3">
        <v>0.0</v>
      </c>
      <c r="K176" s="3">
        <v>7.818</v>
      </c>
      <c r="L176" s="3">
        <v>18.0</v>
      </c>
      <c r="M176" s="3" t="s">
        <v>111</v>
      </c>
      <c r="N176" s="3">
        <v>35.0</v>
      </c>
      <c r="O176" s="3">
        <v>-13.336</v>
      </c>
      <c r="P176" s="3">
        <v>166.875</v>
      </c>
      <c r="Q176" s="3" t="s">
        <v>112</v>
      </c>
      <c r="R176" s="4"/>
      <c r="S176" s="3" t="s">
        <v>113</v>
      </c>
      <c r="T176" s="16">
        <f t="shared" si="1"/>
        <v>43480.75417</v>
      </c>
      <c r="U176" s="4" t="b">
        <f t="shared" si="2"/>
        <v>1</v>
      </c>
      <c r="V176" s="4" t="b">
        <f t="shared" si="3"/>
        <v>0</v>
      </c>
      <c r="W176" s="4" t="str">
        <f t="shared" si="8"/>
        <v>Distance/Location</v>
      </c>
      <c r="X176" s="4" t="str">
        <f t="shared" si="4"/>
        <v>mww</v>
      </c>
      <c r="Y176" s="4">
        <f t="shared" si="5"/>
        <v>1</v>
      </c>
      <c r="Z176" s="4" t="str">
        <f t="shared" si="6"/>
        <v>Unique</v>
      </c>
      <c r="AA176" s="4" t="str">
        <f t="shared" si="7"/>
        <v>Valid</v>
      </c>
    </row>
    <row r="177">
      <c r="A177" s="3" t="s">
        <v>550</v>
      </c>
      <c r="B177" s="3">
        <v>6.6</v>
      </c>
      <c r="C177" s="17">
        <v>43617.72708333333</v>
      </c>
      <c r="D177" s="3">
        <v>2.0</v>
      </c>
      <c r="E177" s="3">
        <v>4.0</v>
      </c>
      <c r="F177" s="3" t="s">
        <v>109</v>
      </c>
      <c r="G177" s="3">
        <v>1.0</v>
      </c>
      <c r="H177" s="3">
        <v>672.0</v>
      </c>
      <c r="I177" s="3" t="s">
        <v>110</v>
      </c>
      <c r="J177" s="3">
        <v>0.0</v>
      </c>
      <c r="K177" s="3">
        <v>1.596</v>
      </c>
      <c r="L177" s="3">
        <v>33.0</v>
      </c>
      <c r="M177" s="3" t="s">
        <v>111</v>
      </c>
      <c r="N177" s="3">
        <v>43.21</v>
      </c>
      <c r="O177" s="3">
        <v>2.258</v>
      </c>
      <c r="P177" s="3">
        <v>126.758</v>
      </c>
      <c r="Q177" s="3" t="s">
        <v>551</v>
      </c>
      <c r="R177" s="4"/>
      <c r="S177" s="3" t="s">
        <v>153</v>
      </c>
      <c r="T177" s="16">
        <f t="shared" si="1"/>
        <v>43471.72708</v>
      </c>
      <c r="U177" s="4" t="b">
        <f t="shared" si="2"/>
        <v>1</v>
      </c>
      <c r="V177" s="4" t="b">
        <f t="shared" si="3"/>
        <v>1</v>
      </c>
      <c r="W177" s="4" t="str">
        <f t="shared" si="8"/>
        <v>Named Region</v>
      </c>
      <c r="X177" s="4" t="str">
        <f t="shared" si="4"/>
        <v>mww</v>
      </c>
      <c r="Y177" s="4">
        <f t="shared" si="5"/>
        <v>1</v>
      </c>
      <c r="Z177" s="4" t="str">
        <f t="shared" si="6"/>
        <v>Unique</v>
      </c>
      <c r="AA177" s="4" t="str">
        <f t="shared" si="7"/>
        <v>Valid</v>
      </c>
    </row>
    <row r="178">
      <c r="A178" s="3" t="s">
        <v>552</v>
      </c>
      <c r="B178" s="3">
        <v>6.8</v>
      </c>
      <c r="C178" s="17">
        <v>43586.80902777778</v>
      </c>
      <c r="D178" s="3">
        <v>3.0</v>
      </c>
      <c r="E178" s="3">
        <v>3.0</v>
      </c>
      <c r="F178" s="3" t="s">
        <v>109</v>
      </c>
      <c r="G178" s="3">
        <v>0.0</v>
      </c>
      <c r="H178" s="3">
        <v>715.0</v>
      </c>
      <c r="I178" s="3" t="s">
        <v>110</v>
      </c>
      <c r="J178" s="3">
        <v>0.0</v>
      </c>
      <c r="K178" s="3">
        <v>1.181</v>
      </c>
      <c r="L178" s="3">
        <v>16.0</v>
      </c>
      <c r="M178" s="3" t="s">
        <v>111</v>
      </c>
      <c r="N178" s="3">
        <v>570.41</v>
      </c>
      <c r="O178" s="3">
        <v>-8.144</v>
      </c>
      <c r="P178" s="3">
        <v>-71.587</v>
      </c>
      <c r="Q178" s="3" t="s">
        <v>553</v>
      </c>
      <c r="R178" s="3" t="s">
        <v>121</v>
      </c>
      <c r="S178" s="3" t="s">
        <v>261</v>
      </c>
      <c r="T178" s="16">
        <f t="shared" si="1"/>
        <v>43470.80903</v>
      </c>
      <c r="U178" s="4" t="b">
        <f t="shared" si="2"/>
        <v>1</v>
      </c>
      <c r="V178" s="4" t="b">
        <f t="shared" si="3"/>
        <v>1</v>
      </c>
      <c r="W178" s="4" t="str">
        <f t="shared" si="8"/>
        <v>Named Region</v>
      </c>
      <c r="X178" s="4" t="str">
        <f t="shared" si="4"/>
        <v>mww</v>
      </c>
      <c r="Y178" s="4">
        <f t="shared" si="5"/>
        <v>1</v>
      </c>
      <c r="Z178" s="4" t="str">
        <f t="shared" si="6"/>
        <v>Unique</v>
      </c>
      <c r="AA178" s="4" t="str">
        <f t="shared" si="7"/>
        <v>Valid</v>
      </c>
    </row>
    <row r="179">
      <c r="A179" s="3" t="s">
        <v>554</v>
      </c>
      <c r="B179" s="3">
        <v>7.0</v>
      </c>
      <c r="C179" s="3" t="s">
        <v>555</v>
      </c>
      <c r="D179" s="3">
        <v>5.0</v>
      </c>
      <c r="E179" s="3">
        <v>5.0</v>
      </c>
      <c r="F179" s="3" t="s">
        <v>109</v>
      </c>
      <c r="G179" s="3">
        <v>1.0</v>
      </c>
      <c r="H179" s="3">
        <v>803.0</v>
      </c>
      <c r="I179" s="3" t="s">
        <v>110</v>
      </c>
      <c r="J179" s="3">
        <v>0.0</v>
      </c>
      <c r="K179" s="3">
        <v>1.769</v>
      </c>
      <c r="L179" s="3">
        <v>21.0</v>
      </c>
      <c r="M179" s="3" t="s">
        <v>111</v>
      </c>
      <c r="N179" s="3">
        <v>60.21</v>
      </c>
      <c r="O179" s="3">
        <v>5.8983</v>
      </c>
      <c r="P179" s="3">
        <v>126.921</v>
      </c>
      <c r="Q179" s="3" t="s">
        <v>348</v>
      </c>
      <c r="R179" s="4"/>
      <c r="S179" s="4"/>
      <c r="T179" s="16">
        <f t="shared" si="1"/>
        <v>43463.15208</v>
      </c>
      <c r="U179" s="4" t="b">
        <f t="shared" si="2"/>
        <v>1</v>
      </c>
      <c r="V179" s="4" t="b">
        <f t="shared" si="3"/>
        <v>0</v>
      </c>
      <c r="W179" s="4" t="str">
        <f t="shared" si="8"/>
        <v>Distance/Location</v>
      </c>
      <c r="X179" s="4" t="str">
        <f t="shared" si="4"/>
        <v>mww</v>
      </c>
      <c r="Y179" s="4">
        <f t="shared" si="5"/>
        <v>1</v>
      </c>
      <c r="Z179" s="4" t="str">
        <f t="shared" si="6"/>
        <v>Unique</v>
      </c>
      <c r="AA179" s="4" t="str">
        <f t="shared" si="7"/>
        <v>Valid</v>
      </c>
    </row>
    <row r="180">
      <c r="A180" s="3" t="s">
        <v>556</v>
      </c>
      <c r="B180" s="3">
        <v>7.3</v>
      </c>
      <c r="C180" s="3" t="s">
        <v>557</v>
      </c>
      <c r="D180" s="3">
        <v>3.0</v>
      </c>
      <c r="E180" s="3">
        <v>7.0</v>
      </c>
      <c r="F180" s="3" t="s">
        <v>109</v>
      </c>
      <c r="G180" s="3">
        <v>1.0</v>
      </c>
      <c r="H180" s="3">
        <v>822.0</v>
      </c>
      <c r="I180" s="3" t="s">
        <v>110</v>
      </c>
      <c r="J180" s="3">
        <v>0.0</v>
      </c>
      <c r="K180" s="3">
        <v>4.126</v>
      </c>
      <c r="L180" s="3">
        <v>23.0</v>
      </c>
      <c r="M180" s="3" t="s">
        <v>111</v>
      </c>
      <c r="N180" s="3">
        <v>16.56</v>
      </c>
      <c r="O180" s="3">
        <v>55.0999</v>
      </c>
      <c r="P180" s="3">
        <v>164.699</v>
      </c>
      <c r="Q180" s="3" t="s">
        <v>383</v>
      </c>
      <c r="R180" s="4"/>
      <c r="S180" s="4"/>
      <c r="T180" s="16">
        <f t="shared" si="1"/>
        <v>43454.70903</v>
      </c>
      <c r="U180" s="4" t="b">
        <f t="shared" si="2"/>
        <v>1</v>
      </c>
      <c r="V180" s="4" t="b">
        <f t="shared" si="3"/>
        <v>0</v>
      </c>
      <c r="W180" s="4" t="str">
        <f t="shared" si="8"/>
        <v>Distance/Location</v>
      </c>
      <c r="X180" s="4" t="str">
        <f t="shared" si="4"/>
        <v>mww</v>
      </c>
      <c r="Y180" s="4">
        <f t="shared" si="5"/>
        <v>1</v>
      </c>
      <c r="Z180" s="4" t="str">
        <f t="shared" si="6"/>
        <v>Unique</v>
      </c>
      <c r="AA180" s="4" t="str">
        <f t="shared" si="7"/>
        <v>Valid</v>
      </c>
    </row>
    <row r="181">
      <c r="A181" s="3" t="s">
        <v>327</v>
      </c>
      <c r="B181" s="3">
        <v>7.1</v>
      </c>
      <c r="C181" s="18">
        <v>43416.10138888889</v>
      </c>
      <c r="D181" s="3">
        <v>0.0</v>
      </c>
      <c r="E181" s="3">
        <v>5.0</v>
      </c>
      <c r="F181" s="3" t="s">
        <v>109</v>
      </c>
      <c r="G181" s="3">
        <v>1.0</v>
      </c>
      <c r="H181" s="3">
        <v>776.0</v>
      </c>
      <c r="I181" s="3" t="s">
        <v>110</v>
      </c>
      <c r="J181" s="3">
        <v>0.0</v>
      </c>
      <c r="K181" s="3">
        <v>7.043</v>
      </c>
      <c r="L181" s="3">
        <v>20.0</v>
      </c>
      <c r="M181" s="3" t="s">
        <v>111</v>
      </c>
      <c r="N181" s="3">
        <v>133.0</v>
      </c>
      <c r="O181" s="3">
        <v>-58.5446</v>
      </c>
      <c r="P181" s="3">
        <v>-26.3856</v>
      </c>
      <c r="Q181" s="3" t="s">
        <v>329</v>
      </c>
      <c r="R181" s="4"/>
      <c r="S181" s="3" t="s">
        <v>558</v>
      </c>
      <c r="T181" s="16">
        <f t="shared" si="1"/>
        <v>43445.10139</v>
      </c>
      <c r="U181" s="4" t="b">
        <f t="shared" si="2"/>
        <v>1</v>
      </c>
      <c r="V181" s="4" t="b">
        <f t="shared" si="3"/>
        <v>1</v>
      </c>
      <c r="W181" s="4" t="str">
        <f t="shared" si="8"/>
        <v>Named Region</v>
      </c>
      <c r="X181" s="4" t="str">
        <f t="shared" si="4"/>
        <v>mww</v>
      </c>
      <c r="Y181" s="4">
        <f t="shared" si="5"/>
        <v>1</v>
      </c>
      <c r="Z181" s="4" t="str">
        <f t="shared" si="6"/>
        <v>Unique</v>
      </c>
      <c r="AA181" s="4" t="str">
        <f t="shared" si="7"/>
        <v>Valid</v>
      </c>
    </row>
    <row r="182">
      <c r="A182" s="3" t="s">
        <v>559</v>
      </c>
      <c r="B182" s="3">
        <v>6.6</v>
      </c>
      <c r="C182" s="17">
        <v>43232.279861111114</v>
      </c>
      <c r="D182" s="3">
        <v>0.0</v>
      </c>
      <c r="E182" s="3">
        <v>4.0</v>
      </c>
      <c r="F182" s="3" t="s">
        <v>109</v>
      </c>
      <c r="G182" s="3">
        <v>1.0</v>
      </c>
      <c r="H182" s="3">
        <v>670.0</v>
      </c>
      <c r="I182" s="3" t="s">
        <v>110</v>
      </c>
      <c r="J182" s="3">
        <v>0.0</v>
      </c>
      <c r="K182" s="3">
        <v>2.679</v>
      </c>
      <c r="L182" s="3">
        <v>31.0</v>
      </c>
      <c r="M182" s="3" t="s">
        <v>111</v>
      </c>
      <c r="N182" s="3">
        <v>10.0</v>
      </c>
      <c r="O182" s="3">
        <v>-22.0629</v>
      </c>
      <c r="P182" s="3">
        <v>169.733</v>
      </c>
      <c r="Q182" s="3" t="s">
        <v>276</v>
      </c>
      <c r="R182" s="4"/>
      <c r="S182" s="4"/>
      <c r="T182" s="16">
        <f t="shared" si="1"/>
        <v>43439.27986</v>
      </c>
      <c r="U182" s="4" t="b">
        <f t="shared" si="2"/>
        <v>1</v>
      </c>
      <c r="V182" s="4" t="b">
        <f t="shared" si="3"/>
        <v>1</v>
      </c>
      <c r="W182" s="4" t="str">
        <f t="shared" si="8"/>
        <v>Distance/Location</v>
      </c>
      <c r="X182" s="4" t="str">
        <f t="shared" si="4"/>
        <v>mww</v>
      </c>
      <c r="Y182" s="4">
        <f t="shared" si="5"/>
        <v>1</v>
      </c>
      <c r="Z182" s="4" t="str">
        <f t="shared" si="6"/>
        <v>Unique</v>
      </c>
      <c r="AA182" s="4" t="str">
        <f t="shared" si="7"/>
        <v>Valid</v>
      </c>
    </row>
    <row r="183">
      <c r="A183" s="3" t="s">
        <v>560</v>
      </c>
      <c r="B183" s="3">
        <v>7.5</v>
      </c>
      <c r="C183" s="17">
        <v>43232.17916666667</v>
      </c>
      <c r="D183" s="3">
        <v>3.0</v>
      </c>
      <c r="E183" s="3">
        <v>6.0</v>
      </c>
      <c r="F183" s="3" t="s">
        <v>109</v>
      </c>
      <c r="G183" s="3">
        <v>1.0</v>
      </c>
      <c r="H183" s="3">
        <v>871.0</v>
      </c>
      <c r="I183" s="3" t="s">
        <v>110</v>
      </c>
      <c r="J183" s="3">
        <v>0.0</v>
      </c>
      <c r="K183" s="3">
        <v>2.405</v>
      </c>
      <c r="L183" s="3">
        <v>18.0</v>
      </c>
      <c r="M183" s="3" t="s">
        <v>111</v>
      </c>
      <c r="N183" s="3">
        <v>10.0</v>
      </c>
      <c r="O183" s="3">
        <v>-21.9496</v>
      </c>
      <c r="P183" s="3">
        <v>169.427</v>
      </c>
      <c r="Q183" s="3" t="s">
        <v>276</v>
      </c>
      <c r="R183" s="4"/>
      <c r="S183" s="4"/>
      <c r="T183" s="16">
        <f t="shared" si="1"/>
        <v>43439.17917</v>
      </c>
      <c r="U183" s="4" t="b">
        <f t="shared" si="2"/>
        <v>1</v>
      </c>
      <c r="V183" s="4" t="b">
        <f t="shared" si="3"/>
        <v>1</v>
      </c>
      <c r="W183" s="4" t="str">
        <f t="shared" si="8"/>
        <v>Distance/Location</v>
      </c>
      <c r="X183" s="4" t="str">
        <f t="shared" si="4"/>
        <v>mww</v>
      </c>
      <c r="Y183" s="4">
        <f t="shared" si="5"/>
        <v>1</v>
      </c>
      <c r="Z183" s="4" t="str">
        <f t="shared" si="6"/>
        <v>Unique</v>
      </c>
      <c r="AA183" s="4" t="str">
        <f t="shared" si="7"/>
        <v>Valid</v>
      </c>
    </row>
    <row r="184">
      <c r="A184" s="3" t="s">
        <v>561</v>
      </c>
      <c r="B184" s="3">
        <v>7.1</v>
      </c>
      <c r="C184" s="3" t="s">
        <v>562</v>
      </c>
      <c r="D184" s="3">
        <v>8.0</v>
      </c>
      <c r="E184" s="3">
        <v>8.0</v>
      </c>
      <c r="F184" s="3" t="s">
        <v>178</v>
      </c>
      <c r="G184" s="3">
        <v>1.0</v>
      </c>
      <c r="H184" s="3">
        <v>1790.0</v>
      </c>
      <c r="I184" s="3" t="s">
        <v>316</v>
      </c>
      <c r="J184" s="3">
        <v>0.0</v>
      </c>
      <c r="K184" s="3">
        <v>0.0</v>
      </c>
      <c r="L184" s="3">
        <v>0.0</v>
      </c>
      <c r="M184" s="3" t="s">
        <v>514</v>
      </c>
      <c r="N184" s="3">
        <v>46.7</v>
      </c>
      <c r="O184" s="3">
        <v>61.3464</v>
      </c>
      <c r="P184" s="3">
        <v>-149.955</v>
      </c>
      <c r="Q184" s="3" t="s">
        <v>563</v>
      </c>
      <c r="R184" s="3" t="s">
        <v>233</v>
      </c>
      <c r="S184" s="3" t="s">
        <v>318</v>
      </c>
      <c r="T184" s="16">
        <f t="shared" si="1"/>
        <v>43434.72847</v>
      </c>
      <c r="U184" s="4" t="b">
        <f t="shared" si="2"/>
        <v>1</v>
      </c>
      <c r="V184" s="4" t="b">
        <f t="shared" si="3"/>
        <v>0</v>
      </c>
      <c r="W184" s="4" t="str">
        <f t="shared" si="8"/>
        <v>Distance/Location</v>
      </c>
      <c r="X184" s="4" t="str">
        <f t="shared" si="4"/>
        <v>mw</v>
      </c>
      <c r="Y184" s="4">
        <f t="shared" si="5"/>
        <v>1</v>
      </c>
      <c r="Z184" s="4" t="str">
        <f t="shared" si="6"/>
        <v>Unique</v>
      </c>
      <c r="AA184" s="4" t="str">
        <f t="shared" si="7"/>
        <v>Valid</v>
      </c>
    </row>
    <row r="185">
      <c r="A185" s="3" t="s">
        <v>564</v>
      </c>
      <c r="B185" s="3">
        <v>6.8</v>
      </c>
      <c r="C185" s="3" t="s">
        <v>565</v>
      </c>
      <c r="D185" s="3">
        <v>0.0</v>
      </c>
      <c r="E185" s="3">
        <v>3.0</v>
      </c>
      <c r="F185" s="3" t="s">
        <v>109</v>
      </c>
      <c r="G185" s="3">
        <v>1.0</v>
      </c>
      <c r="H185" s="3">
        <v>711.0</v>
      </c>
      <c r="I185" s="3" t="s">
        <v>110</v>
      </c>
      <c r="J185" s="3">
        <v>0.0</v>
      </c>
      <c r="K185" s="3">
        <v>2.879</v>
      </c>
      <c r="L185" s="3">
        <v>39.0</v>
      </c>
      <c r="M185" s="3" t="s">
        <v>111</v>
      </c>
      <c r="N185" s="3">
        <v>540.0</v>
      </c>
      <c r="O185" s="3">
        <v>-17.8735</v>
      </c>
      <c r="P185" s="3">
        <v>-178.927</v>
      </c>
      <c r="Q185" s="3" t="s">
        <v>566</v>
      </c>
      <c r="R185" s="4"/>
      <c r="S185" s="3" t="s">
        <v>219</v>
      </c>
      <c r="T185" s="16">
        <f t="shared" si="1"/>
        <v>43422.85069</v>
      </c>
      <c r="U185" s="4" t="b">
        <f t="shared" si="2"/>
        <v>1</v>
      </c>
      <c r="V185" s="4" t="b">
        <f t="shared" si="3"/>
        <v>0</v>
      </c>
      <c r="W185" s="4" t="str">
        <f t="shared" si="8"/>
        <v>Distance/Location</v>
      </c>
      <c r="X185" s="4" t="str">
        <f t="shared" si="4"/>
        <v>mww</v>
      </c>
      <c r="Y185" s="4">
        <f t="shared" si="5"/>
        <v>1</v>
      </c>
      <c r="Z185" s="4" t="str">
        <f t="shared" si="6"/>
        <v>Unique</v>
      </c>
      <c r="AA185" s="4" t="str">
        <f t="shared" si="7"/>
        <v>Valid</v>
      </c>
    </row>
    <row r="186">
      <c r="A186" s="3" t="s">
        <v>567</v>
      </c>
      <c r="B186" s="3">
        <v>6.7</v>
      </c>
      <c r="C186" s="17">
        <v>43354.075694444444</v>
      </c>
      <c r="D186" s="3">
        <v>3.0</v>
      </c>
      <c r="E186" s="3">
        <v>4.0</v>
      </c>
      <c r="F186" s="3" t="s">
        <v>109</v>
      </c>
      <c r="G186" s="3">
        <v>1.0</v>
      </c>
      <c r="H186" s="3">
        <v>693.0</v>
      </c>
      <c r="I186" s="3" t="s">
        <v>110</v>
      </c>
      <c r="J186" s="3">
        <v>0.0</v>
      </c>
      <c r="K186" s="3">
        <v>7.853</v>
      </c>
      <c r="L186" s="3">
        <v>19.0</v>
      </c>
      <c r="M186" s="3" t="s">
        <v>111</v>
      </c>
      <c r="N186" s="3">
        <v>10.0</v>
      </c>
      <c r="O186" s="3">
        <v>71.6312</v>
      </c>
      <c r="P186" s="3">
        <v>-11.2431</v>
      </c>
      <c r="Q186" s="3" t="s">
        <v>568</v>
      </c>
      <c r="R186" s="4"/>
      <c r="S186" s="4"/>
      <c r="T186" s="16">
        <f t="shared" si="1"/>
        <v>43413.07569</v>
      </c>
      <c r="U186" s="4" t="b">
        <f t="shared" si="2"/>
        <v>1</v>
      </c>
      <c r="V186" s="4" t="b">
        <f t="shared" si="3"/>
        <v>1</v>
      </c>
      <c r="W186" s="4" t="str">
        <f t="shared" si="8"/>
        <v>Distance/Location</v>
      </c>
      <c r="X186" s="4" t="str">
        <f t="shared" si="4"/>
        <v>mww</v>
      </c>
      <c r="Y186" s="4">
        <f t="shared" si="5"/>
        <v>1</v>
      </c>
      <c r="Z186" s="4" t="str">
        <f t="shared" si="6"/>
        <v>Unique</v>
      </c>
      <c r="AA186" s="4" t="str">
        <f t="shared" si="7"/>
        <v>Valid</v>
      </c>
    </row>
    <row r="187">
      <c r="A187" s="3" t="s">
        <v>569</v>
      </c>
      <c r="B187" s="3">
        <v>6.8</v>
      </c>
      <c r="C187" s="3" t="s">
        <v>570</v>
      </c>
      <c r="D187" s="3">
        <v>8.0</v>
      </c>
      <c r="E187" s="3">
        <v>7.0</v>
      </c>
      <c r="F187" s="3" t="s">
        <v>116</v>
      </c>
      <c r="G187" s="3">
        <v>0.0</v>
      </c>
      <c r="H187" s="3">
        <v>954.0</v>
      </c>
      <c r="I187" s="3" t="s">
        <v>110</v>
      </c>
      <c r="J187" s="3">
        <v>0.0</v>
      </c>
      <c r="K187" s="3">
        <v>2.268</v>
      </c>
      <c r="L187" s="3">
        <v>15.0</v>
      </c>
      <c r="M187" s="3" t="s">
        <v>111</v>
      </c>
      <c r="N187" s="3">
        <v>14.0</v>
      </c>
      <c r="O187" s="3">
        <v>37.5203</v>
      </c>
      <c r="P187" s="3">
        <v>20.5565</v>
      </c>
      <c r="Q187" s="3" t="s">
        <v>571</v>
      </c>
      <c r="R187" s="3" t="s">
        <v>404</v>
      </c>
      <c r="S187" s="4"/>
      <c r="T187" s="16">
        <f t="shared" si="1"/>
        <v>43398.95417</v>
      </c>
      <c r="U187" s="4" t="b">
        <f t="shared" si="2"/>
        <v>1</v>
      </c>
      <c r="V187" s="4" t="b">
        <f t="shared" si="3"/>
        <v>0</v>
      </c>
      <c r="W187" s="4" t="str">
        <f t="shared" si="8"/>
        <v>Distance/Location</v>
      </c>
      <c r="X187" s="4" t="str">
        <f t="shared" si="4"/>
        <v>mww</v>
      </c>
      <c r="Y187" s="4">
        <f t="shared" si="5"/>
        <v>1</v>
      </c>
      <c r="Z187" s="4" t="str">
        <f t="shared" si="6"/>
        <v>Unique</v>
      </c>
      <c r="AA187" s="4" t="str">
        <f t="shared" si="7"/>
        <v>Valid</v>
      </c>
    </row>
    <row r="188">
      <c r="A188" s="3" t="s">
        <v>572</v>
      </c>
      <c r="B188" s="3">
        <v>6.5</v>
      </c>
      <c r="C188" s="3" t="s">
        <v>573</v>
      </c>
      <c r="D188" s="3">
        <v>2.0</v>
      </c>
      <c r="E188" s="3">
        <v>4.0</v>
      </c>
      <c r="F188" s="3" t="s">
        <v>109</v>
      </c>
      <c r="G188" s="3">
        <v>0.0</v>
      </c>
      <c r="H188" s="3">
        <v>655.0</v>
      </c>
      <c r="I188" s="3" t="s">
        <v>110</v>
      </c>
      <c r="J188" s="3">
        <v>0.0</v>
      </c>
      <c r="K188" s="3">
        <v>1.692</v>
      </c>
      <c r="L188" s="3">
        <v>68.0</v>
      </c>
      <c r="M188" s="3" t="s">
        <v>111</v>
      </c>
      <c r="N188" s="3">
        <v>10.0</v>
      </c>
      <c r="O188" s="3">
        <v>49.297</v>
      </c>
      <c r="P188" s="3">
        <v>-129.724</v>
      </c>
      <c r="Q188" s="3" t="s">
        <v>574</v>
      </c>
      <c r="R188" s="4"/>
      <c r="S188" s="4"/>
      <c r="T188" s="16">
        <f t="shared" si="1"/>
        <v>43395.26528</v>
      </c>
      <c r="U188" s="4" t="b">
        <f t="shared" si="2"/>
        <v>1</v>
      </c>
      <c r="V188" s="4" t="b">
        <f t="shared" si="3"/>
        <v>0</v>
      </c>
      <c r="W188" s="4" t="str">
        <f t="shared" si="8"/>
        <v>Distance/Location</v>
      </c>
      <c r="X188" s="4" t="str">
        <f t="shared" si="4"/>
        <v>mww</v>
      </c>
      <c r="Y188" s="4">
        <f t="shared" si="5"/>
        <v>1</v>
      </c>
      <c r="Z188" s="4" t="str">
        <f t="shared" si="6"/>
        <v>Unique</v>
      </c>
      <c r="AA188" s="4" t="str">
        <f t="shared" si="7"/>
        <v>Valid</v>
      </c>
    </row>
    <row r="189">
      <c r="A189" s="3" t="s">
        <v>575</v>
      </c>
      <c r="B189" s="3">
        <v>6.8</v>
      </c>
      <c r="C189" s="3" t="s">
        <v>576</v>
      </c>
      <c r="D189" s="3">
        <v>4.0</v>
      </c>
      <c r="E189" s="3">
        <v>4.0</v>
      </c>
      <c r="F189" s="3" t="s">
        <v>109</v>
      </c>
      <c r="G189" s="3">
        <v>1.0</v>
      </c>
      <c r="H189" s="3">
        <v>776.0</v>
      </c>
      <c r="I189" s="3" t="s">
        <v>110</v>
      </c>
      <c r="J189" s="3">
        <v>0.0</v>
      </c>
      <c r="K189" s="3">
        <v>1.505</v>
      </c>
      <c r="L189" s="3">
        <v>36.0</v>
      </c>
      <c r="M189" s="3" t="s">
        <v>111</v>
      </c>
      <c r="N189" s="3">
        <v>10.0</v>
      </c>
      <c r="O189" s="3">
        <v>49.3346</v>
      </c>
      <c r="P189" s="3">
        <v>-129.289</v>
      </c>
      <c r="Q189" s="3" t="s">
        <v>574</v>
      </c>
      <c r="R189" s="4"/>
      <c r="S189" s="4"/>
      <c r="T189" s="16">
        <f t="shared" si="1"/>
        <v>43395.26111</v>
      </c>
      <c r="U189" s="4" t="b">
        <f t="shared" si="2"/>
        <v>1</v>
      </c>
      <c r="V189" s="4" t="b">
        <f t="shared" si="3"/>
        <v>0</v>
      </c>
      <c r="W189" s="4" t="str">
        <f t="shared" si="8"/>
        <v>Distance/Location</v>
      </c>
      <c r="X189" s="4" t="str">
        <f t="shared" si="4"/>
        <v>mww</v>
      </c>
      <c r="Y189" s="4">
        <f t="shared" si="5"/>
        <v>1</v>
      </c>
      <c r="Z189" s="4" t="str">
        <f t="shared" si="6"/>
        <v>Unique</v>
      </c>
      <c r="AA189" s="4" t="str">
        <f t="shared" si="7"/>
        <v>Valid</v>
      </c>
    </row>
    <row r="190">
      <c r="A190" s="3" t="s">
        <v>577</v>
      </c>
      <c r="B190" s="3">
        <v>6.5</v>
      </c>
      <c r="C190" s="3" t="s">
        <v>578</v>
      </c>
      <c r="D190" s="3">
        <v>3.0</v>
      </c>
      <c r="E190" s="3">
        <v>4.0</v>
      </c>
      <c r="F190" s="3" t="s">
        <v>109</v>
      </c>
      <c r="G190" s="3">
        <v>1.0</v>
      </c>
      <c r="H190" s="3">
        <v>669.0</v>
      </c>
      <c r="I190" s="3" t="s">
        <v>110</v>
      </c>
      <c r="J190" s="3">
        <v>0.0</v>
      </c>
      <c r="K190" s="3">
        <v>1.611</v>
      </c>
      <c r="L190" s="3">
        <v>63.0</v>
      </c>
      <c r="M190" s="3" t="s">
        <v>111</v>
      </c>
      <c r="N190" s="3">
        <v>10.0</v>
      </c>
      <c r="O190" s="3">
        <v>49.2586</v>
      </c>
      <c r="P190" s="3">
        <v>-129.412</v>
      </c>
      <c r="Q190" s="3" t="s">
        <v>574</v>
      </c>
      <c r="R190" s="4"/>
      <c r="S190" s="4"/>
      <c r="T190" s="16">
        <f t="shared" si="1"/>
        <v>43395.23542</v>
      </c>
      <c r="U190" s="4" t="b">
        <f t="shared" si="2"/>
        <v>1</v>
      </c>
      <c r="V190" s="4" t="b">
        <f t="shared" si="3"/>
        <v>0</v>
      </c>
      <c r="W190" s="4" t="str">
        <f t="shared" si="8"/>
        <v>Distance/Location</v>
      </c>
      <c r="X190" s="4" t="str">
        <f t="shared" si="4"/>
        <v>mww</v>
      </c>
      <c r="Y190" s="4">
        <f t="shared" si="5"/>
        <v>1</v>
      </c>
      <c r="Z190" s="4" t="str">
        <f t="shared" si="6"/>
        <v>Unique</v>
      </c>
      <c r="AA190" s="4" t="str">
        <f t="shared" si="7"/>
        <v>Valid</v>
      </c>
    </row>
    <row r="191">
      <c r="A191" s="3" t="s">
        <v>579</v>
      </c>
      <c r="B191" s="3">
        <v>6.5</v>
      </c>
      <c r="C191" s="3" t="s">
        <v>580</v>
      </c>
      <c r="D191" s="3">
        <v>0.0</v>
      </c>
      <c r="E191" s="3">
        <v>4.0</v>
      </c>
      <c r="F191" s="3" t="s">
        <v>109</v>
      </c>
      <c r="G191" s="3">
        <v>1.0</v>
      </c>
      <c r="H191" s="3">
        <v>650.0</v>
      </c>
      <c r="I191" s="3" t="s">
        <v>110</v>
      </c>
      <c r="J191" s="3">
        <v>0.0</v>
      </c>
      <c r="K191" s="3">
        <v>2.109</v>
      </c>
      <c r="L191" s="3">
        <v>22.0</v>
      </c>
      <c r="M191" s="3" t="s">
        <v>111</v>
      </c>
      <c r="N191" s="3">
        <v>17.0</v>
      </c>
      <c r="O191" s="3">
        <v>-21.7427</v>
      </c>
      <c r="P191" s="3">
        <v>169.522</v>
      </c>
      <c r="Q191" s="3" t="s">
        <v>276</v>
      </c>
      <c r="R191" s="4"/>
      <c r="S191" s="4"/>
      <c r="T191" s="16">
        <f t="shared" si="1"/>
        <v>43389.04375</v>
      </c>
      <c r="U191" s="4" t="b">
        <f t="shared" si="2"/>
        <v>1</v>
      </c>
      <c r="V191" s="4" t="b">
        <f t="shared" si="3"/>
        <v>0</v>
      </c>
      <c r="W191" s="4" t="str">
        <f t="shared" si="8"/>
        <v>Distance/Location</v>
      </c>
      <c r="X191" s="4" t="str">
        <f t="shared" si="4"/>
        <v>mww</v>
      </c>
      <c r="Y191" s="4">
        <f t="shared" si="5"/>
        <v>1</v>
      </c>
      <c r="Z191" s="4" t="str">
        <f t="shared" si="6"/>
        <v>Unique</v>
      </c>
      <c r="AA191" s="4" t="str">
        <f t="shared" si="7"/>
        <v>Valid</v>
      </c>
    </row>
    <row r="192">
      <c r="A192" s="3" t="s">
        <v>581</v>
      </c>
      <c r="B192" s="3">
        <v>6.7</v>
      </c>
      <c r="C192" s="3" t="s">
        <v>582</v>
      </c>
      <c r="D192" s="3">
        <v>0.0</v>
      </c>
      <c r="E192" s="3">
        <v>3.0</v>
      </c>
      <c r="F192" s="3" t="s">
        <v>109</v>
      </c>
      <c r="G192" s="3">
        <v>1.0</v>
      </c>
      <c r="H192" s="3">
        <v>691.0</v>
      </c>
      <c r="I192" s="3" t="s">
        <v>110</v>
      </c>
      <c r="J192" s="3">
        <v>0.0</v>
      </c>
      <c r="K192" s="3">
        <v>2.705</v>
      </c>
      <c r="L192" s="3">
        <v>17.0</v>
      </c>
      <c r="M192" s="3" t="s">
        <v>111</v>
      </c>
      <c r="N192" s="3">
        <v>461.0</v>
      </c>
      <c r="O192" s="3">
        <v>52.8549</v>
      </c>
      <c r="P192" s="3">
        <v>153.243</v>
      </c>
      <c r="Q192" s="3" t="s">
        <v>583</v>
      </c>
      <c r="R192" s="4"/>
      <c r="S192" s="4"/>
      <c r="T192" s="16">
        <f t="shared" si="1"/>
        <v>43386.46528</v>
      </c>
      <c r="U192" s="4" t="b">
        <f t="shared" si="2"/>
        <v>1</v>
      </c>
      <c r="V192" s="4" t="b">
        <f t="shared" si="3"/>
        <v>0</v>
      </c>
      <c r="W192" s="4" t="str">
        <f t="shared" si="8"/>
        <v>Distance/Location</v>
      </c>
      <c r="X192" s="4" t="str">
        <f t="shared" si="4"/>
        <v>mww</v>
      </c>
      <c r="Y192" s="4">
        <f t="shared" si="5"/>
        <v>1</v>
      </c>
      <c r="Z192" s="4" t="str">
        <f t="shared" si="6"/>
        <v>Unique</v>
      </c>
      <c r="AA192" s="4" t="str">
        <f t="shared" si="7"/>
        <v>Valid</v>
      </c>
    </row>
    <row r="193">
      <c r="A193" s="3" t="s">
        <v>584</v>
      </c>
      <c r="B193" s="3">
        <v>6.5</v>
      </c>
      <c r="C193" s="18">
        <v>43383.96944444445</v>
      </c>
      <c r="D193" s="3">
        <v>0.0</v>
      </c>
      <c r="E193" s="3">
        <v>4.0</v>
      </c>
      <c r="F193" s="3" t="s">
        <v>109</v>
      </c>
      <c r="G193" s="3">
        <v>1.0</v>
      </c>
      <c r="H193" s="3">
        <v>650.0</v>
      </c>
      <c r="I193" s="3" t="s">
        <v>110</v>
      </c>
      <c r="J193" s="3">
        <v>0.0</v>
      </c>
      <c r="K193" s="3">
        <v>3.923</v>
      </c>
      <c r="L193" s="3">
        <v>14.0</v>
      </c>
      <c r="M193" s="3" t="s">
        <v>111</v>
      </c>
      <c r="N193" s="3">
        <v>20.0</v>
      </c>
      <c r="O193" s="3">
        <v>49.2902</v>
      </c>
      <c r="P193" s="3">
        <v>156.297</v>
      </c>
      <c r="Q193" s="3" t="s">
        <v>460</v>
      </c>
      <c r="R193" s="4"/>
      <c r="S193" s="4"/>
      <c r="T193" s="16">
        <f t="shared" si="1"/>
        <v>43383.96944</v>
      </c>
      <c r="U193" s="4" t="b">
        <f t="shared" si="2"/>
        <v>1</v>
      </c>
      <c r="V193" s="4" t="b">
        <f t="shared" si="3"/>
        <v>1</v>
      </c>
      <c r="W193" s="4" t="str">
        <f t="shared" si="8"/>
        <v>Distance/Location</v>
      </c>
      <c r="X193" s="4" t="str">
        <f t="shared" si="4"/>
        <v>mww</v>
      </c>
      <c r="Y193" s="4">
        <f t="shared" si="5"/>
        <v>1</v>
      </c>
      <c r="Z193" s="4" t="str">
        <f t="shared" si="6"/>
        <v>Unique</v>
      </c>
      <c r="AA193" s="4" t="str">
        <f t="shared" si="7"/>
        <v>Valid</v>
      </c>
    </row>
    <row r="194">
      <c r="A194" s="3" t="s">
        <v>585</v>
      </c>
      <c r="B194" s="3">
        <v>7.0</v>
      </c>
      <c r="C194" s="18">
        <v>43383.86666666667</v>
      </c>
      <c r="D194" s="3">
        <v>6.0</v>
      </c>
      <c r="E194" s="3">
        <v>6.0</v>
      </c>
      <c r="F194" s="3" t="s">
        <v>109</v>
      </c>
      <c r="G194" s="3">
        <v>1.0</v>
      </c>
      <c r="H194" s="3">
        <v>758.0</v>
      </c>
      <c r="I194" s="3" t="s">
        <v>110</v>
      </c>
      <c r="J194" s="3">
        <v>0.0</v>
      </c>
      <c r="K194" s="3">
        <v>1.778</v>
      </c>
      <c r="L194" s="3">
        <v>18.0</v>
      </c>
      <c r="M194" s="3" t="s">
        <v>111</v>
      </c>
      <c r="N194" s="3">
        <v>39.0</v>
      </c>
      <c r="O194" s="3">
        <v>-5.7012</v>
      </c>
      <c r="P194" s="3">
        <v>151.205</v>
      </c>
      <c r="Q194" s="3" t="s">
        <v>187</v>
      </c>
      <c r="R194" s="4"/>
      <c r="S194" s="3" t="s">
        <v>168</v>
      </c>
      <c r="T194" s="16">
        <f t="shared" si="1"/>
        <v>43383.86667</v>
      </c>
      <c r="U194" s="4" t="b">
        <f t="shared" si="2"/>
        <v>1</v>
      </c>
      <c r="V194" s="4" t="b">
        <f t="shared" si="3"/>
        <v>1</v>
      </c>
      <c r="W194" s="4" t="str">
        <f t="shared" si="8"/>
        <v>Distance/Location</v>
      </c>
      <c r="X194" s="4" t="str">
        <f t="shared" si="4"/>
        <v>mww</v>
      </c>
      <c r="Y194" s="4">
        <f t="shared" si="5"/>
        <v>1</v>
      </c>
      <c r="Z194" s="4" t="str">
        <f t="shared" si="6"/>
        <v>Unique</v>
      </c>
      <c r="AA194" s="4" t="str">
        <f t="shared" si="7"/>
        <v>Valid</v>
      </c>
    </row>
    <row r="195">
      <c r="A195" s="3" t="s">
        <v>586</v>
      </c>
      <c r="B195" s="3">
        <v>6.7</v>
      </c>
      <c r="C195" s="3" t="s">
        <v>587</v>
      </c>
      <c r="D195" s="3">
        <v>2.0</v>
      </c>
      <c r="E195" s="3">
        <v>3.0</v>
      </c>
      <c r="F195" s="3" t="s">
        <v>109</v>
      </c>
      <c r="G195" s="3">
        <v>1.0</v>
      </c>
      <c r="H195" s="3">
        <v>691.0</v>
      </c>
      <c r="I195" s="3" t="s">
        <v>110</v>
      </c>
      <c r="J195" s="3">
        <v>0.0</v>
      </c>
      <c r="K195" s="3">
        <v>3.745</v>
      </c>
      <c r="L195" s="3">
        <v>23.0</v>
      </c>
      <c r="M195" s="3" t="s">
        <v>111</v>
      </c>
      <c r="N195" s="3">
        <v>550.0</v>
      </c>
      <c r="O195" s="3">
        <v>-18.3604</v>
      </c>
      <c r="P195" s="3">
        <v>-178.063</v>
      </c>
      <c r="Q195" s="3" t="s">
        <v>566</v>
      </c>
      <c r="R195" s="4"/>
      <c r="S195" s="3" t="s">
        <v>219</v>
      </c>
      <c r="T195" s="16">
        <f t="shared" si="1"/>
        <v>43373.45278</v>
      </c>
      <c r="U195" s="4" t="b">
        <f t="shared" si="2"/>
        <v>1</v>
      </c>
      <c r="V195" s="4" t="b">
        <f t="shared" si="3"/>
        <v>0</v>
      </c>
      <c r="W195" s="4" t="str">
        <f t="shared" si="8"/>
        <v>Distance/Location</v>
      </c>
      <c r="X195" s="4" t="str">
        <f t="shared" si="4"/>
        <v>mww</v>
      </c>
      <c r="Y195" s="4">
        <f t="shared" si="5"/>
        <v>1</v>
      </c>
      <c r="Z195" s="4" t="str">
        <f t="shared" si="6"/>
        <v>Unique</v>
      </c>
      <c r="AA195" s="4" t="str">
        <f t="shared" si="7"/>
        <v>Valid</v>
      </c>
    </row>
    <row r="196">
      <c r="A196" s="3" t="s">
        <v>588</v>
      </c>
      <c r="B196" s="3">
        <v>7.5</v>
      </c>
      <c r="C196" s="3" t="s">
        <v>589</v>
      </c>
      <c r="D196" s="3">
        <v>8.0</v>
      </c>
      <c r="E196" s="3">
        <v>8.0</v>
      </c>
      <c r="F196" s="3" t="s">
        <v>198</v>
      </c>
      <c r="G196" s="3">
        <v>0.0</v>
      </c>
      <c r="H196" s="3">
        <v>2026.0</v>
      </c>
      <c r="I196" s="3" t="s">
        <v>110</v>
      </c>
      <c r="J196" s="3">
        <v>0.0</v>
      </c>
      <c r="K196" s="3">
        <v>1.649</v>
      </c>
      <c r="L196" s="3">
        <v>13.0</v>
      </c>
      <c r="M196" s="3" t="s">
        <v>111</v>
      </c>
      <c r="N196" s="3">
        <v>20.0</v>
      </c>
      <c r="O196" s="3">
        <v>-0.2559</v>
      </c>
      <c r="P196" s="3">
        <v>119.846</v>
      </c>
      <c r="Q196" s="3" t="s">
        <v>590</v>
      </c>
      <c r="R196" s="4"/>
      <c r="S196" s="3" t="s">
        <v>153</v>
      </c>
      <c r="T196" s="16">
        <f t="shared" si="1"/>
        <v>43371.41806</v>
      </c>
      <c r="U196" s="4" t="b">
        <f t="shared" si="2"/>
        <v>1</v>
      </c>
      <c r="V196" s="4" t="b">
        <f t="shared" si="3"/>
        <v>0</v>
      </c>
      <c r="W196" s="4" t="str">
        <f t="shared" si="8"/>
        <v>Distance/Location</v>
      </c>
      <c r="X196" s="4" t="str">
        <f t="shared" si="4"/>
        <v>mww</v>
      </c>
      <c r="Y196" s="4">
        <f t="shared" si="5"/>
        <v>1</v>
      </c>
      <c r="Z196" s="4" t="str">
        <f t="shared" si="6"/>
        <v>Unique</v>
      </c>
      <c r="AA196" s="4" t="str">
        <f t="shared" si="7"/>
        <v>Valid</v>
      </c>
    </row>
    <row r="197">
      <c r="A197" s="3" t="s">
        <v>591</v>
      </c>
      <c r="B197" s="3">
        <v>6.5</v>
      </c>
      <c r="C197" s="3" t="s">
        <v>592</v>
      </c>
      <c r="D197" s="3">
        <v>4.0</v>
      </c>
      <c r="E197" s="3">
        <v>1.0</v>
      </c>
      <c r="F197" s="3" t="s">
        <v>109</v>
      </c>
      <c r="G197" s="3">
        <v>0.0</v>
      </c>
      <c r="H197" s="3">
        <v>651.0</v>
      </c>
      <c r="I197" s="3" t="s">
        <v>110</v>
      </c>
      <c r="J197" s="3">
        <v>0.0</v>
      </c>
      <c r="K197" s="3">
        <v>5.139</v>
      </c>
      <c r="L197" s="3">
        <v>18.0</v>
      </c>
      <c r="M197" s="3" t="s">
        <v>111</v>
      </c>
      <c r="N197" s="3">
        <v>576.0</v>
      </c>
      <c r="O197" s="3">
        <v>-25.415</v>
      </c>
      <c r="P197" s="3">
        <v>178.199</v>
      </c>
      <c r="Q197" s="3" t="s">
        <v>136</v>
      </c>
      <c r="R197" s="4"/>
      <c r="S197" s="4"/>
      <c r="T197" s="16">
        <f t="shared" si="1"/>
        <v>43359.88264</v>
      </c>
      <c r="U197" s="4" t="b">
        <f t="shared" si="2"/>
        <v>1</v>
      </c>
      <c r="V197" s="4" t="b">
        <f t="shared" si="3"/>
        <v>0</v>
      </c>
      <c r="W197" s="4" t="str">
        <f t="shared" si="8"/>
        <v>Named Region</v>
      </c>
      <c r="X197" s="4" t="str">
        <f t="shared" si="4"/>
        <v>mww</v>
      </c>
      <c r="Y197" s="4">
        <f t="shared" si="5"/>
        <v>1</v>
      </c>
      <c r="Z197" s="4" t="str">
        <f t="shared" si="6"/>
        <v>Unique</v>
      </c>
      <c r="AA197" s="4" t="str">
        <f t="shared" si="7"/>
        <v>Valid</v>
      </c>
    </row>
    <row r="198">
      <c r="A198" s="3" t="s">
        <v>593</v>
      </c>
      <c r="B198" s="3">
        <v>6.9</v>
      </c>
      <c r="C198" s="17">
        <v>43382.17986111111</v>
      </c>
      <c r="D198" s="3">
        <v>3.0</v>
      </c>
      <c r="E198" s="3">
        <v>4.0</v>
      </c>
      <c r="F198" s="3" t="s">
        <v>109</v>
      </c>
      <c r="G198" s="3">
        <v>0.0</v>
      </c>
      <c r="H198" s="3">
        <v>735.0</v>
      </c>
      <c r="I198" s="3" t="s">
        <v>110</v>
      </c>
      <c r="J198" s="3">
        <v>0.0</v>
      </c>
      <c r="K198" s="3">
        <v>2.785</v>
      </c>
      <c r="L198" s="3">
        <v>18.0</v>
      </c>
      <c r="M198" s="3" t="s">
        <v>111</v>
      </c>
      <c r="N198" s="3">
        <v>115.0</v>
      </c>
      <c r="O198" s="3">
        <v>-31.7447</v>
      </c>
      <c r="P198" s="3">
        <v>-179.373</v>
      </c>
      <c r="Q198" s="3" t="s">
        <v>182</v>
      </c>
      <c r="R198" s="4"/>
      <c r="S198" s="4"/>
      <c r="T198" s="16">
        <f t="shared" si="1"/>
        <v>43353.17986</v>
      </c>
      <c r="U198" s="4" t="b">
        <f t="shared" si="2"/>
        <v>1</v>
      </c>
      <c r="V198" s="4" t="b">
        <f t="shared" si="3"/>
        <v>1</v>
      </c>
      <c r="W198" s="4" t="str">
        <f t="shared" si="8"/>
        <v>Named Region</v>
      </c>
      <c r="X198" s="4" t="str">
        <f t="shared" si="4"/>
        <v>mww</v>
      </c>
      <c r="Y198" s="4">
        <f t="shared" si="5"/>
        <v>1</v>
      </c>
      <c r="Z198" s="4" t="str">
        <f t="shared" si="6"/>
        <v>Unique</v>
      </c>
      <c r="AA198" s="4" t="str">
        <f t="shared" si="7"/>
        <v>Valid</v>
      </c>
    </row>
    <row r="199">
      <c r="A199" s="3" t="s">
        <v>594</v>
      </c>
      <c r="B199" s="3">
        <v>6.5</v>
      </c>
      <c r="C199" s="17">
        <v>43352.81319444445</v>
      </c>
      <c r="D199" s="3">
        <v>3.0</v>
      </c>
      <c r="E199" s="3">
        <v>6.0</v>
      </c>
      <c r="F199" s="3" t="s">
        <v>109</v>
      </c>
      <c r="G199" s="3">
        <v>1.0</v>
      </c>
      <c r="H199" s="3">
        <v>651.0</v>
      </c>
      <c r="I199" s="3" t="s">
        <v>110</v>
      </c>
      <c r="J199" s="3">
        <v>0.0</v>
      </c>
      <c r="K199" s="3">
        <v>1.638</v>
      </c>
      <c r="L199" s="3">
        <v>25.0</v>
      </c>
      <c r="M199" s="3" t="s">
        <v>111</v>
      </c>
      <c r="N199" s="3">
        <v>68.0</v>
      </c>
      <c r="O199" s="3">
        <v>-10.0207</v>
      </c>
      <c r="P199" s="3">
        <v>161.503</v>
      </c>
      <c r="Q199" s="3" t="s">
        <v>595</v>
      </c>
      <c r="R199" s="4"/>
      <c r="S199" s="3" t="s">
        <v>214</v>
      </c>
      <c r="T199" s="16">
        <f t="shared" si="1"/>
        <v>43352.81319</v>
      </c>
      <c r="U199" s="4" t="b">
        <f t="shared" si="2"/>
        <v>1</v>
      </c>
      <c r="V199" s="4" t="b">
        <f t="shared" si="3"/>
        <v>1</v>
      </c>
      <c r="W199" s="4" t="str">
        <f t="shared" si="8"/>
        <v>Distance/Location</v>
      </c>
      <c r="X199" s="4" t="str">
        <f t="shared" si="4"/>
        <v>mww</v>
      </c>
      <c r="Y199" s="4">
        <f t="shared" si="5"/>
        <v>1</v>
      </c>
      <c r="Z199" s="4" t="str">
        <f t="shared" si="6"/>
        <v>Unique</v>
      </c>
      <c r="AA199" s="4" t="str">
        <f t="shared" si="7"/>
        <v>Valid</v>
      </c>
    </row>
    <row r="200">
      <c r="A200" s="3" t="s">
        <v>596</v>
      </c>
      <c r="B200" s="3">
        <v>7.9</v>
      </c>
      <c r="C200" s="17">
        <v>43260.65902777778</v>
      </c>
      <c r="D200" s="3">
        <v>7.0</v>
      </c>
      <c r="E200" s="3">
        <v>4.0</v>
      </c>
      <c r="F200" s="3" t="s">
        <v>109</v>
      </c>
      <c r="G200" s="3">
        <v>1.0</v>
      </c>
      <c r="H200" s="3">
        <v>979.0</v>
      </c>
      <c r="I200" s="3" t="s">
        <v>110</v>
      </c>
      <c r="J200" s="3">
        <v>0.0</v>
      </c>
      <c r="K200" s="3">
        <v>1.431</v>
      </c>
      <c r="L200" s="3">
        <v>12.0</v>
      </c>
      <c r="M200" s="3" t="s">
        <v>111</v>
      </c>
      <c r="N200" s="3">
        <v>670.81</v>
      </c>
      <c r="O200" s="3">
        <v>-18.4743</v>
      </c>
      <c r="P200" s="3">
        <v>179.35</v>
      </c>
      <c r="Q200" s="3" t="s">
        <v>566</v>
      </c>
      <c r="R200" s="4"/>
      <c r="S200" s="3" t="s">
        <v>219</v>
      </c>
      <c r="T200" s="16">
        <f t="shared" si="1"/>
        <v>43349.65903</v>
      </c>
      <c r="U200" s="4" t="b">
        <f t="shared" si="2"/>
        <v>1</v>
      </c>
      <c r="V200" s="4" t="b">
        <f t="shared" si="3"/>
        <v>1</v>
      </c>
      <c r="W200" s="4" t="str">
        <f t="shared" si="8"/>
        <v>Distance/Location</v>
      </c>
      <c r="X200" s="4" t="str">
        <f t="shared" si="4"/>
        <v>mww</v>
      </c>
      <c r="Y200" s="4">
        <f t="shared" si="5"/>
        <v>1</v>
      </c>
      <c r="Z200" s="4" t="str">
        <f t="shared" si="6"/>
        <v>Unique</v>
      </c>
      <c r="AA200" s="4" t="str">
        <f t="shared" si="7"/>
        <v>Valid</v>
      </c>
    </row>
    <row r="201">
      <c r="A201" s="3" t="s">
        <v>597</v>
      </c>
      <c r="B201" s="3">
        <v>6.6</v>
      </c>
      <c r="C201" s="17">
        <v>43229.75486111111</v>
      </c>
      <c r="D201" s="3">
        <v>8.0</v>
      </c>
      <c r="E201" s="3">
        <v>9.0</v>
      </c>
      <c r="F201" s="3" t="s">
        <v>178</v>
      </c>
      <c r="G201" s="3">
        <v>1.0</v>
      </c>
      <c r="H201" s="3">
        <v>1075.0</v>
      </c>
      <c r="I201" s="3" t="s">
        <v>110</v>
      </c>
      <c r="J201" s="3">
        <v>0.0</v>
      </c>
      <c r="K201" s="3">
        <v>1.13</v>
      </c>
      <c r="L201" s="3">
        <v>32.0</v>
      </c>
      <c r="M201" s="3" t="s">
        <v>111</v>
      </c>
      <c r="N201" s="3">
        <v>35.0</v>
      </c>
      <c r="O201" s="3">
        <v>42.6861</v>
      </c>
      <c r="P201" s="3">
        <v>141.929</v>
      </c>
      <c r="Q201" s="3" t="s">
        <v>598</v>
      </c>
      <c r="R201" s="3" t="s">
        <v>164</v>
      </c>
      <c r="S201" s="3" t="s">
        <v>371</v>
      </c>
      <c r="T201" s="16">
        <f t="shared" si="1"/>
        <v>43348.75486</v>
      </c>
      <c r="U201" s="4" t="b">
        <f t="shared" si="2"/>
        <v>1</v>
      </c>
      <c r="V201" s="4" t="b">
        <f t="shared" si="3"/>
        <v>1</v>
      </c>
      <c r="W201" s="4" t="str">
        <f t="shared" si="8"/>
        <v>Distance/Location</v>
      </c>
      <c r="X201" s="4" t="str">
        <f t="shared" si="4"/>
        <v>mww</v>
      </c>
      <c r="Y201" s="4">
        <f t="shared" si="5"/>
        <v>1</v>
      </c>
      <c r="Z201" s="4" t="str">
        <f t="shared" si="6"/>
        <v>Unique</v>
      </c>
      <c r="AA201" s="4" t="str">
        <f t="shared" si="7"/>
        <v>Valid</v>
      </c>
    </row>
    <row r="202">
      <c r="A202" s="3" t="s">
        <v>599</v>
      </c>
      <c r="B202" s="3">
        <v>7.1</v>
      </c>
      <c r="C202" s="3" t="s">
        <v>600</v>
      </c>
      <c r="D202" s="3">
        <v>2.0</v>
      </c>
      <c r="E202" s="3">
        <v>5.0</v>
      </c>
      <c r="F202" s="3" t="s">
        <v>109</v>
      </c>
      <c r="G202" s="3">
        <v>1.0</v>
      </c>
      <c r="H202" s="3">
        <v>776.0</v>
      </c>
      <c r="I202" s="3" t="s">
        <v>110</v>
      </c>
      <c r="J202" s="3">
        <v>0.0</v>
      </c>
      <c r="K202" s="3">
        <v>2.548</v>
      </c>
      <c r="L202" s="3">
        <v>23.0</v>
      </c>
      <c r="M202" s="3" t="s">
        <v>111</v>
      </c>
      <c r="N202" s="3">
        <v>21.43</v>
      </c>
      <c r="O202" s="3">
        <v>-22.0295</v>
      </c>
      <c r="P202" s="3">
        <v>170.126</v>
      </c>
      <c r="Q202" s="3" t="s">
        <v>276</v>
      </c>
      <c r="R202" s="4"/>
      <c r="S202" s="4"/>
      <c r="T202" s="16">
        <f t="shared" si="1"/>
        <v>43341.16042</v>
      </c>
      <c r="U202" s="4" t="b">
        <f t="shared" si="2"/>
        <v>1</v>
      </c>
      <c r="V202" s="4" t="b">
        <f t="shared" si="3"/>
        <v>0</v>
      </c>
      <c r="W202" s="4" t="str">
        <f t="shared" si="8"/>
        <v>Distance/Location</v>
      </c>
      <c r="X202" s="4" t="str">
        <f t="shared" si="4"/>
        <v>mww</v>
      </c>
      <c r="Y202" s="4">
        <f t="shared" si="5"/>
        <v>1</v>
      </c>
      <c r="Z202" s="4" t="str">
        <f t="shared" si="6"/>
        <v>Unique</v>
      </c>
      <c r="AA202" s="4" t="str">
        <f t="shared" si="7"/>
        <v>Valid</v>
      </c>
    </row>
    <row r="203">
      <c r="A203" s="3" t="s">
        <v>601</v>
      </c>
      <c r="B203" s="3">
        <v>7.1</v>
      </c>
      <c r="C203" s="3" t="s">
        <v>602</v>
      </c>
      <c r="D203" s="3">
        <v>0.0</v>
      </c>
      <c r="E203" s="3">
        <v>3.0</v>
      </c>
      <c r="F203" s="3" t="s">
        <v>109</v>
      </c>
      <c r="G203" s="3">
        <v>0.0</v>
      </c>
      <c r="H203" s="3">
        <v>776.0</v>
      </c>
      <c r="I203" s="3" t="s">
        <v>110</v>
      </c>
      <c r="J203" s="3">
        <v>0.0</v>
      </c>
      <c r="K203" s="3">
        <v>3.77</v>
      </c>
      <c r="L203" s="3">
        <v>12.0</v>
      </c>
      <c r="M203" s="3" t="s">
        <v>111</v>
      </c>
      <c r="N203" s="3">
        <v>630.0</v>
      </c>
      <c r="O203" s="3">
        <v>-11.0355</v>
      </c>
      <c r="P203" s="3">
        <v>-70.8284</v>
      </c>
      <c r="Q203" s="3" t="s">
        <v>603</v>
      </c>
      <c r="R203" s="3" t="s">
        <v>121</v>
      </c>
      <c r="S203" s="3" t="s">
        <v>265</v>
      </c>
      <c r="T203" s="16">
        <f t="shared" si="1"/>
        <v>43336.37778</v>
      </c>
      <c r="U203" s="4" t="b">
        <f t="shared" si="2"/>
        <v>1</v>
      </c>
      <c r="V203" s="4" t="b">
        <f t="shared" si="3"/>
        <v>0</v>
      </c>
      <c r="W203" s="4" t="str">
        <f t="shared" si="8"/>
        <v>Distance/Location</v>
      </c>
      <c r="X203" s="4" t="str">
        <f t="shared" si="4"/>
        <v>mww</v>
      </c>
      <c r="Y203" s="4">
        <f t="shared" si="5"/>
        <v>1</v>
      </c>
      <c r="Z203" s="4" t="str">
        <f t="shared" si="6"/>
        <v>Unique</v>
      </c>
      <c r="AA203" s="4" t="str">
        <f t="shared" si="7"/>
        <v>Valid</v>
      </c>
    </row>
    <row r="204">
      <c r="A204" s="3" t="s">
        <v>604</v>
      </c>
      <c r="B204" s="3">
        <v>6.5</v>
      </c>
      <c r="C204" s="3" t="s">
        <v>605</v>
      </c>
      <c r="D204" s="3">
        <v>6.0</v>
      </c>
      <c r="E204" s="3">
        <v>7.0</v>
      </c>
      <c r="F204" s="3" t="s">
        <v>109</v>
      </c>
      <c r="G204" s="3">
        <v>1.0</v>
      </c>
      <c r="H204" s="3">
        <v>652.0</v>
      </c>
      <c r="I204" s="3" t="s">
        <v>110</v>
      </c>
      <c r="J204" s="3">
        <v>0.0</v>
      </c>
      <c r="K204" s="3">
        <v>4.797</v>
      </c>
      <c r="L204" s="3">
        <v>10.0</v>
      </c>
      <c r="M204" s="3" t="s">
        <v>111</v>
      </c>
      <c r="N204" s="3">
        <v>9.0</v>
      </c>
      <c r="O204" s="3">
        <v>-16.0315</v>
      </c>
      <c r="P204" s="3">
        <v>168.143</v>
      </c>
      <c r="Q204" s="3" t="s">
        <v>503</v>
      </c>
      <c r="R204" s="4"/>
      <c r="S204" s="3" t="s">
        <v>113</v>
      </c>
      <c r="T204" s="16">
        <f t="shared" si="1"/>
        <v>43333.93889</v>
      </c>
      <c r="U204" s="4" t="b">
        <f t="shared" si="2"/>
        <v>1</v>
      </c>
      <c r="V204" s="4" t="b">
        <f t="shared" si="3"/>
        <v>0</v>
      </c>
      <c r="W204" s="4" t="str">
        <f t="shared" si="8"/>
        <v>Distance/Location</v>
      </c>
      <c r="X204" s="4" t="str">
        <f t="shared" si="4"/>
        <v>mww</v>
      </c>
      <c r="Y204" s="4">
        <f t="shared" si="5"/>
        <v>1</v>
      </c>
      <c r="Z204" s="4" t="str">
        <f t="shared" si="6"/>
        <v>Unique</v>
      </c>
      <c r="AA204" s="4" t="str">
        <f t="shared" si="7"/>
        <v>Valid</v>
      </c>
    </row>
    <row r="205">
      <c r="A205" s="3" t="s">
        <v>606</v>
      </c>
      <c r="B205" s="3">
        <v>7.3</v>
      </c>
      <c r="C205" s="3" t="s">
        <v>607</v>
      </c>
      <c r="D205" s="3">
        <v>8.0</v>
      </c>
      <c r="E205" s="3">
        <v>6.0</v>
      </c>
      <c r="F205" s="3" t="s">
        <v>116</v>
      </c>
      <c r="G205" s="3">
        <v>1.0</v>
      </c>
      <c r="H205" s="3">
        <v>1570.0</v>
      </c>
      <c r="I205" s="3" t="s">
        <v>110</v>
      </c>
      <c r="J205" s="3">
        <v>0.0</v>
      </c>
      <c r="K205" s="3">
        <v>1.822</v>
      </c>
      <c r="L205" s="3">
        <v>15.0</v>
      </c>
      <c r="M205" s="3" t="s">
        <v>111</v>
      </c>
      <c r="N205" s="3">
        <v>146.82</v>
      </c>
      <c r="O205" s="3">
        <v>10.7731</v>
      </c>
      <c r="P205" s="3">
        <v>-62.9019</v>
      </c>
      <c r="Q205" s="3" t="s">
        <v>608</v>
      </c>
      <c r="R205" s="4"/>
      <c r="S205" s="3" t="s">
        <v>609</v>
      </c>
      <c r="T205" s="16">
        <f t="shared" si="1"/>
        <v>43333.89653</v>
      </c>
      <c r="U205" s="4" t="b">
        <f t="shared" si="2"/>
        <v>1</v>
      </c>
      <c r="V205" s="4" t="b">
        <f t="shared" si="3"/>
        <v>0</v>
      </c>
      <c r="W205" s="4" t="str">
        <f t="shared" si="8"/>
        <v>Distance/Location</v>
      </c>
      <c r="X205" s="4" t="str">
        <f t="shared" si="4"/>
        <v>mww</v>
      </c>
      <c r="Y205" s="4">
        <f t="shared" si="5"/>
        <v>1</v>
      </c>
      <c r="Z205" s="4" t="str">
        <f t="shared" si="6"/>
        <v>Unique</v>
      </c>
      <c r="AA205" s="4" t="str">
        <f t="shared" si="7"/>
        <v>Valid</v>
      </c>
    </row>
    <row r="206">
      <c r="A206" s="3" t="s">
        <v>610</v>
      </c>
      <c r="B206" s="3">
        <v>6.9</v>
      </c>
      <c r="C206" s="3" t="s">
        <v>611</v>
      </c>
      <c r="D206" s="3">
        <v>7.0</v>
      </c>
      <c r="E206" s="3">
        <v>7.0</v>
      </c>
      <c r="F206" s="3" t="s">
        <v>109</v>
      </c>
      <c r="G206" s="3">
        <v>0.0</v>
      </c>
      <c r="H206" s="3">
        <v>1206.0</v>
      </c>
      <c r="I206" s="3" t="s">
        <v>110</v>
      </c>
      <c r="J206" s="3">
        <v>0.0</v>
      </c>
      <c r="K206" s="3">
        <v>2.453</v>
      </c>
      <c r="L206" s="3">
        <v>31.0</v>
      </c>
      <c r="M206" s="3" t="s">
        <v>111</v>
      </c>
      <c r="N206" s="3">
        <v>21.0</v>
      </c>
      <c r="O206" s="3">
        <v>-8.319</v>
      </c>
      <c r="P206" s="3">
        <v>116.627</v>
      </c>
      <c r="Q206" s="3" t="s">
        <v>612</v>
      </c>
      <c r="R206" s="4"/>
      <c r="S206" s="3" t="s">
        <v>153</v>
      </c>
      <c r="T206" s="16">
        <f t="shared" si="1"/>
        <v>43331.62222</v>
      </c>
      <c r="U206" s="4" t="b">
        <f t="shared" si="2"/>
        <v>1</v>
      </c>
      <c r="V206" s="4" t="b">
        <f t="shared" si="3"/>
        <v>0</v>
      </c>
      <c r="W206" s="4" t="str">
        <f t="shared" si="8"/>
        <v>Distance/Location</v>
      </c>
      <c r="X206" s="4" t="str">
        <f t="shared" si="4"/>
        <v>mww</v>
      </c>
      <c r="Y206" s="4">
        <f t="shared" si="5"/>
        <v>1</v>
      </c>
      <c r="Z206" s="4" t="str">
        <f t="shared" si="6"/>
        <v>Unique</v>
      </c>
      <c r="AA206" s="4" t="str">
        <f t="shared" si="7"/>
        <v>Valid</v>
      </c>
    </row>
    <row r="207">
      <c r="A207" s="3" t="s">
        <v>613</v>
      </c>
      <c r="B207" s="3">
        <v>8.2</v>
      </c>
      <c r="C207" s="3" t="s">
        <v>614</v>
      </c>
      <c r="D207" s="3">
        <v>5.0</v>
      </c>
      <c r="E207" s="3">
        <v>4.0</v>
      </c>
      <c r="F207" s="3" t="s">
        <v>109</v>
      </c>
      <c r="G207" s="3">
        <v>1.0</v>
      </c>
      <c r="H207" s="3">
        <v>1050.0</v>
      </c>
      <c r="I207" s="3" t="s">
        <v>110</v>
      </c>
      <c r="J207" s="3">
        <v>0.0</v>
      </c>
      <c r="K207" s="3">
        <v>3.63</v>
      </c>
      <c r="L207" s="3">
        <v>13.0</v>
      </c>
      <c r="M207" s="3" t="s">
        <v>111</v>
      </c>
      <c r="N207" s="3">
        <v>600.0</v>
      </c>
      <c r="O207" s="3">
        <v>-18.1125</v>
      </c>
      <c r="P207" s="3">
        <v>-178.153</v>
      </c>
      <c r="Q207" s="3" t="s">
        <v>566</v>
      </c>
      <c r="R207" s="4"/>
      <c r="S207" s="3" t="s">
        <v>219</v>
      </c>
      <c r="T207" s="16">
        <f t="shared" si="1"/>
        <v>43331.01319</v>
      </c>
      <c r="U207" s="4" t="b">
        <f t="shared" si="2"/>
        <v>1</v>
      </c>
      <c r="V207" s="4" t="b">
        <f t="shared" si="3"/>
        <v>0</v>
      </c>
      <c r="W207" s="4" t="str">
        <f t="shared" si="8"/>
        <v>Distance/Location</v>
      </c>
      <c r="X207" s="4" t="str">
        <f t="shared" si="4"/>
        <v>mww</v>
      </c>
      <c r="Y207" s="4">
        <f t="shared" si="5"/>
        <v>1</v>
      </c>
      <c r="Z207" s="4" t="str">
        <f t="shared" si="6"/>
        <v>Unique</v>
      </c>
      <c r="AA207" s="4" t="str">
        <f t="shared" si="7"/>
        <v>Valid</v>
      </c>
    </row>
    <row r="208">
      <c r="A208" s="3" t="s">
        <v>615</v>
      </c>
      <c r="B208" s="3">
        <v>6.5</v>
      </c>
      <c r="C208" s="3" t="s">
        <v>616</v>
      </c>
      <c r="D208" s="3">
        <v>5.0</v>
      </c>
      <c r="E208" s="3">
        <v>3.0</v>
      </c>
      <c r="F208" s="3" t="s">
        <v>109</v>
      </c>
      <c r="G208" s="3">
        <v>0.0</v>
      </c>
      <c r="H208" s="3">
        <v>743.0</v>
      </c>
      <c r="I208" s="3" t="s">
        <v>110</v>
      </c>
      <c r="J208" s="3">
        <v>0.0</v>
      </c>
      <c r="K208" s="3">
        <v>2.719</v>
      </c>
      <c r="L208" s="3">
        <v>23.0</v>
      </c>
      <c r="M208" s="3" t="s">
        <v>111</v>
      </c>
      <c r="N208" s="3">
        <v>529.0</v>
      </c>
      <c r="O208" s="3">
        <v>-7.3718</v>
      </c>
      <c r="P208" s="3">
        <v>119.802</v>
      </c>
      <c r="Q208" s="3" t="s">
        <v>617</v>
      </c>
      <c r="R208" s="4"/>
      <c r="S208" s="3" t="s">
        <v>153</v>
      </c>
      <c r="T208" s="16">
        <f t="shared" si="1"/>
        <v>43329.64931</v>
      </c>
      <c r="U208" s="4" t="b">
        <f t="shared" si="2"/>
        <v>1</v>
      </c>
      <c r="V208" s="4" t="b">
        <f t="shared" si="3"/>
        <v>0</v>
      </c>
      <c r="W208" s="4" t="str">
        <f t="shared" si="8"/>
        <v>Distance/Location</v>
      </c>
      <c r="X208" s="4" t="str">
        <f t="shared" si="4"/>
        <v>mww</v>
      </c>
      <c r="Y208" s="4">
        <f t="shared" si="5"/>
        <v>1</v>
      </c>
      <c r="Z208" s="4" t="str">
        <f t="shared" si="6"/>
        <v>Unique</v>
      </c>
      <c r="AA208" s="4" t="str">
        <f t="shared" si="7"/>
        <v>Valid</v>
      </c>
    </row>
    <row r="209">
      <c r="A209" s="3" t="s">
        <v>618</v>
      </c>
      <c r="B209" s="3">
        <v>6.5</v>
      </c>
      <c r="C209" s="3" t="s">
        <v>619</v>
      </c>
      <c r="D209" s="3">
        <v>6.0</v>
      </c>
      <c r="E209" s="3">
        <v>6.0</v>
      </c>
      <c r="F209" s="3" t="s">
        <v>109</v>
      </c>
      <c r="G209" s="3">
        <v>1.0</v>
      </c>
      <c r="H209" s="3">
        <v>655.0</v>
      </c>
      <c r="I209" s="3" t="s">
        <v>110</v>
      </c>
      <c r="J209" s="3">
        <v>0.0</v>
      </c>
      <c r="K209" s="3">
        <v>0.576</v>
      </c>
      <c r="L209" s="3">
        <v>22.0</v>
      </c>
      <c r="M209" s="3" t="s">
        <v>111</v>
      </c>
      <c r="N209" s="3">
        <v>33.93</v>
      </c>
      <c r="O209" s="3">
        <v>51.4234</v>
      </c>
      <c r="P209" s="3">
        <v>-178.026</v>
      </c>
      <c r="Q209" s="3" t="s">
        <v>620</v>
      </c>
      <c r="R209" s="3" t="s">
        <v>233</v>
      </c>
      <c r="S209" s="3" t="s">
        <v>318</v>
      </c>
      <c r="T209" s="16">
        <f t="shared" si="1"/>
        <v>43327.91389</v>
      </c>
      <c r="U209" s="4" t="b">
        <f t="shared" si="2"/>
        <v>1</v>
      </c>
      <c r="V209" s="4" t="b">
        <f t="shared" si="3"/>
        <v>0</v>
      </c>
      <c r="W209" s="4" t="str">
        <f t="shared" si="8"/>
        <v>Distance/Location</v>
      </c>
      <c r="X209" s="4" t="str">
        <f t="shared" si="4"/>
        <v>mww</v>
      </c>
      <c r="Y209" s="4">
        <f t="shared" si="5"/>
        <v>1</v>
      </c>
      <c r="Z209" s="4" t="str">
        <f t="shared" si="6"/>
        <v>Unique</v>
      </c>
      <c r="AA209" s="4" t="str">
        <f t="shared" si="7"/>
        <v>Valid</v>
      </c>
    </row>
    <row r="210">
      <c r="A210" s="3" t="s">
        <v>621</v>
      </c>
      <c r="B210" s="3">
        <v>6.9</v>
      </c>
      <c r="C210" s="17">
        <v>43228.490277777775</v>
      </c>
      <c r="D210" s="3">
        <v>9.0</v>
      </c>
      <c r="E210" s="3">
        <v>8.0</v>
      </c>
      <c r="F210" s="3" t="s">
        <v>178</v>
      </c>
      <c r="G210" s="3">
        <v>0.0</v>
      </c>
      <c r="H210" s="3">
        <v>1704.0</v>
      </c>
      <c r="I210" s="3" t="s">
        <v>110</v>
      </c>
      <c r="J210" s="3">
        <v>0.0</v>
      </c>
      <c r="K210" s="3">
        <v>2.271</v>
      </c>
      <c r="L210" s="3">
        <v>15.0</v>
      </c>
      <c r="M210" s="3" t="s">
        <v>111</v>
      </c>
      <c r="N210" s="3">
        <v>34.0</v>
      </c>
      <c r="O210" s="3">
        <v>-8.2581</v>
      </c>
      <c r="P210" s="3">
        <v>116.438</v>
      </c>
      <c r="Q210" s="3" t="s">
        <v>612</v>
      </c>
      <c r="R210" s="4"/>
      <c r="S210" s="3" t="s">
        <v>153</v>
      </c>
      <c r="T210" s="16">
        <f t="shared" si="1"/>
        <v>43317.49028</v>
      </c>
      <c r="U210" s="4" t="b">
        <f t="shared" si="2"/>
        <v>1</v>
      </c>
      <c r="V210" s="4" t="b">
        <f t="shared" si="3"/>
        <v>1</v>
      </c>
      <c r="W210" s="4" t="str">
        <f t="shared" si="8"/>
        <v>Distance/Location</v>
      </c>
      <c r="X210" s="4" t="str">
        <f t="shared" si="4"/>
        <v>mww</v>
      </c>
      <c r="Y210" s="4">
        <f t="shared" si="5"/>
        <v>1</v>
      </c>
      <c r="Z210" s="4" t="str">
        <f t="shared" si="6"/>
        <v>Unique</v>
      </c>
      <c r="AA210" s="4" t="str">
        <f t="shared" si="7"/>
        <v>Valid</v>
      </c>
    </row>
    <row r="211">
      <c r="A211" s="3" t="s">
        <v>622</v>
      </c>
      <c r="B211" s="3">
        <v>6.9</v>
      </c>
      <c r="C211" s="17">
        <v>43195.938888888886</v>
      </c>
      <c r="D211" s="3">
        <v>7.0</v>
      </c>
      <c r="E211" s="3">
        <v>8.0</v>
      </c>
      <c r="F211" s="3" t="s">
        <v>116</v>
      </c>
      <c r="G211" s="3">
        <v>1.0</v>
      </c>
      <c r="H211" s="3">
        <v>1392.0</v>
      </c>
      <c r="I211" s="3" t="s">
        <v>623</v>
      </c>
      <c r="J211" s="3">
        <v>63.0</v>
      </c>
      <c r="K211" s="3">
        <v>0.11</v>
      </c>
      <c r="L211" s="3">
        <v>210.0</v>
      </c>
      <c r="M211" s="3" t="s">
        <v>514</v>
      </c>
      <c r="N211" s="3">
        <v>5.81</v>
      </c>
      <c r="O211" s="3">
        <v>19.3182</v>
      </c>
      <c r="P211" s="3">
        <v>-155.0</v>
      </c>
      <c r="Q211" s="3" t="s">
        <v>624</v>
      </c>
      <c r="R211" s="4"/>
      <c r="S211" s="3" t="s">
        <v>318</v>
      </c>
      <c r="T211" s="16">
        <f t="shared" si="1"/>
        <v>43224.93889</v>
      </c>
      <c r="U211" s="4" t="b">
        <f t="shared" si="2"/>
        <v>1</v>
      </c>
      <c r="V211" s="4" t="b">
        <f t="shared" si="3"/>
        <v>1</v>
      </c>
      <c r="W211" s="4" t="str">
        <f t="shared" si="8"/>
        <v>Distance/Location</v>
      </c>
      <c r="X211" s="4" t="str">
        <f t="shared" si="4"/>
        <v>mw</v>
      </c>
      <c r="Y211" s="4">
        <f t="shared" si="5"/>
        <v>1</v>
      </c>
      <c r="Z211" s="4" t="str">
        <f t="shared" si="6"/>
        <v>Unique</v>
      </c>
      <c r="AA211" s="4" t="str">
        <f t="shared" si="7"/>
        <v>Valid</v>
      </c>
    </row>
    <row r="212">
      <c r="A212" s="3" t="s">
        <v>625</v>
      </c>
      <c r="B212" s="3">
        <v>6.8</v>
      </c>
      <c r="C212" s="17">
        <v>43135.569444444445</v>
      </c>
      <c r="D212" s="3">
        <v>5.0</v>
      </c>
      <c r="E212" s="3">
        <v>3.0</v>
      </c>
      <c r="F212" s="3" t="s">
        <v>109</v>
      </c>
      <c r="G212" s="3">
        <v>0.0</v>
      </c>
      <c r="H212" s="3">
        <v>733.0</v>
      </c>
      <c r="I212" s="3" t="s">
        <v>110</v>
      </c>
      <c r="J212" s="3">
        <v>0.0</v>
      </c>
      <c r="K212" s="3">
        <v>5.32</v>
      </c>
      <c r="L212" s="3">
        <v>16.0</v>
      </c>
      <c r="M212" s="3" t="s">
        <v>111</v>
      </c>
      <c r="N212" s="3">
        <v>559.0</v>
      </c>
      <c r="O212" s="3">
        <v>-20.6588</v>
      </c>
      <c r="P212" s="3">
        <v>-63.0058</v>
      </c>
      <c r="Q212" s="3" t="s">
        <v>626</v>
      </c>
      <c r="R212" s="3" t="s">
        <v>121</v>
      </c>
      <c r="S212" s="3" t="s">
        <v>627</v>
      </c>
      <c r="T212" s="16">
        <f t="shared" si="1"/>
        <v>43192.56944</v>
      </c>
      <c r="U212" s="4" t="b">
        <f t="shared" si="2"/>
        <v>1</v>
      </c>
      <c r="V212" s="4" t="b">
        <f t="shared" si="3"/>
        <v>1</v>
      </c>
      <c r="W212" s="4" t="str">
        <f t="shared" si="8"/>
        <v>Distance/Location</v>
      </c>
      <c r="X212" s="4" t="str">
        <f t="shared" si="4"/>
        <v>mww</v>
      </c>
      <c r="Y212" s="4">
        <f t="shared" si="5"/>
        <v>1</v>
      </c>
      <c r="Z212" s="4" t="str">
        <f t="shared" si="6"/>
        <v>Unique</v>
      </c>
      <c r="AA212" s="4" t="str">
        <f t="shared" si="7"/>
        <v>Valid</v>
      </c>
    </row>
    <row r="213">
      <c r="A213" s="3" t="s">
        <v>628</v>
      </c>
      <c r="B213" s="3">
        <v>6.9</v>
      </c>
      <c r="C213" s="3" t="s">
        <v>629</v>
      </c>
      <c r="D213" s="3">
        <v>9.0</v>
      </c>
      <c r="E213" s="3">
        <v>6.0</v>
      </c>
      <c r="F213" s="3" t="s">
        <v>109</v>
      </c>
      <c r="G213" s="3">
        <v>1.0</v>
      </c>
      <c r="H213" s="3">
        <v>741.0</v>
      </c>
      <c r="I213" s="3" t="s">
        <v>110</v>
      </c>
      <c r="J213" s="3">
        <v>0.0</v>
      </c>
      <c r="K213" s="3">
        <v>1.487</v>
      </c>
      <c r="L213" s="3">
        <v>18.0</v>
      </c>
      <c r="M213" s="3" t="s">
        <v>111</v>
      </c>
      <c r="N213" s="3">
        <v>35.0</v>
      </c>
      <c r="O213" s="3">
        <v>-5.5321</v>
      </c>
      <c r="P213" s="3">
        <v>151.5</v>
      </c>
      <c r="Q213" s="3" t="s">
        <v>187</v>
      </c>
      <c r="R213" s="4"/>
      <c r="S213" s="3" t="s">
        <v>168</v>
      </c>
      <c r="T213" s="16">
        <f t="shared" si="1"/>
        <v>43188.89236</v>
      </c>
      <c r="U213" s="4" t="b">
        <f t="shared" si="2"/>
        <v>1</v>
      </c>
      <c r="V213" s="4" t="b">
        <f t="shared" si="3"/>
        <v>0</v>
      </c>
      <c r="W213" s="4" t="str">
        <f t="shared" si="8"/>
        <v>Distance/Location</v>
      </c>
      <c r="X213" s="4" t="str">
        <f t="shared" si="4"/>
        <v>mww</v>
      </c>
      <c r="Y213" s="4">
        <f t="shared" si="5"/>
        <v>1</v>
      </c>
      <c r="Z213" s="4" t="str">
        <f t="shared" si="6"/>
        <v>Unique</v>
      </c>
      <c r="AA213" s="4" t="str">
        <f t="shared" si="7"/>
        <v>Valid</v>
      </c>
    </row>
    <row r="214">
      <c r="A214" s="3" t="s">
        <v>630</v>
      </c>
      <c r="B214" s="3">
        <v>6.7</v>
      </c>
      <c r="C214" s="3" t="s">
        <v>631</v>
      </c>
      <c r="D214" s="3">
        <v>5.0</v>
      </c>
      <c r="E214" s="3">
        <v>6.0</v>
      </c>
      <c r="F214" s="3" t="s">
        <v>109</v>
      </c>
      <c r="G214" s="3">
        <v>1.0</v>
      </c>
      <c r="H214" s="3">
        <v>696.0</v>
      </c>
      <c r="I214" s="3" t="s">
        <v>110</v>
      </c>
      <c r="J214" s="3">
        <v>0.0</v>
      </c>
      <c r="K214" s="3">
        <v>1.507</v>
      </c>
      <c r="L214" s="3">
        <v>15.0</v>
      </c>
      <c r="M214" s="3" t="s">
        <v>111</v>
      </c>
      <c r="N214" s="3">
        <v>40.0</v>
      </c>
      <c r="O214" s="3">
        <v>-5.5024</v>
      </c>
      <c r="P214" s="3">
        <v>151.402</v>
      </c>
      <c r="Q214" s="3" t="s">
        <v>187</v>
      </c>
      <c r="R214" s="4"/>
      <c r="S214" s="3" t="s">
        <v>168</v>
      </c>
      <c r="T214" s="16">
        <f t="shared" si="1"/>
        <v>43185.41042</v>
      </c>
      <c r="U214" s="4" t="b">
        <f t="shared" si="2"/>
        <v>1</v>
      </c>
      <c r="V214" s="4" t="b">
        <f t="shared" si="3"/>
        <v>0</v>
      </c>
      <c r="W214" s="4" t="str">
        <f t="shared" si="8"/>
        <v>Distance/Location</v>
      </c>
      <c r="X214" s="4" t="str">
        <f t="shared" si="4"/>
        <v>mww</v>
      </c>
      <c r="Y214" s="4">
        <f t="shared" si="5"/>
        <v>1</v>
      </c>
      <c r="Z214" s="4" t="str">
        <f t="shared" si="6"/>
        <v>Unique</v>
      </c>
      <c r="AA214" s="4" t="str">
        <f t="shared" si="7"/>
        <v>Valid</v>
      </c>
    </row>
    <row r="215">
      <c r="A215" s="3" t="s">
        <v>632</v>
      </c>
      <c r="B215" s="3">
        <v>6.8</v>
      </c>
      <c r="C215" s="17">
        <v>43315.73541666667</v>
      </c>
      <c r="D215" s="3">
        <v>6.0</v>
      </c>
      <c r="E215" s="3">
        <v>6.0</v>
      </c>
      <c r="F215" s="3" t="s">
        <v>109</v>
      </c>
      <c r="G215" s="3">
        <v>1.0</v>
      </c>
      <c r="H215" s="3">
        <v>719.0</v>
      </c>
      <c r="I215" s="3" t="s">
        <v>110</v>
      </c>
      <c r="J215" s="3">
        <v>0.0</v>
      </c>
      <c r="K215" s="3">
        <v>1.049</v>
      </c>
      <c r="L215" s="3">
        <v>16.0</v>
      </c>
      <c r="M215" s="3" t="s">
        <v>111</v>
      </c>
      <c r="N215" s="3">
        <v>22.86</v>
      </c>
      <c r="O215" s="3">
        <v>-4.3762</v>
      </c>
      <c r="P215" s="3">
        <v>153.2</v>
      </c>
      <c r="Q215" s="3" t="s">
        <v>633</v>
      </c>
      <c r="R215" s="4"/>
      <c r="S215" s="3" t="s">
        <v>168</v>
      </c>
      <c r="T215" s="16">
        <f t="shared" si="1"/>
        <v>43167.73542</v>
      </c>
      <c r="U215" s="4" t="b">
        <f t="shared" si="2"/>
        <v>1</v>
      </c>
      <c r="V215" s="4" t="b">
        <f t="shared" si="3"/>
        <v>1</v>
      </c>
      <c r="W215" s="4" t="str">
        <f t="shared" si="8"/>
        <v>Distance/Location</v>
      </c>
      <c r="X215" s="4" t="str">
        <f t="shared" si="4"/>
        <v>mww</v>
      </c>
      <c r="Y215" s="4">
        <f t="shared" si="5"/>
        <v>1</v>
      </c>
      <c r="Z215" s="4" t="str">
        <f t="shared" si="6"/>
        <v>Unique</v>
      </c>
      <c r="AA215" s="4" t="str">
        <f t="shared" si="7"/>
        <v>Valid</v>
      </c>
    </row>
    <row r="216">
      <c r="A216" s="3" t="s">
        <v>634</v>
      </c>
      <c r="B216" s="3">
        <v>6.7</v>
      </c>
      <c r="C216" s="17">
        <v>43254.592361111114</v>
      </c>
      <c r="D216" s="3">
        <v>8.0</v>
      </c>
      <c r="E216" s="3">
        <v>7.0</v>
      </c>
      <c r="F216" s="3" t="s">
        <v>109</v>
      </c>
      <c r="G216" s="3">
        <v>1.0</v>
      </c>
      <c r="H216" s="3">
        <v>697.0</v>
      </c>
      <c r="I216" s="3" t="s">
        <v>110</v>
      </c>
      <c r="J216" s="3">
        <v>0.0</v>
      </c>
      <c r="K216" s="3">
        <v>5.457</v>
      </c>
      <c r="L216" s="3">
        <v>19.0</v>
      </c>
      <c r="M216" s="3" t="s">
        <v>111</v>
      </c>
      <c r="N216" s="3">
        <v>20.49</v>
      </c>
      <c r="O216" s="3">
        <v>-6.3043</v>
      </c>
      <c r="P216" s="3">
        <v>142.612</v>
      </c>
      <c r="Q216" s="3" t="s">
        <v>635</v>
      </c>
      <c r="R216" s="4"/>
      <c r="S216" s="3" t="s">
        <v>168</v>
      </c>
      <c r="T216" s="16">
        <f t="shared" si="1"/>
        <v>43165.59236</v>
      </c>
      <c r="U216" s="4" t="b">
        <f t="shared" si="2"/>
        <v>1</v>
      </c>
      <c r="V216" s="4" t="b">
        <f t="shared" si="3"/>
        <v>1</v>
      </c>
      <c r="W216" s="4" t="str">
        <f t="shared" si="8"/>
        <v>Distance/Location</v>
      </c>
      <c r="X216" s="4" t="str">
        <f t="shared" si="4"/>
        <v>mww</v>
      </c>
      <c r="Y216" s="4">
        <f t="shared" si="5"/>
        <v>1</v>
      </c>
      <c r="Z216" s="4" t="str">
        <f t="shared" si="6"/>
        <v>Unique</v>
      </c>
      <c r="AA216" s="4" t="str">
        <f t="shared" si="7"/>
        <v>Valid</v>
      </c>
    </row>
    <row r="217">
      <c r="A217" s="3" t="s">
        <v>636</v>
      </c>
      <c r="B217" s="3">
        <v>7.5</v>
      </c>
      <c r="C217" s="3" t="s">
        <v>637</v>
      </c>
      <c r="D217" s="3">
        <v>9.0</v>
      </c>
      <c r="E217" s="3">
        <v>8.0</v>
      </c>
      <c r="F217" s="3" t="s">
        <v>116</v>
      </c>
      <c r="G217" s="3">
        <v>1.0</v>
      </c>
      <c r="H217" s="3">
        <v>943.0</v>
      </c>
      <c r="I217" s="3" t="s">
        <v>110</v>
      </c>
      <c r="J217" s="3">
        <v>0.0</v>
      </c>
      <c r="K217" s="3">
        <v>5.48</v>
      </c>
      <c r="L217" s="3">
        <v>17.0</v>
      </c>
      <c r="M217" s="3" t="s">
        <v>111</v>
      </c>
      <c r="N217" s="3">
        <v>25.21</v>
      </c>
      <c r="O217" s="3">
        <v>-6.0699</v>
      </c>
      <c r="P217" s="3">
        <v>142.754</v>
      </c>
      <c r="Q217" s="3" t="s">
        <v>635</v>
      </c>
      <c r="R217" s="4"/>
      <c r="S217" s="3" t="s">
        <v>168</v>
      </c>
      <c r="T217" s="16">
        <f t="shared" si="1"/>
        <v>43156.73889</v>
      </c>
      <c r="U217" s="4" t="b">
        <f t="shared" si="2"/>
        <v>1</v>
      </c>
      <c r="V217" s="4" t="b">
        <f t="shared" si="3"/>
        <v>0</v>
      </c>
      <c r="W217" s="4" t="str">
        <f t="shared" si="8"/>
        <v>Distance/Location</v>
      </c>
      <c r="X217" s="4" t="str">
        <f t="shared" si="4"/>
        <v>mww</v>
      </c>
      <c r="Y217" s="4">
        <f t="shared" si="5"/>
        <v>1</v>
      </c>
      <c r="Z217" s="4" t="str">
        <f t="shared" si="6"/>
        <v>Unique</v>
      </c>
      <c r="AA217" s="4" t="str">
        <f t="shared" si="7"/>
        <v>Valid</v>
      </c>
    </row>
    <row r="218">
      <c r="A218" s="3" t="s">
        <v>638</v>
      </c>
      <c r="B218" s="3">
        <v>7.2</v>
      </c>
      <c r="C218" s="3" t="s">
        <v>639</v>
      </c>
      <c r="D218" s="3">
        <v>7.0</v>
      </c>
      <c r="E218" s="3">
        <v>7.0</v>
      </c>
      <c r="F218" s="3" t="s">
        <v>116</v>
      </c>
      <c r="G218" s="3">
        <v>1.0</v>
      </c>
      <c r="H218" s="3">
        <v>1384.0</v>
      </c>
      <c r="I218" s="3" t="s">
        <v>110</v>
      </c>
      <c r="J218" s="3">
        <v>0.0</v>
      </c>
      <c r="K218" s="3">
        <v>0.142</v>
      </c>
      <c r="L218" s="3">
        <v>82.0</v>
      </c>
      <c r="M218" s="3" t="s">
        <v>111</v>
      </c>
      <c r="N218" s="3">
        <v>22.0</v>
      </c>
      <c r="O218" s="3">
        <v>16.3855</v>
      </c>
      <c r="P218" s="3">
        <v>-97.9787</v>
      </c>
      <c r="Q218" s="3" t="s">
        <v>640</v>
      </c>
      <c r="R218" s="3" t="s">
        <v>233</v>
      </c>
      <c r="S218" s="3" t="s">
        <v>234</v>
      </c>
      <c r="T218" s="16">
        <f t="shared" si="1"/>
        <v>43147.98542</v>
      </c>
      <c r="U218" s="4" t="b">
        <f t="shared" si="2"/>
        <v>1</v>
      </c>
      <c r="V218" s="4" t="b">
        <f t="shared" si="3"/>
        <v>0</v>
      </c>
      <c r="W218" s="4" t="str">
        <f t="shared" si="8"/>
        <v>Distance/Location</v>
      </c>
      <c r="X218" s="4" t="str">
        <f t="shared" si="4"/>
        <v>mww</v>
      </c>
      <c r="Y218" s="4">
        <f t="shared" si="5"/>
        <v>1</v>
      </c>
      <c r="Z218" s="4" t="str">
        <f t="shared" si="6"/>
        <v>Unique</v>
      </c>
      <c r="AA218" s="4" t="str">
        <f t="shared" si="7"/>
        <v>Valid</v>
      </c>
    </row>
    <row r="219">
      <c r="A219" s="3" t="s">
        <v>641</v>
      </c>
      <c r="B219" s="3">
        <v>7.9</v>
      </c>
      <c r="C219" s="3" t="s">
        <v>642</v>
      </c>
      <c r="D219" s="3">
        <v>9.0</v>
      </c>
      <c r="E219" s="3">
        <v>4.0</v>
      </c>
      <c r="F219" s="3" t="s">
        <v>109</v>
      </c>
      <c r="G219" s="3">
        <v>1.0</v>
      </c>
      <c r="H219" s="3">
        <v>1870.0</v>
      </c>
      <c r="I219" s="3" t="s">
        <v>110</v>
      </c>
      <c r="J219" s="3">
        <v>0.0</v>
      </c>
      <c r="K219" s="3">
        <v>2.585</v>
      </c>
      <c r="L219" s="3">
        <v>30.0</v>
      </c>
      <c r="M219" s="3" t="s">
        <v>111</v>
      </c>
      <c r="N219" s="3">
        <v>14.06</v>
      </c>
      <c r="O219" s="3">
        <v>56.0039</v>
      </c>
      <c r="P219" s="3">
        <v>-149.166</v>
      </c>
      <c r="Q219" s="3" t="s">
        <v>643</v>
      </c>
      <c r="R219" s="4"/>
      <c r="S219" s="4"/>
      <c r="T219" s="16">
        <f t="shared" si="1"/>
        <v>43123.39653</v>
      </c>
      <c r="U219" s="4" t="b">
        <f t="shared" si="2"/>
        <v>1</v>
      </c>
      <c r="V219" s="4" t="b">
        <f t="shared" si="3"/>
        <v>0</v>
      </c>
      <c r="W219" s="4" t="str">
        <f t="shared" si="8"/>
        <v>Distance/Location</v>
      </c>
      <c r="X219" s="4" t="str">
        <f t="shared" si="4"/>
        <v>mww</v>
      </c>
      <c r="Y219" s="4">
        <f t="shared" si="5"/>
        <v>1</v>
      </c>
      <c r="Z219" s="4" t="str">
        <f t="shared" si="6"/>
        <v>Unique</v>
      </c>
      <c r="AA219" s="4" t="str">
        <f t="shared" si="7"/>
        <v>Valid</v>
      </c>
    </row>
    <row r="220">
      <c r="A220" s="3" t="s">
        <v>644</v>
      </c>
      <c r="B220" s="3">
        <v>7.1</v>
      </c>
      <c r="C220" s="3" t="s">
        <v>645</v>
      </c>
      <c r="D220" s="3">
        <v>9.0</v>
      </c>
      <c r="E220" s="3">
        <v>7.0</v>
      </c>
      <c r="F220" s="3" t="s">
        <v>109</v>
      </c>
      <c r="G220" s="3">
        <v>1.0</v>
      </c>
      <c r="H220" s="3">
        <v>1075.0</v>
      </c>
      <c r="I220" s="3" t="s">
        <v>110</v>
      </c>
      <c r="J220" s="3">
        <v>0.0</v>
      </c>
      <c r="K220" s="3">
        <v>4.29</v>
      </c>
      <c r="L220" s="3">
        <v>23.0</v>
      </c>
      <c r="M220" s="3" t="s">
        <v>111</v>
      </c>
      <c r="N220" s="3">
        <v>39.0</v>
      </c>
      <c r="O220" s="3">
        <v>-15.7675</v>
      </c>
      <c r="P220" s="3">
        <v>-74.7092</v>
      </c>
      <c r="Q220" s="3" t="s">
        <v>646</v>
      </c>
      <c r="R220" s="4"/>
      <c r="S220" s="3" t="s">
        <v>265</v>
      </c>
      <c r="T220" s="16">
        <f t="shared" si="1"/>
        <v>43114.3875</v>
      </c>
      <c r="U220" s="4" t="b">
        <f t="shared" si="2"/>
        <v>1</v>
      </c>
      <c r="V220" s="4" t="b">
        <f t="shared" si="3"/>
        <v>0</v>
      </c>
      <c r="W220" s="4" t="str">
        <f t="shared" si="8"/>
        <v>Distance/Location</v>
      </c>
      <c r="X220" s="4" t="str">
        <f t="shared" si="4"/>
        <v>mww</v>
      </c>
      <c r="Y220" s="4">
        <f t="shared" si="5"/>
        <v>1</v>
      </c>
      <c r="Z220" s="4" t="str">
        <f t="shared" si="6"/>
        <v>Unique</v>
      </c>
      <c r="AA220" s="4" t="str">
        <f t="shared" si="7"/>
        <v>Valid</v>
      </c>
    </row>
    <row r="221">
      <c r="A221" s="3" t="s">
        <v>647</v>
      </c>
      <c r="B221" s="3">
        <v>7.5</v>
      </c>
      <c r="C221" s="17">
        <v>43374.11875</v>
      </c>
      <c r="D221" s="3">
        <v>8.0</v>
      </c>
      <c r="E221" s="3">
        <v>5.0</v>
      </c>
      <c r="F221" s="3" t="s">
        <v>109</v>
      </c>
      <c r="G221" s="3">
        <v>1.0</v>
      </c>
      <c r="H221" s="3">
        <v>1623.0</v>
      </c>
      <c r="I221" s="3" t="s">
        <v>110</v>
      </c>
      <c r="J221" s="3">
        <v>0.0</v>
      </c>
      <c r="K221" s="3">
        <v>4.581</v>
      </c>
      <c r="L221" s="3">
        <v>12.0</v>
      </c>
      <c r="M221" s="3" t="s">
        <v>111</v>
      </c>
      <c r="N221" s="3">
        <v>19.0</v>
      </c>
      <c r="O221" s="3">
        <v>17.4825</v>
      </c>
      <c r="P221" s="3">
        <v>-83.52</v>
      </c>
      <c r="Q221" s="3" t="s">
        <v>648</v>
      </c>
      <c r="R221" s="4"/>
      <c r="S221" s="4"/>
      <c r="T221" s="16">
        <f t="shared" si="1"/>
        <v>43110.11875</v>
      </c>
      <c r="U221" s="4" t="b">
        <f t="shared" si="2"/>
        <v>1</v>
      </c>
      <c r="V221" s="4" t="b">
        <f t="shared" si="3"/>
        <v>1</v>
      </c>
      <c r="W221" s="4" t="str">
        <f t="shared" si="8"/>
        <v>Distance/Location</v>
      </c>
      <c r="X221" s="4" t="str">
        <f t="shared" si="4"/>
        <v>mww</v>
      </c>
      <c r="Y221" s="4">
        <f t="shared" si="5"/>
        <v>1</v>
      </c>
      <c r="Z221" s="4" t="str">
        <f t="shared" si="6"/>
        <v>Unique</v>
      </c>
      <c r="AA221" s="4" t="str">
        <f t="shared" si="7"/>
        <v>Valid</v>
      </c>
    </row>
    <row r="222">
      <c r="A222" s="3" t="s">
        <v>649</v>
      </c>
      <c r="B222" s="3">
        <v>6.5</v>
      </c>
      <c r="C222" s="3" t="s">
        <v>650</v>
      </c>
      <c r="D222" s="3">
        <v>8.0</v>
      </c>
      <c r="E222" s="3">
        <v>7.0</v>
      </c>
      <c r="F222" s="3" t="s">
        <v>109</v>
      </c>
      <c r="G222" s="3">
        <v>0.0</v>
      </c>
      <c r="H222" s="3">
        <v>998.0</v>
      </c>
      <c r="I222" s="3" t="s">
        <v>110</v>
      </c>
      <c r="J222" s="3">
        <v>0.0</v>
      </c>
      <c r="K222" s="3">
        <v>2.365</v>
      </c>
      <c r="L222" s="3">
        <v>28.0</v>
      </c>
      <c r="M222" s="3" t="s">
        <v>111</v>
      </c>
      <c r="N222" s="3">
        <v>90.0</v>
      </c>
      <c r="O222" s="3">
        <v>-7.4921</v>
      </c>
      <c r="P222" s="3">
        <v>108.174</v>
      </c>
      <c r="Q222" s="3" t="s">
        <v>651</v>
      </c>
      <c r="R222" s="4"/>
      <c r="S222" s="3" t="s">
        <v>153</v>
      </c>
      <c r="T222" s="16">
        <f t="shared" si="1"/>
        <v>43084.69931</v>
      </c>
      <c r="U222" s="4" t="b">
        <f t="shared" si="2"/>
        <v>1</v>
      </c>
      <c r="V222" s="4" t="b">
        <f t="shared" si="3"/>
        <v>0</v>
      </c>
      <c r="W222" s="4" t="str">
        <f t="shared" si="8"/>
        <v>Distance/Location</v>
      </c>
      <c r="X222" s="4" t="str">
        <f t="shared" si="4"/>
        <v>mww</v>
      </c>
      <c r="Y222" s="4">
        <f t="shared" si="5"/>
        <v>1</v>
      </c>
      <c r="Z222" s="4" t="str">
        <f t="shared" si="6"/>
        <v>Unique</v>
      </c>
      <c r="AA222" s="4" t="str">
        <f t="shared" si="7"/>
        <v>Valid</v>
      </c>
    </row>
    <row r="223">
      <c r="A223" s="3" t="s">
        <v>652</v>
      </c>
      <c r="B223" s="3">
        <v>6.5</v>
      </c>
      <c r="C223" s="3" t="s">
        <v>653</v>
      </c>
      <c r="D223" s="3">
        <v>1.0</v>
      </c>
      <c r="E223" s="3">
        <v>5.0</v>
      </c>
      <c r="F223" s="3" t="s">
        <v>109</v>
      </c>
      <c r="G223" s="3">
        <v>1.0</v>
      </c>
      <c r="H223" s="3">
        <v>651.0</v>
      </c>
      <c r="I223" s="3" t="s">
        <v>110</v>
      </c>
      <c r="J223" s="3">
        <v>0.0</v>
      </c>
      <c r="K223" s="3">
        <v>17.654</v>
      </c>
      <c r="L223" s="3">
        <v>23.0</v>
      </c>
      <c r="M223" s="3" t="s">
        <v>111</v>
      </c>
      <c r="N223" s="3">
        <v>17.0</v>
      </c>
      <c r="O223" s="3">
        <v>-54.2189</v>
      </c>
      <c r="P223" s="3">
        <v>2.1628</v>
      </c>
      <c r="Q223" s="3" t="s">
        <v>654</v>
      </c>
      <c r="R223" s="4"/>
      <c r="S223" s="4"/>
      <c r="T223" s="16">
        <f t="shared" si="1"/>
        <v>43082.75208</v>
      </c>
      <c r="U223" s="4" t="b">
        <f t="shared" si="2"/>
        <v>1</v>
      </c>
      <c r="V223" s="4" t="b">
        <f t="shared" si="3"/>
        <v>0</v>
      </c>
      <c r="W223" s="4" t="str">
        <f t="shared" si="8"/>
        <v>Named Region</v>
      </c>
      <c r="X223" s="4" t="str">
        <f t="shared" si="4"/>
        <v>mww</v>
      </c>
      <c r="Y223" s="4">
        <f t="shared" si="5"/>
        <v>1</v>
      </c>
      <c r="Z223" s="4" t="str">
        <f t="shared" si="6"/>
        <v>Unique</v>
      </c>
      <c r="AA223" s="4" t="str">
        <f t="shared" si="7"/>
        <v>Valid</v>
      </c>
    </row>
    <row r="224">
      <c r="A224" s="3" t="s">
        <v>655</v>
      </c>
      <c r="B224" s="3">
        <v>7.0</v>
      </c>
      <c r="C224" s="3" t="s">
        <v>656</v>
      </c>
      <c r="D224" s="3">
        <v>4.0</v>
      </c>
      <c r="E224" s="3">
        <v>6.0</v>
      </c>
      <c r="F224" s="3" t="s">
        <v>109</v>
      </c>
      <c r="G224" s="3">
        <v>1.0</v>
      </c>
      <c r="H224" s="3">
        <v>771.0</v>
      </c>
      <c r="I224" s="3" t="s">
        <v>110</v>
      </c>
      <c r="J224" s="3">
        <v>0.0</v>
      </c>
      <c r="K224" s="3">
        <v>0.617</v>
      </c>
      <c r="L224" s="3">
        <v>14.0</v>
      </c>
      <c r="M224" s="3" t="s">
        <v>111</v>
      </c>
      <c r="N224" s="3">
        <v>10.0</v>
      </c>
      <c r="O224" s="3">
        <v>-21.3246</v>
      </c>
      <c r="P224" s="3">
        <v>168.671</v>
      </c>
      <c r="Q224" s="3" t="s">
        <v>276</v>
      </c>
      <c r="R224" s="4"/>
      <c r="S224" s="4"/>
      <c r="T224" s="16">
        <f t="shared" si="1"/>
        <v>43058.94653</v>
      </c>
      <c r="U224" s="4" t="b">
        <f t="shared" si="2"/>
        <v>1</v>
      </c>
      <c r="V224" s="4" t="b">
        <f t="shared" si="3"/>
        <v>0</v>
      </c>
      <c r="W224" s="4" t="str">
        <f t="shared" si="8"/>
        <v>Distance/Location</v>
      </c>
      <c r="X224" s="4" t="str">
        <f t="shared" si="4"/>
        <v>mww</v>
      </c>
      <c r="Y224" s="4">
        <f t="shared" si="5"/>
        <v>1</v>
      </c>
      <c r="Z224" s="4" t="str">
        <f t="shared" si="6"/>
        <v>Unique</v>
      </c>
      <c r="AA224" s="4" t="str">
        <f t="shared" si="7"/>
        <v>Valid</v>
      </c>
    </row>
    <row r="225">
      <c r="A225" s="3" t="s">
        <v>657</v>
      </c>
      <c r="B225" s="3">
        <v>6.6</v>
      </c>
      <c r="C225" s="3" t="s">
        <v>658</v>
      </c>
      <c r="D225" s="3">
        <v>4.0</v>
      </c>
      <c r="E225" s="3">
        <v>5.0</v>
      </c>
      <c r="F225" s="3" t="s">
        <v>109</v>
      </c>
      <c r="G225" s="3">
        <v>1.0</v>
      </c>
      <c r="H225" s="3">
        <v>676.0</v>
      </c>
      <c r="I225" s="3" t="s">
        <v>110</v>
      </c>
      <c r="J225" s="3">
        <v>0.0</v>
      </c>
      <c r="K225" s="3">
        <v>0.529</v>
      </c>
      <c r="L225" s="3">
        <v>21.0</v>
      </c>
      <c r="M225" s="3" t="s">
        <v>111</v>
      </c>
      <c r="N225" s="3">
        <v>13.0</v>
      </c>
      <c r="O225" s="3">
        <v>-21.5027</v>
      </c>
      <c r="P225" s="3">
        <v>168.598</v>
      </c>
      <c r="Q225" s="3" t="s">
        <v>276</v>
      </c>
      <c r="R225" s="4"/>
      <c r="S225" s="4"/>
      <c r="T225" s="16">
        <f t="shared" si="1"/>
        <v>43058.63125</v>
      </c>
      <c r="U225" s="4" t="b">
        <f t="shared" si="2"/>
        <v>1</v>
      </c>
      <c r="V225" s="4" t="b">
        <f t="shared" si="3"/>
        <v>0</v>
      </c>
      <c r="W225" s="4" t="str">
        <f t="shared" si="8"/>
        <v>Distance/Location</v>
      </c>
      <c r="X225" s="4" t="str">
        <f t="shared" si="4"/>
        <v>mww</v>
      </c>
      <c r="Y225" s="4">
        <f t="shared" si="5"/>
        <v>1</v>
      </c>
      <c r="Z225" s="4" t="str">
        <f t="shared" si="6"/>
        <v>Unique</v>
      </c>
      <c r="AA225" s="4" t="str">
        <f t="shared" si="7"/>
        <v>Valid</v>
      </c>
    </row>
    <row r="226">
      <c r="A226" s="3" t="s">
        <v>659</v>
      </c>
      <c r="B226" s="3">
        <v>6.5</v>
      </c>
      <c r="C226" s="3" t="s">
        <v>660</v>
      </c>
      <c r="D226" s="3">
        <v>8.0</v>
      </c>
      <c r="E226" s="3">
        <v>8.0</v>
      </c>
      <c r="F226" s="3" t="s">
        <v>116</v>
      </c>
      <c r="G226" s="3">
        <v>1.0</v>
      </c>
      <c r="H226" s="3">
        <v>1153.0</v>
      </c>
      <c r="I226" s="3" t="s">
        <v>110</v>
      </c>
      <c r="J226" s="3">
        <v>0.0</v>
      </c>
      <c r="K226" s="3">
        <v>0.225</v>
      </c>
      <c r="L226" s="3">
        <v>37.0</v>
      </c>
      <c r="M226" s="3" t="s">
        <v>111</v>
      </c>
      <c r="N226" s="3">
        <v>19.36</v>
      </c>
      <c r="O226" s="3">
        <v>9.5147</v>
      </c>
      <c r="P226" s="3">
        <v>-84.4865</v>
      </c>
      <c r="Q226" s="3" t="s">
        <v>661</v>
      </c>
      <c r="R226" s="4"/>
      <c r="S226" s="3" t="s">
        <v>662</v>
      </c>
      <c r="T226" s="16">
        <f t="shared" si="1"/>
        <v>43052.10278</v>
      </c>
      <c r="U226" s="4" t="b">
        <f t="shared" si="2"/>
        <v>1</v>
      </c>
      <c r="V226" s="4" t="b">
        <f t="shared" si="3"/>
        <v>0</v>
      </c>
      <c r="W226" s="4" t="str">
        <f t="shared" si="8"/>
        <v>Distance/Location</v>
      </c>
      <c r="X226" s="4" t="str">
        <f t="shared" si="4"/>
        <v>mww</v>
      </c>
      <c r="Y226" s="4">
        <f t="shared" si="5"/>
        <v>1</v>
      </c>
      <c r="Z226" s="4" t="str">
        <f t="shared" si="6"/>
        <v>Unique</v>
      </c>
      <c r="AA226" s="4" t="str">
        <f t="shared" si="7"/>
        <v>Valid</v>
      </c>
    </row>
    <row r="227">
      <c r="A227" s="3" t="s">
        <v>663</v>
      </c>
      <c r="B227" s="3">
        <v>7.3</v>
      </c>
      <c r="C227" s="18">
        <v>43080.7625</v>
      </c>
      <c r="D227" s="3">
        <v>8.0</v>
      </c>
      <c r="E227" s="3">
        <v>9.0</v>
      </c>
      <c r="F227" s="3" t="s">
        <v>198</v>
      </c>
      <c r="G227" s="3">
        <v>0.0</v>
      </c>
      <c r="H227" s="3">
        <v>2790.0</v>
      </c>
      <c r="I227" s="3" t="s">
        <v>110</v>
      </c>
      <c r="J227" s="3">
        <v>0.0</v>
      </c>
      <c r="K227" s="3">
        <v>0.284</v>
      </c>
      <c r="L227" s="3">
        <v>33.0</v>
      </c>
      <c r="M227" s="3" t="s">
        <v>111</v>
      </c>
      <c r="N227" s="3">
        <v>19.0</v>
      </c>
      <c r="O227" s="3">
        <v>34.9109</v>
      </c>
      <c r="P227" s="3">
        <v>45.9592</v>
      </c>
      <c r="Q227" s="3" t="s">
        <v>664</v>
      </c>
      <c r="R227" s="3" t="s">
        <v>164</v>
      </c>
      <c r="S227" s="3" t="s">
        <v>665</v>
      </c>
      <c r="T227" s="16">
        <f t="shared" si="1"/>
        <v>43051.7625</v>
      </c>
      <c r="U227" s="4" t="b">
        <f t="shared" si="2"/>
        <v>1</v>
      </c>
      <c r="V227" s="4" t="b">
        <f t="shared" si="3"/>
        <v>1</v>
      </c>
      <c r="W227" s="4" t="str">
        <f t="shared" si="8"/>
        <v>Distance/Location</v>
      </c>
      <c r="X227" s="4" t="str">
        <f t="shared" si="4"/>
        <v>mww</v>
      </c>
      <c r="Y227" s="4">
        <f t="shared" si="5"/>
        <v>1</v>
      </c>
      <c r="Z227" s="4" t="str">
        <f t="shared" si="6"/>
        <v>Unique</v>
      </c>
      <c r="AA227" s="4" t="str">
        <f t="shared" si="7"/>
        <v>Valid</v>
      </c>
    </row>
    <row r="228">
      <c r="A228" s="3" t="s">
        <v>666</v>
      </c>
      <c r="B228" s="3">
        <v>6.5</v>
      </c>
      <c r="C228" s="17">
        <v>42927.893055555556</v>
      </c>
      <c r="D228" s="3">
        <v>6.0</v>
      </c>
      <c r="E228" s="3">
        <v>5.0</v>
      </c>
      <c r="F228" s="3" t="s">
        <v>109</v>
      </c>
      <c r="G228" s="3">
        <v>1.0</v>
      </c>
      <c r="H228" s="3">
        <v>661.0</v>
      </c>
      <c r="I228" s="3" t="s">
        <v>110</v>
      </c>
      <c r="J228" s="3">
        <v>0.0</v>
      </c>
      <c r="K228" s="3">
        <v>4.449</v>
      </c>
      <c r="L228" s="3">
        <v>10.0</v>
      </c>
      <c r="M228" s="3" t="s">
        <v>111</v>
      </c>
      <c r="N228" s="3">
        <v>110.57</v>
      </c>
      <c r="O228" s="3">
        <v>-4.2433</v>
      </c>
      <c r="P228" s="3">
        <v>143.485</v>
      </c>
      <c r="Q228" s="3" t="s">
        <v>667</v>
      </c>
      <c r="R228" s="4"/>
      <c r="S228" s="3" t="s">
        <v>168</v>
      </c>
      <c r="T228" s="16">
        <f t="shared" si="1"/>
        <v>43046.89306</v>
      </c>
      <c r="U228" s="4" t="b">
        <f t="shared" si="2"/>
        <v>1</v>
      </c>
      <c r="V228" s="4" t="b">
        <f t="shared" si="3"/>
        <v>1</v>
      </c>
      <c r="W228" s="4" t="str">
        <f t="shared" si="8"/>
        <v>Distance/Location</v>
      </c>
      <c r="X228" s="4" t="str">
        <f t="shared" si="4"/>
        <v>mww</v>
      </c>
      <c r="Y228" s="4">
        <f t="shared" si="5"/>
        <v>1</v>
      </c>
      <c r="Z228" s="4" t="str">
        <f t="shared" si="6"/>
        <v>Unique</v>
      </c>
      <c r="AA228" s="4" t="str">
        <f t="shared" si="7"/>
        <v>Valid</v>
      </c>
    </row>
    <row r="229">
      <c r="A229" s="3" t="s">
        <v>668</v>
      </c>
      <c r="B229" s="3">
        <v>6.8</v>
      </c>
      <c r="C229" s="17">
        <v>42836.375</v>
      </c>
      <c r="D229" s="3">
        <v>5.0</v>
      </c>
      <c r="E229" s="3">
        <v>5.0</v>
      </c>
      <c r="F229" s="3" t="s">
        <v>109</v>
      </c>
      <c r="G229" s="3">
        <v>1.0</v>
      </c>
      <c r="H229" s="3">
        <v>727.0</v>
      </c>
      <c r="I229" s="3" t="s">
        <v>110</v>
      </c>
      <c r="J229" s="3">
        <v>0.0</v>
      </c>
      <c r="K229" s="3">
        <v>4.852</v>
      </c>
      <c r="L229" s="3">
        <v>21.0</v>
      </c>
      <c r="M229" s="3" t="s">
        <v>111</v>
      </c>
      <c r="N229" s="3">
        <v>10.0</v>
      </c>
      <c r="O229" s="3">
        <v>-15.3197</v>
      </c>
      <c r="P229" s="3">
        <v>-173.168</v>
      </c>
      <c r="Q229" s="3" t="s">
        <v>147</v>
      </c>
      <c r="R229" s="4"/>
      <c r="S229" s="4"/>
      <c r="T229" s="16">
        <f t="shared" si="1"/>
        <v>43043.375</v>
      </c>
      <c r="U229" s="4" t="b">
        <f t="shared" si="2"/>
        <v>1</v>
      </c>
      <c r="V229" s="4" t="b">
        <f t="shared" si="3"/>
        <v>1</v>
      </c>
      <c r="W229" s="4" t="str">
        <f t="shared" si="8"/>
        <v>Distance/Location</v>
      </c>
      <c r="X229" s="4" t="str">
        <f t="shared" si="4"/>
        <v>mww</v>
      </c>
      <c r="Y229" s="4">
        <f t="shared" si="5"/>
        <v>1</v>
      </c>
      <c r="Z229" s="4" t="str">
        <f t="shared" si="6"/>
        <v>Unique</v>
      </c>
      <c r="AA229" s="4" t="str">
        <f t="shared" si="7"/>
        <v>Valid</v>
      </c>
    </row>
    <row r="230">
      <c r="A230" s="3" t="s">
        <v>669</v>
      </c>
      <c r="B230" s="3">
        <v>6.6</v>
      </c>
      <c r="C230" s="17">
        <v>42746.09930555556</v>
      </c>
      <c r="D230" s="3">
        <v>3.0</v>
      </c>
      <c r="E230" s="3">
        <v>5.0</v>
      </c>
      <c r="F230" s="3" t="s">
        <v>109</v>
      </c>
      <c r="G230" s="3">
        <v>1.0</v>
      </c>
      <c r="H230" s="3">
        <v>674.0</v>
      </c>
      <c r="I230" s="3" t="s">
        <v>110</v>
      </c>
      <c r="J230" s="3">
        <v>0.0</v>
      </c>
      <c r="K230" s="3">
        <v>0.788</v>
      </c>
      <c r="L230" s="3">
        <v>29.0</v>
      </c>
      <c r="M230" s="3" t="s">
        <v>111</v>
      </c>
      <c r="N230" s="3">
        <v>22.0</v>
      </c>
      <c r="O230" s="3">
        <v>-21.6484</v>
      </c>
      <c r="P230" s="3">
        <v>168.859</v>
      </c>
      <c r="Q230" s="3" t="s">
        <v>276</v>
      </c>
      <c r="R230" s="4"/>
      <c r="S230" s="4"/>
      <c r="T230" s="16">
        <f t="shared" si="1"/>
        <v>43040.09931</v>
      </c>
      <c r="U230" s="4" t="b">
        <f t="shared" si="2"/>
        <v>1</v>
      </c>
      <c r="V230" s="4" t="b">
        <f t="shared" si="3"/>
        <v>1</v>
      </c>
      <c r="W230" s="4" t="str">
        <f t="shared" si="8"/>
        <v>Distance/Location</v>
      </c>
      <c r="X230" s="4" t="str">
        <f t="shared" si="4"/>
        <v>mww</v>
      </c>
      <c r="Y230" s="4">
        <f t="shared" si="5"/>
        <v>1</v>
      </c>
      <c r="Z230" s="4" t="str">
        <f t="shared" si="6"/>
        <v>Unique</v>
      </c>
      <c r="AA230" s="4" t="str">
        <f t="shared" si="7"/>
        <v>Valid</v>
      </c>
    </row>
    <row r="231">
      <c r="A231" s="3" t="s">
        <v>670</v>
      </c>
      <c r="B231" s="3">
        <v>6.7</v>
      </c>
      <c r="C231" s="3" t="s">
        <v>671</v>
      </c>
      <c r="D231" s="3">
        <v>3.0</v>
      </c>
      <c r="E231" s="3">
        <v>4.0</v>
      </c>
      <c r="F231" s="3" t="s">
        <v>109</v>
      </c>
      <c r="G231" s="3">
        <v>1.0</v>
      </c>
      <c r="H231" s="3">
        <v>691.0</v>
      </c>
      <c r="I231" s="3" t="s">
        <v>110</v>
      </c>
      <c r="J231" s="3">
        <v>0.0</v>
      </c>
      <c r="K231" s="3">
        <v>1.062</v>
      </c>
      <c r="L231" s="3">
        <v>55.0</v>
      </c>
      <c r="M231" s="3" t="s">
        <v>111</v>
      </c>
      <c r="N231" s="3">
        <v>24.0</v>
      </c>
      <c r="O231" s="3">
        <v>-21.6971</v>
      </c>
      <c r="P231" s="3">
        <v>169.148</v>
      </c>
      <c r="Q231" s="3" t="s">
        <v>276</v>
      </c>
      <c r="R231" s="4"/>
      <c r="S231" s="4"/>
      <c r="T231" s="16">
        <f t="shared" si="1"/>
        <v>43039.02917</v>
      </c>
      <c r="U231" s="4" t="b">
        <f t="shared" si="2"/>
        <v>1</v>
      </c>
      <c r="V231" s="4" t="b">
        <f t="shared" si="3"/>
        <v>0</v>
      </c>
      <c r="W231" s="4" t="str">
        <f t="shared" si="8"/>
        <v>Distance/Location</v>
      </c>
      <c r="X231" s="4" t="str">
        <f t="shared" si="4"/>
        <v>mww</v>
      </c>
      <c r="Y231" s="4">
        <f t="shared" si="5"/>
        <v>1</v>
      </c>
      <c r="Z231" s="4" t="str">
        <f t="shared" si="6"/>
        <v>Unique</v>
      </c>
      <c r="AA231" s="4" t="str">
        <f t="shared" si="7"/>
        <v>Valid</v>
      </c>
    </row>
    <row r="232">
      <c r="A232" s="3" t="s">
        <v>672</v>
      </c>
      <c r="B232" s="3">
        <v>6.7</v>
      </c>
      <c r="C232" s="3" t="s">
        <v>673</v>
      </c>
      <c r="D232" s="3">
        <v>3.0</v>
      </c>
      <c r="E232" s="3">
        <v>3.0</v>
      </c>
      <c r="F232" s="3" t="s">
        <v>109</v>
      </c>
      <c r="G232" s="3">
        <v>0.0</v>
      </c>
      <c r="H232" s="3">
        <v>694.0</v>
      </c>
      <c r="I232" s="3" t="s">
        <v>110</v>
      </c>
      <c r="J232" s="3">
        <v>0.0</v>
      </c>
      <c r="K232" s="3">
        <v>1.634</v>
      </c>
      <c r="L232" s="3">
        <v>16.0</v>
      </c>
      <c r="M232" s="3" t="s">
        <v>111</v>
      </c>
      <c r="N232" s="3">
        <v>553.81</v>
      </c>
      <c r="O232" s="3">
        <v>-7.2168</v>
      </c>
      <c r="P232" s="3">
        <v>123.074</v>
      </c>
      <c r="Q232" s="3" t="s">
        <v>674</v>
      </c>
      <c r="R232" s="4"/>
      <c r="S232" s="3" t="s">
        <v>153</v>
      </c>
      <c r="T232" s="16">
        <f t="shared" si="1"/>
        <v>43032.44931</v>
      </c>
      <c r="U232" s="4" t="b">
        <f t="shared" si="2"/>
        <v>1</v>
      </c>
      <c r="V232" s="4" t="b">
        <f t="shared" si="3"/>
        <v>0</v>
      </c>
      <c r="W232" s="4" t="str">
        <f t="shared" si="8"/>
        <v>Distance/Location</v>
      </c>
      <c r="X232" s="4" t="str">
        <f t="shared" si="4"/>
        <v>mww</v>
      </c>
      <c r="Y232" s="4">
        <f t="shared" si="5"/>
        <v>1</v>
      </c>
      <c r="Z232" s="4" t="str">
        <f t="shared" si="6"/>
        <v>Unique</v>
      </c>
      <c r="AA232" s="4" t="str">
        <f t="shared" si="7"/>
        <v>Valid</v>
      </c>
    </row>
    <row r="233">
      <c r="A233" s="3" t="s">
        <v>675</v>
      </c>
      <c r="B233" s="3">
        <v>6.5</v>
      </c>
      <c r="C233" s="17">
        <v>42957.94027777778</v>
      </c>
      <c r="D233" s="3">
        <v>3.0</v>
      </c>
      <c r="E233" s="3">
        <v>5.0</v>
      </c>
      <c r="F233" s="3" t="s">
        <v>109</v>
      </c>
      <c r="G233" s="3">
        <v>1.0</v>
      </c>
      <c r="H233" s="3">
        <v>651.0</v>
      </c>
      <c r="I233" s="3" t="s">
        <v>110</v>
      </c>
      <c r="J233" s="3">
        <v>0.0</v>
      </c>
      <c r="K233" s="3">
        <v>1.154</v>
      </c>
      <c r="L233" s="3">
        <v>11.0</v>
      </c>
      <c r="M233" s="3" t="s">
        <v>111</v>
      </c>
      <c r="N233" s="3">
        <v>119.0</v>
      </c>
      <c r="O233" s="3">
        <v>52.3909</v>
      </c>
      <c r="P233" s="3">
        <v>176.769</v>
      </c>
      <c r="Q233" s="3" t="s">
        <v>676</v>
      </c>
      <c r="R233" s="3" t="s">
        <v>233</v>
      </c>
      <c r="S233" s="4"/>
      <c r="T233" s="16">
        <f t="shared" si="1"/>
        <v>43016.94028</v>
      </c>
      <c r="U233" s="4" t="b">
        <f t="shared" si="2"/>
        <v>1</v>
      </c>
      <c r="V233" s="4" t="b">
        <f t="shared" si="3"/>
        <v>1</v>
      </c>
      <c r="W233" s="4" t="str">
        <f t="shared" si="8"/>
        <v>Distance/Location</v>
      </c>
      <c r="X233" s="4" t="str">
        <f t="shared" si="4"/>
        <v>mww</v>
      </c>
      <c r="Y233" s="4">
        <f t="shared" si="5"/>
        <v>1</v>
      </c>
      <c r="Z233" s="4" t="str">
        <f t="shared" si="6"/>
        <v>Unique</v>
      </c>
      <c r="AA233" s="4" t="str">
        <f t="shared" si="7"/>
        <v>Valid</v>
      </c>
    </row>
    <row r="234">
      <c r="A234" s="3" t="s">
        <v>677</v>
      </c>
      <c r="B234" s="3">
        <v>7.1</v>
      </c>
      <c r="C234" s="3" t="s">
        <v>678</v>
      </c>
      <c r="D234" s="3">
        <v>9.0</v>
      </c>
      <c r="E234" s="3">
        <v>8.0</v>
      </c>
      <c r="F234" s="4"/>
      <c r="G234" s="3">
        <v>0.0</v>
      </c>
      <c r="H234" s="3">
        <v>1686.0</v>
      </c>
      <c r="I234" s="3" t="s">
        <v>110</v>
      </c>
      <c r="J234" s="3">
        <v>0.0</v>
      </c>
      <c r="K234" s="3">
        <v>0.984</v>
      </c>
      <c r="L234" s="3">
        <v>23.0</v>
      </c>
      <c r="M234" s="3" t="s">
        <v>111</v>
      </c>
      <c r="N234" s="3">
        <v>48.0</v>
      </c>
      <c r="O234" s="3">
        <v>18.5499</v>
      </c>
      <c r="P234" s="3">
        <v>-98.4887</v>
      </c>
      <c r="Q234" s="3" t="s">
        <v>679</v>
      </c>
      <c r="R234" s="3" t="s">
        <v>233</v>
      </c>
      <c r="S234" s="3" t="s">
        <v>234</v>
      </c>
      <c r="T234" s="16">
        <f t="shared" si="1"/>
        <v>42997.75972</v>
      </c>
      <c r="U234" s="4" t="b">
        <f t="shared" si="2"/>
        <v>1</v>
      </c>
      <c r="V234" s="4" t="b">
        <f t="shared" si="3"/>
        <v>0</v>
      </c>
      <c r="W234" s="4" t="str">
        <f t="shared" si="8"/>
        <v>Distance/Location</v>
      </c>
      <c r="X234" s="4" t="str">
        <f t="shared" si="4"/>
        <v>mww</v>
      </c>
      <c r="Y234" s="4">
        <f t="shared" si="5"/>
        <v>1</v>
      </c>
      <c r="Z234" s="4" t="str">
        <f t="shared" si="6"/>
        <v>Unique</v>
      </c>
      <c r="AA234" s="4" t="str">
        <f t="shared" si="7"/>
        <v>Valid</v>
      </c>
    </row>
    <row r="235">
      <c r="A235" s="3" t="s">
        <v>680</v>
      </c>
      <c r="B235" s="3">
        <v>8.2</v>
      </c>
      <c r="C235" s="17">
        <v>42956.200694444444</v>
      </c>
      <c r="D235" s="3">
        <v>9.0</v>
      </c>
      <c r="E235" s="3">
        <v>7.0</v>
      </c>
      <c r="F235" s="3" t="s">
        <v>198</v>
      </c>
      <c r="G235" s="3">
        <v>1.0</v>
      </c>
      <c r="H235" s="3">
        <v>2910.0</v>
      </c>
      <c r="I235" s="3" t="s">
        <v>110</v>
      </c>
      <c r="J235" s="3">
        <v>0.0</v>
      </c>
      <c r="K235" s="3">
        <v>0.944</v>
      </c>
      <c r="L235" s="3">
        <v>22.0</v>
      </c>
      <c r="M235" s="3" t="s">
        <v>111</v>
      </c>
      <c r="N235" s="3">
        <v>47.39</v>
      </c>
      <c r="O235" s="3">
        <v>15.0222</v>
      </c>
      <c r="P235" s="3">
        <v>-93.8993</v>
      </c>
      <c r="Q235" s="3" t="s">
        <v>681</v>
      </c>
      <c r="R235" s="4"/>
      <c r="S235" s="4"/>
      <c r="T235" s="16">
        <f t="shared" si="1"/>
        <v>42986.20069</v>
      </c>
      <c r="U235" s="4" t="b">
        <f t="shared" si="2"/>
        <v>1</v>
      </c>
      <c r="V235" s="4" t="b">
        <f t="shared" si="3"/>
        <v>1</v>
      </c>
      <c r="W235" s="4" t="str">
        <f t="shared" si="8"/>
        <v>Named Region</v>
      </c>
      <c r="X235" s="4" t="str">
        <f t="shared" si="4"/>
        <v>mww</v>
      </c>
      <c r="Y235" s="4">
        <f t="shared" si="5"/>
        <v>1</v>
      </c>
      <c r="Z235" s="4" t="str">
        <f t="shared" si="6"/>
        <v>Unique</v>
      </c>
      <c r="AA235" s="4" t="str">
        <f t="shared" si="7"/>
        <v>Valid</v>
      </c>
    </row>
    <row r="236">
      <c r="A236" s="3" t="s">
        <v>682</v>
      </c>
      <c r="B236" s="3">
        <v>6.5</v>
      </c>
      <c r="C236" s="17">
        <v>42955.55486111111</v>
      </c>
      <c r="D236" s="3">
        <v>5.0</v>
      </c>
      <c r="E236" s="3">
        <v>7.0</v>
      </c>
      <c r="F236" s="3" t="s">
        <v>116</v>
      </c>
      <c r="G236" s="3">
        <v>0.0</v>
      </c>
      <c r="H236" s="3">
        <v>707.0</v>
      </c>
      <c r="I236" s="3" t="s">
        <v>110</v>
      </c>
      <c r="J236" s="3">
        <v>0.0</v>
      </c>
      <c r="K236" s="3">
        <v>11.411</v>
      </c>
      <c r="L236" s="3">
        <v>22.0</v>
      </c>
      <c r="M236" s="3" t="s">
        <v>111</v>
      </c>
      <c r="N236" s="3">
        <v>9.0</v>
      </c>
      <c r="O236" s="3">
        <v>33.1926</v>
      </c>
      <c r="P236" s="3">
        <v>103.855</v>
      </c>
      <c r="Q236" s="3" t="s">
        <v>683</v>
      </c>
      <c r="R236" s="3" t="s">
        <v>164</v>
      </c>
      <c r="S236" s="3" t="s">
        <v>251</v>
      </c>
      <c r="T236" s="16">
        <f t="shared" si="1"/>
        <v>42955.55486</v>
      </c>
      <c r="U236" s="4" t="b">
        <f t="shared" si="2"/>
        <v>1</v>
      </c>
      <c r="V236" s="4" t="b">
        <f t="shared" si="3"/>
        <v>1</v>
      </c>
      <c r="W236" s="4" t="str">
        <f t="shared" si="8"/>
        <v>Distance/Location</v>
      </c>
      <c r="X236" s="4" t="str">
        <f t="shared" si="4"/>
        <v>mww</v>
      </c>
      <c r="Y236" s="4">
        <f t="shared" si="5"/>
        <v>1</v>
      </c>
      <c r="Z236" s="4" t="str">
        <f t="shared" si="6"/>
        <v>Unique</v>
      </c>
      <c r="AA236" s="4" t="str">
        <f t="shared" si="7"/>
        <v>Valid</v>
      </c>
    </row>
    <row r="237">
      <c r="A237" s="3" t="s">
        <v>684</v>
      </c>
      <c r="B237" s="3">
        <v>6.6</v>
      </c>
      <c r="C237" s="3" t="s">
        <v>685</v>
      </c>
      <c r="D237" s="3">
        <v>7.0</v>
      </c>
      <c r="E237" s="3">
        <v>7.0</v>
      </c>
      <c r="F237" s="3" t="s">
        <v>116</v>
      </c>
      <c r="G237" s="3">
        <v>0.0</v>
      </c>
      <c r="H237" s="3">
        <v>1064.0</v>
      </c>
      <c r="I237" s="3" t="s">
        <v>110</v>
      </c>
      <c r="J237" s="3">
        <v>0.0</v>
      </c>
      <c r="K237" s="3">
        <v>0.913</v>
      </c>
      <c r="L237" s="3">
        <v>16.0</v>
      </c>
      <c r="M237" s="3" t="s">
        <v>111</v>
      </c>
      <c r="N237" s="3">
        <v>7.0</v>
      </c>
      <c r="O237" s="3">
        <v>36.9293</v>
      </c>
      <c r="P237" s="3">
        <v>27.4139</v>
      </c>
      <c r="Q237" s="3" t="s">
        <v>686</v>
      </c>
      <c r="R237" s="3" t="s">
        <v>164</v>
      </c>
      <c r="S237" s="3" t="s">
        <v>471</v>
      </c>
      <c r="T237" s="16">
        <f t="shared" si="1"/>
        <v>42936.93819</v>
      </c>
      <c r="U237" s="4" t="b">
        <f t="shared" si="2"/>
        <v>1</v>
      </c>
      <c r="V237" s="4" t="b">
        <f t="shared" si="3"/>
        <v>0</v>
      </c>
      <c r="W237" s="4" t="str">
        <f t="shared" si="8"/>
        <v>Distance/Location</v>
      </c>
      <c r="X237" s="4" t="str">
        <f t="shared" si="4"/>
        <v>mww</v>
      </c>
      <c r="Y237" s="4">
        <f t="shared" si="5"/>
        <v>1</v>
      </c>
      <c r="Z237" s="4" t="str">
        <f t="shared" si="6"/>
        <v>Unique</v>
      </c>
      <c r="AA237" s="4" t="str">
        <f t="shared" si="7"/>
        <v>Valid</v>
      </c>
    </row>
    <row r="238">
      <c r="A238" s="3" t="s">
        <v>687</v>
      </c>
      <c r="B238" s="3">
        <v>7.7</v>
      </c>
      <c r="C238" s="3" t="s">
        <v>688</v>
      </c>
      <c r="D238" s="3">
        <v>8.0</v>
      </c>
      <c r="E238" s="3">
        <v>7.0</v>
      </c>
      <c r="F238" s="3" t="s">
        <v>109</v>
      </c>
      <c r="G238" s="3">
        <v>1.0</v>
      </c>
      <c r="H238" s="3">
        <v>918.0</v>
      </c>
      <c r="I238" s="3" t="s">
        <v>110</v>
      </c>
      <c r="J238" s="3">
        <v>0.0</v>
      </c>
      <c r="K238" s="3">
        <v>3.564</v>
      </c>
      <c r="L238" s="3">
        <v>13.0</v>
      </c>
      <c r="M238" s="3" t="s">
        <v>111</v>
      </c>
      <c r="N238" s="3">
        <v>10.0</v>
      </c>
      <c r="O238" s="3">
        <v>54.4434</v>
      </c>
      <c r="P238" s="3">
        <v>168.857</v>
      </c>
      <c r="Q238" s="3" t="s">
        <v>689</v>
      </c>
      <c r="R238" s="4"/>
      <c r="S238" s="4"/>
      <c r="T238" s="16">
        <f t="shared" si="1"/>
        <v>42933.98194</v>
      </c>
      <c r="U238" s="4" t="b">
        <f t="shared" si="2"/>
        <v>1</v>
      </c>
      <c r="V238" s="4" t="b">
        <f t="shared" si="3"/>
        <v>0</v>
      </c>
      <c r="W238" s="4" t="str">
        <f t="shared" si="8"/>
        <v>Named Region</v>
      </c>
      <c r="X238" s="4" t="str">
        <f t="shared" si="4"/>
        <v>mww</v>
      </c>
      <c r="Y238" s="4">
        <f t="shared" si="5"/>
        <v>1</v>
      </c>
      <c r="Z238" s="4" t="str">
        <f t="shared" si="6"/>
        <v>Unique</v>
      </c>
      <c r="AA238" s="4" t="str">
        <f t="shared" si="7"/>
        <v>Valid</v>
      </c>
    </row>
    <row r="239">
      <c r="A239" s="3" t="s">
        <v>690</v>
      </c>
      <c r="B239" s="3">
        <v>6.6</v>
      </c>
      <c r="C239" s="17">
        <v>43046.291666666664</v>
      </c>
      <c r="D239" s="3">
        <v>5.0</v>
      </c>
      <c r="E239" s="3">
        <v>4.0</v>
      </c>
      <c r="F239" s="3" t="s">
        <v>109</v>
      </c>
      <c r="G239" s="3">
        <v>1.0</v>
      </c>
      <c r="H239" s="3">
        <v>704.0</v>
      </c>
      <c r="I239" s="3" t="s">
        <v>110</v>
      </c>
      <c r="J239" s="3">
        <v>0.0</v>
      </c>
      <c r="K239" s="3">
        <v>3.773</v>
      </c>
      <c r="L239" s="3">
        <v>37.0</v>
      </c>
      <c r="M239" s="3" t="s">
        <v>111</v>
      </c>
      <c r="N239" s="3">
        <v>10.0</v>
      </c>
      <c r="O239" s="3">
        <v>-49.4837</v>
      </c>
      <c r="P239" s="3">
        <v>164.016</v>
      </c>
      <c r="Q239" s="3" t="s">
        <v>691</v>
      </c>
      <c r="R239" s="4"/>
      <c r="S239" s="4"/>
      <c r="T239" s="16">
        <f t="shared" si="1"/>
        <v>42927.29167</v>
      </c>
      <c r="U239" s="4" t="b">
        <f t="shared" si="2"/>
        <v>1</v>
      </c>
      <c r="V239" s="4" t="b">
        <f t="shared" si="3"/>
        <v>1</v>
      </c>
      <c r="W239" s="4" t="str">
        <f t="shared" si="8"/>
        <v>Named Region</v>
      </c>
      <c r="X239" s="4" t="str">
        <f t="shared" si="4"/>
        <v>mww</v>
      </c>
      <c r="Y239" s="4">
        <f t="shared" si="5"/>
        <v>1</v>
      </c>
      <c r="Z239" s="4" t="str">
        <f t="shared" si="6"/>
        <v>Unique</v>
      </c>
      <c r="AA239" s="4" t="str">
        <f t="shared" si="7"/>
        <v>Valid</v>
      </c>
    </row>
    <row r="240">
      <c r="A240" s="3" t="s">
        <v>692</v>
      </c>
      <c r="B240" s="3">
        <v>6.5</v>
      </c>
      <c r="C240" s="17">
        <v>42893.33541666667</v>
      </c>
      <c r="D240" s="3">
        <v>9.0</v>
      </c>
      <c r="E240" s="3">
        <v>8.0</v>
      </c>
      <c r="F240" s="3" t="s">
        <v>116</v>
      </c>
      <c r="G240" s="3">
        <v>1.0</v>
      </c>
      <c r="H240" s="3">
        <v>740.0</v>
      </c>
      <c r="I240" s="3" t="s">
        <v>110</v>
      </c>
      <c r="J240" s="3">
        <v>0.0</v>
      </c>
      <c r="K240" s="3">
        <v>4.139</v>
      </c>
      <c r="L240" s="3">
        <v>30.0</v>
      </c>
      <c r="M240" s="3" t="s">
        <v>111</v>
      </c>
      <c r="N240" s="3">
        <v>9.0</v>
      </c>
      <c r="O240" s="3">
        <v>11.1269</v>
      </c>
      <c r="P240" s="3">
        <v>124.629</v>
      </c>
      <c r="Q240" s="3" t="s">
        <v>693</v>
      </c>
      <c r="R240" s="4"/>
      <c r="S240" s="3" t="s">
        <v>258</v>
      </c>
      <c r="T240" s="16">
        <f t="shared" si="1"/>
        <v>42922.33542</v>
      </c>
      <c r="U240" s="4" t="b">
        <f t="shared" si="2"/>
        <v>1</v>
      </c>
      <c r="V240" s="4" t="b">
        <f t="shared" si="3"/>
        <v>1</v>
      </c>
      <c r="W240" s="4" t="str">
        <f t="shared" si="8"/>
        <v>Distance/Location</v>
      </c>
      <c r="X240" s="4" t="str">
        <f t="shared" si="4"/>
        <v>mww</v>
      </c>
      <c r="Y240" s="4">
        <f t="shared" si="5"/>
        <v>1</v>
      </c>
      <c r="Z240" s="4" t="str">
        <f t="shared" si="6"/>
        <v>Unique</v>
      </c>
      <c r="AA240" s="4" t="str">
        <f t="shared" si="7"/>
        <v>Valid</v>
      </c>
    </row>
    <row r="241">
      <c r="A241" s="3" t="s">
        <v>694</v>
      </c>
      <c r="B241" s="3">
        <v>6.8</v>
      </c>
      <c r="C241" s="3" t="s">
        <v>695</v>
      </c>
      <c r="D241" s="3">
        <v>6.0</v>
      </c>
      <c r="E241" s="3">
        <v>6.0</v>
      </c>
      <c r="F241" s="3" t="s">
        <v>116</v>
      </c>
      <c r="G241" s="3">
        <v>1.0</v>
      </c>
      <c r="H241" s="3">
        <v>1034.0</v>
      </c>
      <c r="I241" s="3" t="s">
        <v>110</v>
      </c>
      <c r="J241" s="3">
        <v>0.0</v>
      </c>
      <c r="K241" s="3">
        <v>1.065</v>
      </c>
      <c r="L241" s="3">
        <v>38.0</v>
      </c>
      <c r="M241" s="3" t="s">
        <v>111</v>
      </c>
      <c r="N241" s="3">
        <v>38.12</v>
      </c>
      <c r="O241" s="3">
        <v>13.7174</v>
      </c>
      <c r="P241" s="3">
        <v>-90.9718</v>
      </c>
      <c r="Q241" s="3" t="s">
        <v>696</v>
      </c>
      <c r="R241" s="4"/>
      <c r="S241" s="4"/>
      <c r="T241" s="16">
        <f t="shared" si="1"/>
        <v>42908.52153</v>
      </c>
      <c r="U241" s="4" t="b">
        <f t="shared" si="2"/>
        <v>1</v>
      </c>
      <c r="V241" s="4" t="b">
        <f t="shared" si="3"/>
        <v>0</v>
      </c>
      <c r="W241" s="4" t="str">
        <f t="shared" si="8"/>
        <v>Distance/Location</v>
      </c>
      <c r="X241" s="4" t="str">
        <f t="shared" si="4"/>
        <v>mww</v>
      </c>
      <c r="Y241" s="4">
        <f t="shared" si="5"/>
        <v>1</v>
      </c>
      <c r="Z241" s="4" t="str">
        <f t="shared" si="6"/>
        <v>Unique</v>
      </c>
      <c r="AA241" s="4" t="str">
        <f t="shared" si="7"/>
        <v>Valid</v>
      </c>
    </row>
    <row r="242">
      <c r="A242" s="3" t="s">
        <v>697</v>
      </c>
      <c r="B242" s="3">
        <v>6.9</v>
      </c>
      <c r="C242" s="3" t="s">
        <v>698</v>
      </c>
      <c r="D242" s="3">
        <v>8.0</v>
      </c>
      <c r="E242" s="3">
        <v>6.0</v>
      </c>
      <c r="F242" s="3" t="s">
        <v>116</v>
      </c>
      <c r="G242" s="3">
        <v>1.0</v>
      </c>
      <c r="H242" s="3">
        <v>1188.0</v>
      </c>
      <c r="I242" s="3" t="s">
        <v>110</v>
      </c>
      <c r="J242" s="3">
        <v>0.0</v>
      </c>
      <c r="K242" s="3">
        <v>0.247</v>
      </c>
      <c r="L242" s="3">
        <v>35.0</v>
      </c>
      <c r="M242" s="3" t="s">
        <v>111</v>
      </c>
      <c r="N242" s="3">
        <v>93.0</v>
      </c>
      <c r="O242" s="3">
        <v>14.9091</v>
      </c>
      <c r="P242" s="3">
        <v>-92.0092</v>
      </c>
      <c r="Q242" s="3" t="s">
        <v>699</v>
      </c>
      <c r="R242" s="4"/>
      <c r="S242" s="3" t="s">
        <v>700</v>
      </c>
      <c r="T242" s="16">
        <f t="shared" si="1"/>
        <v>42900.31181</v>
      </c>
      <c r="U242" s="4" t="b">
        <f t="shared" si="2"/>
        <v>1</v>
      </c>
      <c r="V242" s="4" t="b">
        <f t="shared" si="3"/>
        <v>0</v>
      </c>
      <c r="W242" s="4" t="str">
        <f t="shared" si="8"/>
        <v>Distance/Location</v>
      </c>
      <c r="X242" s="4" t="str">
        <f t="shared" si="4"/>
        <v>mww</v>
      </c>
      <c r="Y242" s="4">
        <f t="shared" si="5"/>
        <v>1</v>
      </c>
      <c r="Z242" s="4" t="str">
        <f t="shared" si="6"/>
        <v>Unique</v>
      </c>
      <c r="AA242" s="4" t="str">
        <f t="shared" si="7"/>
        <v>Valid</v>
      </c>
    </row>
    <row r="243">
      <c r="A243" s="3" t="s">
        <v>701</v>
      </c>
      <c r="B243" s="3">
        <v>6.8</v>
      </c>
      <c r="C243" s="17">
        <v>42772.933333333334</v>
      </c>
      <c r="D243" s="3">
        <v>0.0</v>
      </c>
      <c r="E243" s="3">
        <v>4.0</v>
      </c>
      <c r="F243" s="3" t="s">
        <v>109</v>
      </c>
      <c r="G243" s="3">
        <v>1.0</v>
      </c>
      <c r="H243" s="3">
        <v>711.0</v>
      </c>
      <c r="I243" s="3" t="s">
        <v>110</v>
      </c>
      <c r="J243" s="3">
        <v>0.0</v>
      </c>
      <c r="K243" s="3">
        <v>2.308</v>
      </c>
      <c r="L243" s="3">
        <v>12.0</v>
      </c>
      <c r="M243" s="3" t="s">
        <v>111</v>
      </c>
      <c r="N243" s="3">
        <v>5.0</v>
      </c>
      <c r="O243" s="3">
        <v>54.0312</v>
      </c>
      <c r="P243" s="3">
        <v>170.92</v>
      </c>
      <c r="Q243" s="3" t="s">
        <v>676</v>
      </c>
      <c r="R243" s="4"/>
      <c r="S243" s="4"/>
      <c r="T243" s="16">
        <f t="shared" si="1"/>
        <v>42888.93333</v>
      </c>
      <c r="U243" s="4" t="b">
        <f t="shared" si="2"/>
        <v>1</v>
      </c>
      <c r="V243" s="4" t="b">
        <f t="shared" si="3"/>
        <v>1</v>
      </c>
      <c r="W243" s="4" t="str">
        <f t="shared" si="8"/>
        <v>Distance/Location</v>
      </c>
      <c r="X243" s="4" t="str">
        <f t="shared" si="4"/>
        <v>mww</v>
      </c>
      <c r="Y243" s="4">
        <f t="shared" si="5"/>
        <v>1</v>
      </c>
      <c r="Z243" s="4" t="str">
        <f t="shared" si="6"/>
        <v>Unique</v>
      </c>
      <c r="AA243" s="4" t="str">
        <f t="shared" si="7"/>
        <v>Valid</v>
      </c>
    </row>
    <row r="244">
      <c r="A244" s="3" t="s">
        <v>702</v>
      </c>
      <c r="B244" s="3">
        <v>6.6</v>
      </c>
      <c r="C244" s="3" t="s">
        <v>703</v>
      </c>
      <c r="D244" s="3">
        <v>7.0</v>
      </c>
      <c r="E244" s="3">
        <v>7.0</v>
      </c>
      <c r="F244" s="3" t="s">
        <v>109</v>
      </c>
      <c r="G244" s="3">
        <v>0.0</v>
      </c>
      <c r="H244" s="3">
        <v>678.0</v>
      </c>
      <c r="I244" s="3" t="s">
        <v>110</v>
      </c>
      <c r="J244" s="3">
        <v>0.0</v>
      </c>
      <c r="K244" s="3">
        <v>2.353</v>
      </c>
      <c r="L244" s="3">
        <v>18.0</v>
      </c>
      <c r="M244" s="3" t="s">
        <v>111</v>
      </c>
      <c r="N244" s="3">
        <v>12.0</v>
      </c>
      <c r="O244" s="3">
        <v>-1.2923</v>
      </c>
      <c r="P244" s="3">
        <v>120.431</v>
      </c>
      <c r="Q244" s="3" t="s">
        <v>704</v>
      </c>
      <c r="R244" s="4"/>
      <c r="S244" s="3" t="s">
        <v>153</v>
      </c>
      <c r="T244" s="16">
        <f t="shared" si="1"/>
        <v>42884.60764</v>
      </c>
      <c r="U244" s="4" t="b">
        <f t="shared" si="2"/>
        <v>1</v>
      </c>
      <c r="V244" s="4" t="b">
        <f t="shared" si="3"/>
        <v>0</v>
      </c>
      <c r="W244" s="4" t="str">
        <f t="shared" si="8"/>
        <v>Distance/Location</v>
      </c>
      <c r="X244" s="4" t="str">
        <f t="shared" si="4"/>
        <v>mww</v>
      </c>
      <c r="Y244" s="4">
        <f t="shared" si="5"/>
        <v>1</v>
      </c>
      <c r="Z244" s="4" t="str">
        <f t="shared" si="6"/>
        <v>Unique</v>
      </c>
      <c r="AA244" s="4" t="str">
        <f t="shared" si="7"/>
        <v>Valid</v>
      </c>
    </row>
    <row r="245">
      <c r="A245" s="3" t="s">
        <v>705</v>
      </c>
      <c r="B245" s="3">
        <v>6.5</v>
      </c>
      <c r="C245" s="17">
        <v>43013.97430555556</v>
      </c>
      <c r="D245" s="3">
        <v>0.0</v>
      </c>
      <c r="E245" s="3">
        <v>4.0</v>
      </c>
      <c r="F245" s="3" t="s">
        <v>109</v>
      </c>
      <c r="G245" s="3">
        <v>1.0</v>
      </c>
      <c r="H245" s="3">
        <v>650.0</v>
      </c>
      <c r="I245" s="3" t="s">
        <v>110</v>
      </c>
      <c r="J245" s="3">
        <v>0.0</v>
      </c>
      <c r="K245" s="3">
        <v>6.489</v>
      </c>
      <c r="L245" s="3">
        <v>17.0</v>
      </c>
      <c r="M245" s="3" t="s">
        <v>111</v>
      </c>
      <c r="N245" s="3">
        <v>15.0</v>
      </c>
      <c r="O245" s="3">
        <v>-56.414</v>
      </c>
      <c r="P245" s="3">
        <v>-25.7432</v>
      </c>
      <c r="Q245" s="3" t="s">
        <v>329</v>
      </c>
      <c r="R245" s="4"/>
      <c r="S245" s="4"/>
      <c r="T245" s="16">
        <f t="shared" si="1"/>
        <v>42865.97431</v>
      </c>
      <c r="U245" s="4" t="b">
        <f t="shared" si="2"/>
        <v>1</v>
      </c>
      <c r="V245" s="4" t="b">
        <f t="shared" si="3"/>
        <v>1</v>
      </c>
      <c r="W245" s="4" t="str">
        <f t="shared" si="8"/>
        <v>Named Region</v>
      </c>
      <c r="X245" s="4" t="str">
        <f t="shared" si="4"/>
        <v>mww</v>
      </c>
      <c r="Y245" s="4">
        <f t="shared" si="5"/>
        <v>1</v>
      </c>
      <c r="Z245" s="4" t="str">
        <f t="shared" si="6"/>
        <v>Unique</v>
      </c>
      <c r="AA245" s="4" t="str">
        <f t="shared" si="7"/>
        <v>Valid</v>
      </c>
    </row>
    <row r="246">
      <c r="A246" s="3" t="s">
        <v>706</v>
      </c>
      <c r="B246" s="3">
        <v>6.8</v>
      </c>
      <c r="C246" s="17">
        <v>42983.57777777778</v>
      </c>
      <c r="D246" s="3">
        <v>6.0</v>
      </c>
      <c r="E246" s="3">
        <v>5.0</v>
      </c>
      <c r="F246" s="3" t="s">
        <v>109</v>
      </c>
      <c r="G246" s="3">
        <v>1.0</v>
      </c>
      <c r="H246" s="3">
        <v>713.0</v>
      </c>
      <c r="I246" s="3" t="s">
        <v>110</v>
      </c>
      <c r="J246" s="3">
        <v>0.0</v>
      </c>
      <c r="K246" s="3">
        <v>7.495</v>
      </c>
      <c r="L246" s="3">
        <v>19.0</v>
      </c>
      <c r="M246" s="3" t="s">
        <v>111</v>
      </c>
      <c r="N246" s="3">
        <v>169.0</v>
      </c>
      <c r="O246" s="3">
        <v>-14.5884</v>
      </c>
      <c r="P246" s="3">
        <v>167.377</v>
      </c>
      <c r="Q246" s="3" t="s">
        <v>185</v>
      </c>
      <c r="R246" s="4"/>
      <c r="S246" s="3" t="s">
        <v>113</v>
      </c>
      <c r="T246" s="16">
        <f t="shared" si="1"/>
        <v>42864.57778</v>
      </c>
      <c r="U246" s="4" t="b">
        <f t="shared" si="2"/>
        <v>1</v>
      </c>
      <c r="V246" s="4" t="b">
        <f t="shared" si="3"/>
        <v>1</v>
      </c>
      <c r="W246" s="4" t="str">
        <f t="shared" si="8"/>
        <v>Distance/Location</v>
      </c>
      <c r="X246" s="4" t="str">
        <f t="shared" si="4"/>
        <v>mww</v>
      </c>
      <c r="Y246" s="4">
        <f t="shared" si="5"/>
        <v>1</v>
      </c>
      <c r="Z246" s="4" t="str">
        <f t="shared" si="6"/>
        <v>Unique</v>
      </c>
      <c r="AA246" s="4" t="str">
        <f t="shared" si="7"/>
        <v>Valid</v>
      </c>
    </row>
    <row r="247">
      <c r="A247" s="3" t="s">
        <v>707</v>
      </c>
      <c r="B247" s="3">
        <v>6.9</v>
      </c>
      <c r="C247" s="3" t="s">
        <v>708</v>
      </c>
      <c r="D247" s="3">
        <v>9.0</v>
      </c>
      <c r="E247" s="3">
        <v>6.0</v>
      </c>
      <c r="F247" s="3" t="s">
        <v>109</v>
      </c>
      <c r="G247" s="3">
        <v>1.0</v>
      </c>
      <c r="H247" s="3">
        <v>814.0</v>
      </c>
      <c r="I247" s="3" t="s">
        <v>110</v>
      </c>
      <c r="J247" s="3">
        <v>0.0</v>
      </c>
      <c r="K247" s="3">
        <v>1.636</v>
      </c>
      <c r="L247" s="3">
        <v>14.0</v>
      </c>
      <c r="M247" s="3" t="s">
        <v>111</v>
      </c>
      <c r="N247" s="3">
        <v>26.0</v>
      </c>
      <c r="O247" s="3">
        <v>5.5043</v>
      </c>
      <c r="P247" s="3">
        <v>125.066</v>
      </c>
      <c r="Q247" s="3" t="s">
        <v>709</v>
      </c>
      <c r="R247" s="4"/>
      <c r="S247" s="3" t="s">
        <v>258</v>
      </c>
      <c r="T247" s="16">
        <f t="shared" si="1"/>
        <v>42853.84931</v>
      </c>
      <c r="U247" s="4" t="b">
        <f t="shared" si="2"/>
        <v>1</v>
      </c>
      <c r="V247" s="4" t="b">
        <f t="shared" si="3"/>
        <v>0</v>
      </c>
      <c r="W247" s="4" t="str">
        <f t="shared" si="8"/>
        <v>Distance/Location</v>
      </c>
      <c r="X247" s="4" t="str">
        <f t="shared" si="4"/>
        <v>mww</v>
      </c>
      <c r="Y247" s="4">
        <f t="shared" si="5"/>
        <v>1</v>
      </c>
      <c r="Z247" s="4" t="str">
        <f t="shared" si="6"/>
        <v>Unique</v>
      </c>
      <c r="AA247" s="4" t="str">
        <f t="shared" si="7"/>
        <v>Valid</v>
      </c>
    </row>
    <row r="248">
      <c r="A248" s="3" t="s">
        <v>710</v>
      </c>
      <c r="B248" s="3">
        <v>6.9</v>
      </c>
      <c r="C248" s="3" t="s">
        <v>711</v>
      </c>
      <c r="D248" s="3">
        <v>9.0</v>
      </c>
      <c r="E248" s="3">
        <v>7.0</v>
      </c>
      <c r="F248" s="3" t="s">
        <v>116</v>
      </c>
      <c r="G248" s="3">
        <v>1.0</v>
      </c>
      <c r="H248" s="3">
        <v>1642.0</v>
      </c>
      <c r="I248" s="3" t="s">
        <v>110</v>
      </c>
      <c r="J248" s="3">
        <v>0.0</v>
      </c>
      <c r="K248" s="3">
        <v>0.356</v>
      </c>
      <c r="L248" s="3">
        <v>39.0</v>
      </c>
      <c r="M248" s="3" t="s">
        <v>111</v>
      </c>
      <c r="N248" s="3">
        <v>28.0</v>
      </c>
      <c r="O248" s="3">
        <v>-33.0375</v>
      </c>
      <c r="P248" s="3">
        <v>-72.0617</v>
      </c>
      <c r="Q248" s="3" t="s">
        <v>712</v>
      </c>
      <c r="R248" s="4"/>
      <c r="S248" s="4"/>
      <c r="T248" s="16">
        <f t="shared" si="1"/>
        <v>42849.90139</v>
      </c>
      <c r="U248" s="4" t="b">
        <f t="shared" si="2"/>
        <v>1</v>
      </c>
      <c r="V248" s="4" t="b">
        <f t="shared" si="3"/>
        <v>0</v>
      </c>
      <c r="W248" s="4" t="str">
        <f t="shared" si="8"/>
        <v>Distance/Location</v>
      </c>
      <c r="X248" s="4" t="str">
        <f t="shared" si="4"/>
        <v>mww</v>
      </c>
      <c r="Y248" s="4">
        <f t="shared" si="5"/>
        <v>1</v>
      </c>
      <c r="Z248" s="4" t="str">
        <f t="shared" si="6"/>
        <v>Unique</v>
      </c>
      <c r="AA248" s="4" t="str">
        <f t="shared" si="7"/>
        <v>Valid</v>
      </c>
    </row>
    <row r="249">
      <c r="A249" s="3" t="s">
        <v>713</v>
      </c>
      <c r="B249" s="3">
        <v>6.5</v>
      </c>
      <c r="C249" s="17">
        <v>42798.73611111111</v>
      </c>
      <c r="D249" s="3">
        <v>7.0</v>
      </c>
      <c r="E249" s="3">
        <v>8.0</v>
      </c>
      <c r="F249" s="3" t="s">
        <v>109</v>
      </c>
      <c r="G249" s="3">
        <v>0.0</v>
      </c>
      <c r="H249" s="3">
        <v>1297.0</v>
      </c>
      <c r="I249" s="3" t="s">
        <v>110</v>
      </c>
      <c r="J249" s="3">
        <v>0.0</v>
      </c>
      <c r="K249" s="3">
        <v>2.36</v>
      </c>
      <c r="L249" s="3">
        <v>15.0</v>
      </c>
      <c r="M249" s="3" t="s">
        <v>111</v>
      </c>
      <c r="N249" s="3">
        <v>29.0</v>
      </c>
      <c r="O249" s="3">
        <v>-22.6784</v>
      </c>
      <c r="P249" s="3">
        <v>25.1558</v>
      </c>
      <c r="Q249" s="3" t="s">
        <v>714</v>
      </c>
      <c r="R249" s="3" t="s">
        <v>715</v>
      </c>
      <c r="S249" s="3" t="s">
        <v>716</v>
      </c>
      <c r="T249" s="16">
        <f t="shared" si="1"/>
        <v>42828.73611</v>
      </c>
      <c r="U249" s="4" t="b">
        <f t="shared" si="2"/>
        <v>1</v>
      </c>
      <c r="V249" s="4" t="b">
        <f t="shared" si="3"/>
        <v>1</v>
      </c>
      <c r="W249" s="4" t="str">
        <f t="shared" si="8"/>
        <v>Distance/Location</v>
      </c>
      <c r="X249" s="4" t="str">
        <f t="shared" si="4"/>
        <v>mww</v>
      </c>
      <c r="Y249" s="4">
        <f t="shared" si="5"/>
        <v>1</v>
      </c>
      <c r="Z249" s="4" t="str">
        <f t="shared" si="6"/>
        <v>Unique</v>
      </c>
      <c r="AA249" s="4" t="str">
        <f t="shared" si="7"/>
        <v>Valid</v>
      </c>
    </row>
    <row r="250">
      <c r="A250" s="3" t="s">
        <v>717</v>
      </c>
      <c r="B250" s="3">
        <v>6.6</v>
      </c>
      <c r="C250" s="3" t="s">
        <v>718</v>
      </c>
      <c r="D250" s="3">
        <v>6.0</v>
      </c>
      <c r="E250" s="3">
        <v>7.0</v>
      </c>
      <c r="F250" s="3" t="s">
        <v>116</v>
      </c>
      <c r="G250" s="3">
        <v>1.0</v>
      </c>
      <c r="H250" s="3">
        <v>671.0</v>
      </c>
      <c r="I250" s="3" t="s">
        <v>110</v>
      </c>
      <c r="J250" s="3">
        <v>0.0</v>
      </c>
      <c r="K250" s="3">
        <v>4.591</v>
      </c>
      <c r="L250" s="3">
        <v>14.0</v>
      </c>
      <c r="M250" s="3" t="s">
        <v>111</v>
      </c>
      <c r="N250" s="3">
        <v>17.0</v>
      </c>
      <c r="O250" s="3">
        <v>56.9401</v>
      </c>
      <c r="P250" s="3">
        <v>162.786</v>
      </c>
      <c r="Q250" s="3" t="s">
        <v>383</v>
      </c>
      <c r="R250" s="3" t="s">
        <v>164</v>
      </c>
      <c r="S250" s="3" t="s">
        <v>464</v>
      </c>
      <c r="T250" s="16">
        <f t="shared" si="1"/>
        <v>42823.17292</v>
      </c>
      <c r="U250" s="4" t="b">
        <f t="shared" si="2"/>
        <v>1</v>
      </c>
      <c r="V250" s="4" t="b">
        <f t="shared" si="3"/>
        <v>0</v>
      </c>
      <c r="W250" s="4" t="str">
        <f t="shared" si="8"/>
        <v>Distance/Location</v>
      </c>
      <c r="X250" s="4" t="str">
        <f t="shared" si="4"/>
        <v>mww</v>
      </c>
      <c r="Y250" s="4">
        <f t="shared" si="5"/>
        <v>1</v>
      </c>
      <c r="Z250" s="4" t="str">
        <f t="shared" si="6"/>
        <v>Unique</v>
      </c>
      <c r="AA250" s="4" t="str">
        <f t="shared" si="7"/>
        <v>Valid</v>
      </c>
    </row>
    <row r="251">
      <c r="A251" s="3" t="s">
        <v>719</v>
      </c>
      <c r="B251" s="3">
        <v>6.9</v>
      </c>
      <c r="C251" s="3" t="s">
        <v>720</v>
      </c>
      <c r="D251" s="3">
        <v>2.0</v>
      </c>
      <c r="E251" s="3">
        <v>3.0</v>
      </c>
      <c r="F251" s="3" t="s">
        <v>109</v>
      </c>
      <c r="G251" s="3">
        <v>1.0</v>
      </c>
      <c r="H251" s="3">
        <v>733.0</v>
      </c>
      <c r="I251" s="3" t="s">
        <v>110</v>
      </c>
      <c r="J251" s="3">
        <v>0.0</v>
      </c>
      <c r="K251" s="3">
        <v>6.012</v>
      </c>
      <c r="L251" s="3">
        <v>19.0</v>
      </c>
      <c r="M251" s="3" t="s">
        <v>111</v>
      </c>
      <c r="N251" s="3">
        <v>414.5</v>
      </c>
      <c r="O251" s="3">
        <v>-23.2593</v>
      </c>
      <c r="P251" s="3">
        <v>-178.804</v>
      </c>
      <c r="Q251" s="3" t="s">
        <v>136</v>
      </c>
      <c r="R251" s="4"/>
      <c r="S251" s="4"/>
      <c r="T251" s="16">
        <f t="shared" si="1"/>
        <v>42790.72778</v>
      </c>
      <c r="U251" s="4" t="b">
        <f t="shared" si="2"/>
        <v>1</v>
      </c>
      <c r="V251" s="4" t="b">
        <f t="shared" si="3"/>
        <v>0</v>
      </c>
      <c r="W251" s="4" t="str">
        <f t="shared" si="8"/>
        <v>Named Region</v>
      </c>
      <c r="X251" s="4" t="str">
        <f t="shared" si="4"/>
        <v>mww</v>
      </c>
      <c r="Y251" s="4">
        <f t="shared" si="5"/>
        <v>1</v>
      </c>
      <c r="Z251" s="4" t="str">
        <f t="shared" si="6"/>
        <v>Unique</v>
      </c>
      <c r="AA251" s="4" t="str">
        <f t="shared" si="7"/>
        <v>Valid</v>
      </c>
    </row>
    <row r="252">
      <c r="A252" s="3" t="s">
        <v>721</v>
      </c>
      <c r="B252" s="3">
        <v>6.5</v>
      </c>
      <c r="C252" s="3" t="s">
        <v>722</v>
      </c>
      <c r="D252" s="3">
        <v>3.0</v>
      </c>
      <c r="E252" s="3">
        <v>3.0</v>
      </c>
      <c r="F252" s="3" t="s">
        <v>109</v>
      </c>
      <c r="G252" s="3">
        <v>0.0</v>
      </c>
      <c r="H252" s="3">
        <v>653.0</v>
      </c>
      <c r="I252" s="3" t="s">
        <v>110</v>
      </c>
      <c r="J252" s="3">
        <v>0.0</v>
      </c>
      <c r="K252" s="3">
        <v>4.242</v>
      </c>
      <c r="L252" s="3">
        <v>14.0</v>
      </c>
      <c r="M252" s="3" t="s">
        <v>111</v>
      </c>
      <c r="N252" s="3">
        <v>595.98</v>
      </c>
      <c r="O252" s="3">
        <v>-19.2814</v>
      </c>
      <c r="P252" s="3">
        <v>-63.9047</v>
      </c>
      <c r="Q252" s="3" t="s">
        <v>723</v>
      </c>
      <c r="R252" s="3" t="s">
        <v>121</v>
      </c>
      <c r="S252" s="3" t="s">
        <v>627</v>
      </c>
      <c r="T252" s="16">
        <f t="shared" si="1"/>
        <v>42787.58958</v>
      </c>
      <c r="U252" s="4" t="b">
        <f t="shared" si="2"/>
        <v>1</v>
      </c>
      <c r="V252" s="4" t="b">
        <f t="shared" si="3"/>
        <v>0</v>
      </c>
      <c r="W252" s="4" t="str">
        <f t="shared" si="8"/>
        <v>Distance/Location</v>
      </c>
      <c r="X252" s="4" t="str">
        <f t="shared" si="4"/>
        <v>mww</v>
      </c>
      <c r="Y252" s="4">
        <f t="shared" si="5"/>
        <v>1</v>
      </c>
      <c r="Z252" s="4" t="str">
        <f t="shared" si="6"/>
        <v>Unique</v>
      </c>
      <c r="AA252" s="4" t="str">
        <f t="shared" si="7"/>
        <v>Valid</v>
      </c>
    </row>
    <row r="253">
      <c r="A253" s="3" t="s">
        <v>724</v>
      </c>
      <c r="B253" s="3">
        <v>6.5</v>
      </c>
      <c r="C253" s="17">
        <v>43010.58541666667</v>
      </c>
      <c r="D253" s="3">
        <v>8.0</v>
      </c>
      <c r="E253" s="3">
        <v>7.0</v>
      </c>
      <c r="F253" s="3" t="s">
        <v>116</v>
      </c>
      <c r="G253" s="3">
        <v>1.0</v>
      </c>
      <c r="H253" s="3">
        <v>718.0</v>
      </c>
      <c r="I253" s="3" t="s">
        <v>110</v>
      </c>
      <c r="J253" s="3">
        <v>0.0</v>
      </c>
      <c r="K253" s="3">
        <v>2.822</v>
      </c>
      <c r="L253" s="3">
        <v>36.0</v>
      </c>
      <c r="M253" s="3" t="s">
        <v>111</v>
      </c>
      <c r="N253" s="3">
        <v>15.0</v>
      </c>
      <c r="O253" s="3">
        <v>9.9071</v>
      </c>
      <c r="P253" s="3">
        <v>125.452</v>
      </c>
      <c r="Q253" s="3" t="s">
        <v>725</v>
      </c>
      <c r="R253" s="4"/>
      <c r="S253" s="3" t="s">
        <v>258</v>
      </c>
      <c r="T253" s="16">
        <f t="shared" si="1"/>
        <v>42776.58542</v>
      </c>
      <c r="U253" s="4" t="b">
        <f t="shared" si="2"/>
        <v>1</v>
      </c>
      <c r="V253" s="4" t="b">
        <f t="shared" si="3"/>
        <v>1</v>
      </c>
      <c r="W253" s="4" t="str">
        <f t="shared" si="8"/>
        <v>Distance/Location</v>
      </c>
      <c r="X253" s="4" t="str">
        <f t="shared" si="4"/>
        <v>mww</v>
      </c>
      <c r="Y253" s="4">
        <f t="shared" si="5"/>
        <v>1</v>
      </c>
      <c r="Z253" s="4" t="str">
        <f t="shared" si="6"/>
        <v>Unique</v>
      </c>
      <c r="AA253" s="4" t="str">
        <f t="shared" si="7"/>
        <v>Valid</v>
      </c>
    </row>
    <row r="254">
      <c r="A254" s="3" t="s">
        <v>726</v>
      </c>
      <c r="B254" s="3">
        <v>7.9</v>
      </c>
      <c r="C254" s="3" t="s">
        <v>727</v>
      </c>
      <c r="D254" s="3">
        <v>9.0</v>
      </c>
      <c r="E254" s="3">
        <v>7.0</v>
      </c>
      <c r="F254" s="3" t="s">
        <v>116</v>
      </c>
      <c r="G254" s="3">
        <v>1.0</v>
      </c>
      <c r="H254" s="3">
        <v>987.0</v>
      </c>
      <c r="I254" s="3" t="s">
        <v>110</v>
      </c>
      <c r="J254" s="3">
        <v>0.0</v>
      </c>
      <c r="K254" s="3">
        <v>3.625</v>
      </c>
      <c r="L254" s="3">
        <v>9.0</v>
      </c>
      <c r="M254" s="3" t="s">
        <v>111</v>
      </c>
      <c r="N254" s="3">
        <v>135.0</v>
      </c>
      <c r="O254" s="3">
        <v>-6.2464</v>
      </c>
      <c r="P254" s="3">
        <v>155.172</v>
      </c>
      <c r="Q254" s="3" t="s">
        <v>728</v>
      </c>
      <c r="R254" s="4"/>
      <c r="S254" s="3" t="s">
        <v>168</v>
      </c>
      <c r="T254" s="16">
        <f t="shared" si="1"/>
        <v>42757.1875</v>
      </c>
      <c r="U254" s="4" t="b">
        <f t="shared" si="2"/>
        <v>1</v>
      </c>
      <c r="V254" s="4" t="b">
        <f t="shared" si="3"/>
        <v>0</v>
      </c>
      <c r="W254" s="4" t="str">
        <f t="shared" si="8"/>
        <v>Distance/Location</v>
      </c>
      <c r="X254" s="4" t="str">
        <f t="shared" si="4"/>
        <v>mww</v>
      </c>
      <c r="Y254" s="4">
        <f t="shared" si="5"/>
        <v>1</v>
      </c>
      <c r="Z254" s="4" t="str">
        <f t="shared" si="6"/>
        <v>Unique</v>
      </c>
      <c r="AA254" s="4" t="str">
        <f t="shared" si="7"/>
        <v>Valid</v>
      </c>
    </row>
    <row r="255">
      <c r="A255" s="3" t="s">
        <v>729</v>
      </c>
      <c r="B255" s="3">
        <v>6.5</v>
      </c>
      <c r="C255" s="3" t="s">
        <v>730</v>
      </c>
      <c r="D255" s="3">
        <v>6.0</v>
      </c>
      <c r="E255" s="3">
        <v>6.0</v>
      </c>
      <c r="F255" s="3" t="s">
        <v>109</v>
      </c>
      <c r="G255" s="3">
        <v>1.0</v>
      </c>
      <c r="H255" s="3">
        <v>654.0</v>
      </c>
      <c r="I255" s="3" t="s">
        <v>110</v>
      </c>
      <c r="J255" s="3">
        <v>0.0</v>
      </c>
      <c r="K255" s="3">
        <v>1.64</v>
      </c>
      <c r="L255" s="3">
        <v>21.0</v>
      </c>
      <c r="M255" s="3" t="s">
        <v>111</v>
      </c>
      <c r="N255" s="3">
        <v>36.0</v>
      </c>
      <c r="O255" s="3">
        <v>-10.3506</v>
      </c>
      <c r="P255" s="3">
        <v>161.335</v>
      </c>
      <c r="Q255" s="3" t="s">
        <v>595</v>
      </c>
      <c r="R255" s="4"/>
      <c r="S255" s="3" t="s">
        <v>214</v>
      </c>
      <c r="T255" s="16">
        <f t="shared" si="1"/>
        <v>42754.96111</v>
      </c>
      <c r="U255" s="4" t="b">
        <f t="shared" si="2"/>
        <v>1</v>
      </c>
      <c r="V255" s="4" t="b">
        <f t="shared" si="3"/>
        <v>0</v>
      </c>
      <c r="W255" s="4" t="str">
        <f t="shared" si="8"/>
        <v>Distance/Location</v>
      </c>
      <c r="X255" s="4" t="str">
        <f t="shared" si="4"/>
        <v>mww</v>
      </c>
      <c r="Y255" s="4">
        <f t="shared" si="5"/>
        <v>1</v>
      </c>
      <c r="Z255" s="4" t="str">
        <f t="shared" si="6"/>
        <v>Unique</v>
      </c>
      <c r="AA255" s="4" t="str">
        <f t="shared" si="7"/>
        <v>Valid</v>
      </c>
    </row>
    <row r="256">
      <c r="A256" s="3" t="s">
        <v>731</v>
      </c>
      <c r="B256" s="3">
        <v>7.3</v>
      </c>
      <c r="C256" s="17">
        <v>43009.25902777778</v>
      </c>
      <c r="D256" s="3">
        <v>6.0</v>
      </c>
      <c r="E256" s="3">
        <v>3.0</v>
      </c>
      <c r="F256" s="3" t="s">
        <v>109</v>
      </c>
      <c r="G256" s="3">
        <v>1.0</v>
      </c>
      <c r="H256" s="3">
        <v>849.0</v>
      </c>
      <c r="I256" s="3" t="s">
        <v>110</v>
      </c>
      <c r="J256" s="3">
        <v>0.0</v>
      </c>
      <c r="K256" s="3">
        <v>3.813</v>
      </c>
      <c r="L256" s="3">
        <v>18.0</v>
      </c>
      <c r="M256" s="3" t="s">
        <v>111</v>
      </c>
      <c r="N256" s="3">
        <v>627.17</v>
      </c>
      <c r="O256" s="3">
        <v>4.4782</v>
      </c>
      <c r="P256" s="3">
        <v>122.617</v>
      </c>
      <c r="Q256" s="3" t="s">
        <v>732</v>
      </c>
      <c r="R256" s="4"/>
      <c r="S256" s="4"/>
      <c r="T256" s="16">
        <f t="shared" si="1"/>
        <v>42745.25903</v>
      </c>
      <c r="U256" s="4" t="b">
        <f t="shared" si="2"/>
        <v>1</v>
      </c>
      <c r="V256" s="4" t="b">
        <f t="shared" si="3"/>
        <v>1</v>
      </c>
      <c r="W256" s="4" t="str">
        <f t="shared" si="8"/>
        <v>Distance/Location</v>
      </c>
      <c r="X256" s="4" t="str">
        <f t="shared" si="4"/>
        <v>mww</v>
      </c>
      <c r="Y256" s="4">
        <f t="shared" si="5"/>
        <v>1</v>
      </c>
      <c r="Z256" s="4" t="str">
        <f t="shared" si="6"/>
        <v>Unique</v>
      </c>
      <c r="AA256" s="4" t="str">
        <f t="shared" si="7"/>
        <v>Valid</v>
      </c>
    </row>
    <row r="257">
      <c r="A257" s="3" t="s">
        <v>733</v>
      </c>
      <c r="B257" s="3">
        <v>6.9</v>
      </c>
      <c r="C257" s="17">
        <v>42795.91111111111</v>
      </c>
      <c r="D257" s="3">
        <v>6.0</v>
      </c>
      <c r="E257" s="3">
        <v>4.0</v>
      </c>
      <c r="F257" s="3" t="s">
        <v>109</v>
      </c>
      <c r="G257" s="3">
        <v>1.0</v>
      </c>
      <c r="H257" s="3">
        <v>742.0</v>
      </c>
      <c r="I257" s="3" t="s">
        <v>110</v>
      </c>
      <c r="J257" s="3">
        <v>0.0</v>
      </c>
      <c r="K257" s="3">
        <v>2.495</v>
      </c>
      <c r="L257" s="3">
        <v>13.0</v>
      </c>
      <c r="M257" s="3" t="s">
        <v>111</v>
      </c>
      <c r="N257" s="3">
        <v>12.0</v>
      </c>
      <c r="O257" s="3">
        <v>-19.3733</v>
      </c>
      <c r="P257" s="3">
        <v>176.052</v>
      </c>
      <c r="Q257" s="3" t="s">
        <v>734</v>
      </c>
      <c r="R257" s="4"/>
      <c r="S257" s="4"/>
      <c r="T257" s="16">
        <f t="shared" si="1"/>
        <v>42738.91111</v>
      </c>
      <c r="U257" s="4" t="b">
        <f t="shared" si="2"/>
        <v>1</v>
      </c>
      <c r="V257" s="4" t="b">
        <f t="shared" si="3"/>
        <v>1</v>
      </c>
      <c r="W257" s="4" t="str">
        <f t="shared" si="8"/>
        <v>Distance/Location</v>
      </c>
      <c r="X257" s="4" t="str">
        <f t="shared" si="4"/>
        <v>mww</v>
      </c>
      <c r="Y257" s="4">
        <f t="shared" si="5"/>
        <v>1</v>
      </c>
      <c r="Z257" s="4" t="str">
        <f t="shared" si="6"/>
        <v>Unique</v>
      </c>
      <c r="AA257" s="4" t="str">
        <f t="shared" si="7"/>
        <v>Valid</v>
      </c>
    </row>
    <row r="258">
      <c r="A258" s="3" t="s">
        <v>735</v>
      </c>
      <c r="B258" s="3">
        <v>7.6</v>
      </c>
      <c r="C258" s="3" t="s">
        <v>736</v>
      </c>
      <c r="D258" s="3">
        <v>9.0</v>
      </c>
      <c r="E258" s="3">
        <v>8.0</v>
      </c>
      <c r="F258" s="3" t="s">
        <v>116</v>
      </c>
      <c r="G258" s="3">
        <v>1.0</v>
      </c>
      <c r="H258" s="3">
        <v>1152.0</v>
      </c>
      <c r="I258" s="3" t="s">
        <v>110</v>
      </c>
      <c r="J258" s="3">
        <v>0.0</v>
      </c>
      <c r="K258" s="3">
        <v>0.355</v>
      </c>
      <c r="L258" s="3">
        <v>29.0</v>
      </c>
      <c r="M258" s="3" t="s">
        <v>111</v>
      </c>
      <c r="N258" s="3">
        <v>38.0</v>
      </c>
      <c r="O258" s="3">
        <v>-43.4064</v>
      </c>
      <c r="P258" s="3">
        <v>-73.9413</v>
      </c>
      <c r="Q258" s="3" t="s">
        <v>737</v>
      </c>
      <c r="R258" s="3" t="s">
        <v>121</v>
      </c>
      <c r="S258" s="3" t="s">
        <v>414</v>
      </c>
      <c r="T258" s="16">
        <f t="shared" si="1"/>
        <v>42729.59861</v>
      </c>
      <c r="U258" s="4" t="b">
        <f t="shared" si="2"/>
        <v>1</v>
      </c>
      <c r="V258" s="4" t="b">
        <f t="shared" si="3"/>
        <v>0</v>
      </c>
      <c r="W258" s="4" t="str">
        <f t="shared" si="8"/>
        <v>Distance/Location</v>
      </c>
      <c r="X258" s="4" t="str">
        <f t="shared" si="4"/>
        <v>mww</v>
      </c>
      <c r="Y258" s="4">
        <f t="shared" si="5"/>
        <v>1</v>
      </c>
      <c r="Z258" s="4" t="str">
        <f t="shared" si="6"/>
        <v>Unique</v>
      </c>
      <c r="AA258" s="4" t="str">
        <f t="shared" si="7"/>
        <v>Valid</v>
      </c>
    </row>
    <row r="259">
      <c r="A259" s="3" t="s">
        <v>738</v>
      </c>
      <c r="B259" s="3">
        <v>6.7</v>
      </c>
      <c r="C259" s="3" t="s">
        <v>739</v>
      </c>
      <c r="D259" s="3">
        <v>5.0</v>
      </c>
      <c r="E259" s="3">
        <v>5.0</v>
      </c>
      <c r="F259" s="3" t="s">
        <v>109</v>
      </c>
      <c r="G259" s="3">
        <v>0.0</v>
      </c>
      <c r="H259" s="3">
        <v>726.0</v>
      </c>
      <c r="I259" s="3" t="s">
        <v>110</v>
      </c>
      <c r="J259" s="3">
        <v>0.0</v>
      </c>
      <c r="K259" s="3">
        <v>3.38</v>
      </c>
      <c r="L259" s="3">
        <v>17.0</v>
      </c>
      <c r="M259" s="3" t="s">
        <v>111</v>
      </c>
      <c r="N259" s="3">
        <v>152.0</v>
      </c>
      <c r="O259" s="3">
        <v>-7.5082</v>
      </c>
      <c r="P259" s="3">
        <v>127.921</v>
      </c>
      <c r="Q259" s="3" t="s">
        <v>307</v>
      </c>
      <c r="R259" s="4"/>
      <c r="S259" s="3" t="s">
        <v>153</v>
      </c>
      <c r="T259" s="16">
        <f t="shared" si="1"/>
        <v>42725.01181</v>
      </c>
      <c r="U259" s="4" t="b">
        <f t="shared" si="2"/>
        <v>1</v>
      </c>
      <c r="V259" s="4" t="b">
        <f t="shared" si="3"/>
        <v>0</v>
      </c>
      <c r="W259" s="4" t="str">
        <f t="shared" si="8"/>
        <v>Distance/Location</v>
      </c>
      <c r="X259" s="4" t="str">
        <f t="shared" si="4"/>
        <v>mww</v>
      </c>
      <c r="Y259" s="4">
        <f t="shared" si="5"/>
        <v>1</v>
      </c>
      <c r="Z259" s="4" t="str">
        <f t="shared" si="6"/>
        <v>Unique</v>
      </c>
      <c r="AA259" s="4" t="str">
        <f t="shared" si="7"/>
        <v>Valid</v>
      </c>
    </row>
    <row r="260">
      <c r="A260" s="3" t="s">
        <v>740</v>
      </c>
      <c r="B260" s="3">
        <v>7.9</v>
      </c>
      <c r="C260" s="3" t="s">
        <v>741</v>
      </c>
      <c r="D260" s="3">
        <v>9.0</v>
      </c>
      <c r="E260" s="3">
        <v>7.0</v>
      </c>
      <c r="F260" s="3" t="s">
        <v>116</v>
      </c>
      <c r="G260" s="3">
        <v>1.0</v>
      </c>
      <c r="H260" s="3">
        <v>972.0</v>
      </c>
      <c r="I260" s="3" t="s">
        <v>110</v>
      </c>
      <c r="J260" s="3">
        <v>0.0</v>
      </c>
      <c r="K260" s="3">
        <v>1.389</v>
      </c>
      <c r="L260" s="3">
        <v>13.0</v>
      </c>
      <c r="M260" s="3" t="s">
        <v>111</v>
      </c>
      <c r="N260" s="3">
        <v>94.54</v>
      </c>
      <c r="O260" s="3">
        <v>-4.5049</v>
      </c>
      <c r="P260" s="3">
        <v>153.522</v>
      </c>
      <c r="Q260" s="3" t="s">
        <v>633</v>
      </c>
      <c r="R260" s="4"/>
      <c r="S260" s="3" t="s">
        <v>168</v>
      </c>
      <c r="T260" s="16">
        <f t="shared" si="1"/>
        <v>42721.45208</v>
      </c>
      <c r="U260" s="4" t="b">
        <f t="shared" si="2"/>
        <v>1</v>
      </c>
      <c r="V260" s="4" t="b">
        <f t="shared" si="3"/>
        <v>0</v>
      </c>
      <c r="W260" s="4" t="str">
        <f t="shared" si="8"/>
        <v>Distance/Location</v>
      </c>
      <c r="X260" s="4" t="str">
        <f t="shared" si="4"/>
        <v>mww</v>
      </c>
      <c r="Y260" s="4">
        <f t="shared" si="5"/>
        <v>1</v>
      </c>
      <c r="Z260" s="4" t="str">
        <f t="shared" si="6"/>
        <v>Unique</v>
      </c>
      <c r="AA260" s="4" t="str">
        <f t="shared" si="7"/>
        <v>Valid</v>
      </c>
    </row>
    <row r="261">
      <c r="A261" s="3" t="s">
        <v>742</v>
      </c>
      <c r="B261" s="3">
        <v>6.9</v>
      </c>
      <c r="C261" s="17">
        <v>42625.79861111111</v>
      </c>
      <c r="D261" s="3">
        <v>8.0</v>
      </c>
      <c r="E261" s="3">
        <v>6.0</v>
      </c>
      <c r="F261" s="3" t="s">
        <v>109</v>
      </c>
      <c r="G261" s="3">
        <v>1.0</v>
      </c>
      <c r="H261" s="3">
        <v>737.0</v>
      </c>
      <c r="I261" s="3" t="s">
        <v>110</v>
      </c>
      <c r="J261" s="3">
        <v>0.0</v>
      </c>
      <c r="K261" s="3">
        <v>1.747</v>
      </c>
      <c r="L261" s="3">
        <v>26.0</v>
      </c>
      <c r="M261" s="3" t="s">
        <v>111</v>
      </c>
      <c r="N261" s="3">
        <v>19.73</v>
      </c>
      <c r="O261" s="3">
        <v>-10.749</v>
      </c>
      <c r="P261" s="3">
        <v>161.132</v>
      </c>
      <c r="Q261" s="3" t="s">
        <v>595</v>
      </c>
      <c r="R261" s="4"/>
      <c r="S261" s="4"/>
      <c r="T261" s="16">
        <f t="shared" si="1"/>
        <v>42713.79861</v>
      </c>
      <c r="U261" s="4" t="b">
        <f t="shared" si="2"/>
        <v>1</v>
      </c>
      <c r="V261" s="4" t="b">
        <f t="shared" si="3"/>
        <v>1</v>
      </c>
      <c r="W261" s="4" t="str">
        <f t="shared" si="8"/>
        <v>Distance/Location</v>
      </c>
      <c r="X261" s="4" t="str">
        <f t="shared" si="4"/>
        <v>mww</v>
      </c>
      <c r="Y261" s="4">
        <f t="shared" si="5"/>
        <v>1</v>
      </c>
      <c r="Z261" s="4" t="str">
        <f t="shared" si="6"/>
        <v>Unique</v>
      </c>
      <c r="AA261" s="4" t="str">
        <f t="shared" si="7"/>
        <v>Valid</v>
      </c>
    </row>
    <row r="262">
      <c r="A262" s="3" t="s">
        <v>743</v>
      </c>
      <c r="B262" s="3">
        <v>6.5</v>
      </c>
      <c r="C262" s="17">
        <v>42594.91388888889</v>
      </c>
      <c r="D262" s="3">
        <v>0.0</v>
      </c>
      <c r="E262" s="3">
        <v>5.0</v>
      </c>
      <c r="F262" s="3" t="s">
        <v>109</v>
      </c>
      <c r="G262" s="3">
        <v>0.0</v>
      </c>
      <c r="H262" s="3">
        <v>650.0</v>
      </c>
      <c r="I262" s="3" t="s">
        <v>110</v>
      </c>
      <c r="J262" s="3">
        <v>0.0</v>
      </c>
      <c r="K262" s="3">
        <v>1.937</v>
      </c>
      <c r="L262" s="3">
        <v>18.0</v>
      </c>
      <c r="M262" s="3" t="s">
        <v>111</v>
      </c>
      <c r="N262" s="3">
        <v>12.26</v>
      </c>
      <c r="O262" s="3">
        <v>-10.8416</v>
      </c>
      <c r="P262" s="3">
        <v>161.314</v>
      </c>
      <c r="Q262" s="3" t="s">
        <v>595</v>
      </c>
      <c r="R262" s="4"/>
      <c r="S262" s="4"/>
      <c r="T262" s="16">
        <f t="shared" si="1"/>
        <v>42712.91389</v>
      </c>
      <c r="U262" s="4" t="b">
        <f t="shared" si="2"/>
        <v>1</v>
      </c>
      <c r="V262" s="4" t="b">
        <f t="shared" si="3"/>
        <v>1</v>
      </c>
      <c r="W262" s="4" t="str">
        <f t="shared" si="8"/>
        <v>Distance/Location</v>
      </c>
      <c r="X262" s="4" t="str">
        <f t="shared" si="4"/>
        <v>mww</v>
      </c>
      <c r="Y262" s="4">
        <f t="shared" si="5"/>
        <v>1</v>
      </c>
      <c r="Z262" s="4" t="str">
        <f t="shared" si="6"/>
        <v>Unique</v>
      </c>
      <c r="AA262" s="4" t="str">
        <f t="shared" si="7"/>
        <v>Valid</v>
      </c>
    </row>
    <row r="263">
      <c r="A263" s="3" t="s">
        <v>744</v>
      </c>
      <c r="B263" s="3">
        <v>7.8</v>
      </c>
      <c r="C263" s="17">
        <v>42594.73472222222</v>
      </c>
      <c r="D263" s="3">
        <v>9.0</v>
      </c>
      <c r="E263" s="3">
        <v>8.0</v>
      </c>
      <c r="F263" s="3" t="s">
        <v>109</v>
      </c>
      <c r="G263" s="3">
        <v>1.0</v>
      </c>
      <c r="H263" s="3">
        <v>961.0</v>
      </c>
      <c r="I263" s="3" t="s">
        <v>110</v>
      </c>
      <c r="J263" s="3">
        <v>0.0</v>
      </c>
      <c r="K263" s="3">
        <v>1.836</v>
      </c>
      <c r="L263" s="3">
        <v>13.0</v>
      </c>
      <c r="M263" s="3" t="s">
        <v>111</v>
      </c>
      <c r="N263" s="3">
        <v>40.0</v>
      </c>
      <c r="O263" s="3">
        <v>-10.6812</v>
      </c>
      <c r="P263" s="3">
        <v>161.327</v>
      </c>
      <c r="Q263" s="3" t="s">
        <v>595</v>
      </c>
      <c r="R263" s="4"/>
      <c r="S263" s="3" t="s">
        <v>214</v>
      </c>
      <c r="T263" s="16">
        <f t="shared" si="1"/>
        <v>42712.73472</v>
      </c>
      <c r="U263" s="4" t="b">
        <f t="shared" si="2"/>
        <v>1</v>
      </c>
      <c r="V263" s="4" t="b">
        <f t="shared" si="3"/>
        <v>1</v>
      </c>
      <c r="W263" s="4" t="str">
        <f t="shared" si="8"/>
        <v>Distance/Location</v>
      </c>
      <c r="X263" s="4" t="str">
        <f t="shared" si="4"/>
        <v>mww</v>
      </c>
      <c r="Y263" s="4">
        <f t="shared" si="5"/>
        <v>1</v>
      </c>
      <c r="Z263" s="4" t="str">
        <f t="shared" si="6"/>
        <v>Unique</v>
      </c>
      <c r="AA263" s="4" t="str">
        <f t="shared" si="7"/>
        <v>Valid</v>
      </c>
    </row>
    <row r="264">
      <c r="A264" s="3" t="s">
        <v>745</v>
      </c>
      <c r="B264" s="3">
        <v>6.6</v>
      </c>
      <c r="C264" s="17">
        <v>42594.61736111111</v>
      </c>
      <c r="D264" s="3">
        <v>5.0</v>
      </c>
      <c r="E264" s="3">
        <v>4.0</v>
      </c>
      <c r="F264" s="3" t="s">
        <v>109</v>
      </c>
      <c r="G264" s="3">
        <v>1.0</v>
      </c>
      <c r="H264" s="3">
        <v>1120.0</v>
      </c>
      <c r="I264" s="3" t="s">
        <v>110</v>
      </c>
      <c r="J264" s="3">
        <v>0.0</v>
      </c>
      <c r="K264" s="3">
        <v>1.405</v>
      </c>
      <c r="L264" s="3">
        <v>55.0</v>
      </c>
      <c r="M264" s="3" t="s">
        <v>111</v>
      </c>
      <c r="N264" s="3">
        <v>8.45</v>
      </c>
      <c r="O264" s="3">
        <v>40.4535</v>
      </c>
      <c r="P264" s="3">
        <v>-126.194</v>
      </c>
      <c r="Q264" s="3" t="s">
        <v>746</v>
      </c>
      <c r="R264" s="4"/>
      <c r="S264" s="4"/>
      <c r="T264" s="16">
        <f t="shared" si="1"/>
        <v>42712.61736</v>
      </c>
      <c r="U264" s="4" t="b">
        <f t="shared" si="2"/>
        <v>1</v>
      </c>
      <c r="V264" s="4" t="b">
        <f t="shared" si="3"/>
        <v>1</v>
      </c>
      <c r="W264" s="4" t="str">
        <f t="shared" si="8"/>
        <v>Distance/Location</v>
      </c>
      <c r="X264" s="4" t="str">
        <f t="shared" si="4"/>
        <v>mww</v>
      </c>
      <c r="Y264" s="4">
        <f t="shared" si="5"/>
        <v>1</v>
      </c>
      <c r="Z264" s="4" t="str">
        <f t="shared" si="6"/>
        <v>Unique</v>
      </c>
      <c r="AA264" s="4" t="str">
        <f t="shared" si="7"/>
        <v>Valid</v>
      </c>
    </row>
    <row r="265">
      <c r="A265" s="3" t="s">
        <v>747</v>
      </c>
      <c r="B265" s="3">
        <v>6.5</v>
      </c>
      <c r="C265" s="17">
        <v>42533.91875</v>
      </c>
      <c r="D265" s="3">
        <v>9.0</v>
      </c>
      <c r="E265" s="3">
        <v>8.0</v>
      </c>
      <c r="F265" s="3" t="s">
        <v>116</v>
      </c>
      <c r="G265" s="3">
        <v>0.0</v>
      </c>
      <c r="H265" s="3">
        <v>731.0</v>
      </c>
      <c r="I265" s="3" t="s">
        <v>110</v>
      </c>
      <c r="J265" s="3">
        <v>0.0</v>
      </c>
      <c r="K265" s="3">
        <v>0.778</v>
      </c>
      <c r="L265" s="3">
        <v>27.0</v>
      </c>
      <c r="M265" s="3" t="s">
        <v>111</v>
      </c>
      <c r="N265" s="3">
        <v>13.0</v>
      </c>
      <c r="O265" s="3">
        <v>5.2834</v>
      </c>
      <c r="P265" s="3">
        <v>96.1678</v>
      </c>
      <c r="Q265" s="3" t="s">
        <v>748</v>
      </c>
      <c r="R265" s="4"/>
      <c r="S265" s="3" t="s">
        <v>153</v>
      </c>
      <c r="T265" s="16">
        <f t="shared" si="1"/>
        <v>42710.91875</v>
      </c>
      <c r="U265" s="4" t="b">
        <f t="shared" si="2"/>
        <v>1</v>
      </c>
      <c r="V265" s="4" t="b">
        <f t="shared" si="3"/>
        <v>1</v>
      </c>
      <c r="W265" s="4" t="str">
        <f t="shared" si="8"/>
        <v>Distance/Location</v>
      </c>
      <c r="X265" s="4" t="str">
        <f t="shared" si="4"/>
        <v>mww</v>
      </c>
      <c r="Y265" s="4">
        <f t="shared" si="5"/>
        <v>1</v>
      </c>
      <c r="Z265" s="4" t="str">
        <f t="shared" si="6"/>
        <v>Unique</v>
      </c>
      <c r="AA265" s="4" t="str">
        <f t="shared" si="7"/>
        <v>Valid</v>
      </c>
    </row>
    <row r="266">
      <c r="A266" s="3" t="s">
        <v>749</v>
      </c>
      <c r="B266" s="3">
        <v>6.6</v>
      </c>
      <c r="C266" s="3" t="s">
        <v>750</v>
      </c>
      <c r="D266" s="3">
        <v>8.0</v>
      </c>
      <c r="E266" s="3">
        <v>7.0</v>
      </c>
      <c r="F266" s="3" t="s">
        <v>109</v>
      </c>
      <c r="G266" s="3">
        <v>0.0</v>
      </c>
      <c r="H266" s="3">
        <v>693.0</v>
      </c>
      <c r="I266" s="3" t="s">
        <v>110</v>
      </c>
      <c r="J266" s="3">
        <v>0.0</v>
      </c>
      <c r="K266" s="3">
        <v>1.697</v>
      </c>
      <c r="L266" s="3">
        <v>20.0</v>
      </c>
      <c r="M266" s="3" t="s">
        <v>111</v>
      </c>
      <c r="N266" s="3">
        <v>17.0</v>
      </c>
      <c r="O266" s="3">
        <v>39.2732</v>
      </c>
      <c r="P266" s="3">
        <v>73.9776</v>
      </c>
      <c r="Q266" s="3" t="s">
        <v>190</v>
      </c>
      <c r="R266" s="3" t="s">
        <v>164</v>
      </c>
      <c r="S266" s="3" t="s">
        <v>251</v>
      </c>
      <c r="T266" s="16">
        <f t="shared" si="1"/>
        <v>42699.6</v>
      </c>
      <c r="U266" s="4" t="b">
        <f t="shared" si="2"/>
        <v>1</v>
      </c>
      <c r="V266" s="4" t="b">
        <f t="shared" si="3"/>
        <v>0</v>
      </c>
      <c r="W266" s="4" t="str">
        <f t="shared" si="8"/>
        <v>Distance/Location</v>
      </c>
      <c r="X266" s="4" t="str">
        <f t="shared" si="4"/>
        <v>mww</v>
      </c>
      <c r="Y266" s="4">
        <f t="shared" si="5"/>
        <v>1</v>
      </c>
      <c r="Z266" s="4" t="str">
        <f t="shared" si="6"/>
        <v>Unique</v>
      </c>
      <c r="AA266" s="4" t="str">
        <f t="shared" si="7"/>
        <v>Valid</v>
      </c>
    </row>
    <row r="267">
      <c r="A267" s="3" t="s">
        <v>751</v>
      </c>
      <c r="B267" s="3">
        <v>6.9</v>
      </c>
      <c r="C267" s="3" t="s">
        <v>752</v>
      </c>
      <c r="D267" s="3">
        <v>5.0</v>
      </c>
      <c r="E267" s="3">
        <v>4.0</v>
      </c>
      <c r="F267" s="3" t="s">
        <v>109</v>
      </c>
      <c r="G267" s="3">
        <v>1.0</v>
      </c>
      <c r="H267" s="3">
        <v>855.0</v>
      </c>
      <c r="I267" s="3" t="s">
        <v>110</v>
      </c>
      <c r="J267" s="3">
        <v>0.0</v>
      </c>
      <c r="K267" s="3">
        <v>1.796</v>
      </c>
      <c r="L267" s="3">
        <v>20.0</v>
      </c>
      <c r="M267" s="3" t="s">
        <v>111</v>
      </c>
      <c r="N267" s="3">
        <v>10.0</v>
      </c>
      <c r="O267" s="3">
        <v>11.9097</v>
      </c>
      <c r="P267" s="3">
        <v>-88.8968</v>
      </c>
      <c r="Q267" s="3" t="s">
        <v>753</v>
      </c>
      <c r="R267" s="4"/>
      <c r="S267" s="4"/>
      <c r="T267" s="16">
        <f t="shared" si="1"/>
        <v>42698.77986</v>
      </c>
      <c r="U267" s="4" t="b">
        <f t="shared" si="2"/>
        <v>1</v>
      </c>
      <c r="V267" s="4" t="b">
        <f t="shared" si="3"/>
        <v>0</v>
      </c>
      <c r="W267" s="4" t="str">
        <f t="shared" si="8"/>
        <v>Distance/Location</v>
      </c>
      <c r="X267" s="4" t="str">
        <f t="shared" si="4"/>
        <v>mww</v>
      </c>
      <c r="Y267" s="4">
        <f t="shared" si="5"/>
        <v>1</v>
      </c>
      <c r="Z267" s="4" t="str">
        <f t="shared" si="6"/>
        <v>Unique</v>
      </c>
      <c r="AA267" s="4" t="str">
        <f t="shared" si="7"/>
        <v>Valid</v>
      </c>
    </row>
    <row r="268">
      <c r="A268" s="3" t="s">
        <v>754</v>
      </c>
      <c r="B268" s="3">
        <v>6.9</v>
      </c>
      <c r="C268" s="3" t="s">
        <v>755</v>
      </c>
      <c r="D268" s="3">
        <v>9.0</v>
      </c>
      <c r="E268" s="3">
        <v>6.0</v>
      </c>
      <c r="F268" s="3" t="s">
        <v>109</v>
      </c>
      <c r="G268" s="3">
        <v>1.0</v>
      </c>
      <c r="H268" s="3">
        <v>1144.0</v>
      </c>
      <c r="I268" s="3" t="s">
        <v>110</v>
      </c>
      <c r="J268" s="3">
        <v>0.0</v>
      </c>
      <c r="K268" s="3">
        <v>0.671</v>
      </c>
      <c r="L268" s="3">
        <v>10.0</v>
      </c>
      <c r="M268" s="3" t="s">
        <v>111</v>
      </c>
      <c r="N268" s="3">
        <v>9.0</v>
      </c>
      <c r="O268" s="3">
        <v>37.3931</v>
      </c>
      <c r="P268" s="3">
        <v>141.387</v>
      </c>
      <c r="Q268" s="3" t="s">
        <v>282</v>
      </c>
      <c r="R268" s="3" t="s">
        <v>164</v>
      </c>
      <c r="S268" s="4"/>
      <c r="T268" s="16">
        <f t="shared" si="1"/>
        <v>42695.87431</v>
      </c>
      <c r="U268" s="4" t="b">
        <f t="shared" si="2"/>
        <v>1</v>
      </c>
      <c r="V268" s="4" t="b">
        <f t="shared" si="3"/>
        <v>0</v>
      </c>
      <c r="W268" s="4" t="str">
        <f t="shared" si="8"/>
        <v>Distance/Location</v>
      </c>
      <c r="X268" s="4" t="str">
        <f t="shared" si="4"/>
        <v>mww</v>
      </c>
      <c r="Y268" s="4">
        <f t="shared" si="5"/>
        <v>1</v>
      </c>
      <c r="Z268" s="4" t="str">
        <f t="shared" si="6"/>
        <v>Unique</v>
      </c>
      <c r="AA268" s="4" t="str">
        <f t="shared" si="7"/>
        <v>Valid</v>
      </c>
    </row>
    <row r="269">
      <c r="A269" s="3" t="s">
        <v>756</v>
      </c>
      <c r="B269" s="3">
        <v>6.5</v>
      </c>
      <c r="C269" s="3" t="s">
        <v>757</v>
      </c>
      <c r="D269" s="3">
        <v>7.0</v>
      </c>
      <c r="E269" s="3">
        <v>7.0</v>
      </c>
      <c r="F269" s="3" t="s">
        <v>116</v>
      </c>
      <c r="G269" s="3">
        <v>1.0</v>
      </c>
      <c r="H269" s="3">
        <v>664.0</v>
      </c>
      <c r="I269" s="3" t="s">
        <v>110</v>
      </c>
      <c r="J269" s="3">
        <v>0.0</v>
      </c>
      <c r="K269" s="3">
        <v>0.283</v>
      </c>
      <c r="L269" s="3">
        <v>56.0</v>
      </c>
      <c r="M269" s="3" t="s">
        <v>111</v>
      </c>
      <c r="N269" s="3">
        <v>9.0</v>
      </c>
      <c r="O269" s="3">
        <v>-42.6058</v>
      </c>
      <c r="P269" s="3">
        <v>173.254</v>
      </c>
      <c r="Q269" s="3" t="s">
        <v>758</v>
      </c>
      <c r="R269" s="4"/>
      <c r="S269" s="3" t="s">
        <v>759</v>
      </c>
      <c r="T269" s="16">
        <f t="shared" si="1"/>
        <v>42688.02361</v>
      </c>
      <c r="U269" s="4" t="b">
        <f t="shared" si="2"/>
        <v>1</v>
      </c>
      <c r="V269" s="4" t="b">
        <f t="shared" si="3"/>
        <v>0</v>
      </c>
      <c r="W269" s="4" t="str">
        <f t="shared" si="8"/>
        <v>Distance/Location</v>
      </c>
      <c r="X269" s="4" t="str">
        <f t="shared" si="4"/>
        <v>mww</v>
      </c>
      <c r="Y269" s="4">
        <f t="shared" si="5"/>
        <v>1</v>
      </c>
      <c r="Z269" s="4" t="str">
        <f t="shared" si="6"/>
        <v>Unique</v>
      </c>
      <c r="AA269" s="4" t="str">
        <f t="shared" si="7"/>
        <v>Valid</v>
      </c>
    </row>
    <row r="270">
      <c r="A270" s="3" t="s">
        <v>760</v>
      </c>
      <c r="B270" s="3">
        <v>6.5</v>
      </c>
      <c r="C270" s="3" t="s">
        <v>761</v>
      </c>
      <c r="D270" s="3">
        <v>6.0</v>
      </c>
      <c r="E270" s="3">
        <v>7.0</v>
      </c>
      <c r="F270" s="3" t="s">
        <v>116</v>
      </c>
      <c r="G270" s="3">
        <v>1.0</v>
      </c>
      <c r="H270" s="3">
        <v>656.0</v>
      </c>
      <c r="I270" s="3" t="s">
        <v>110</v>
      </c>
      <c r="J270" s="3">
        <v>0.0</v>
      </c>
      <c r="K270" s="3">
        <v>0.135</v>
      </c>
      <c r="L270" s="3">
        <v>58.0</v>
      </c>
      <c r="M270" s="3" t="s">
        <v>111</v>
      </c>
      <c r="N270" s="3">
        <v>10.0</v>
      </c>
      <c r="O270" s="3">
        <v>-42.3205</v>
      </c>
      <c r="P270" s="3">
        <v>173.669</v>
      </c>
      <c r="Q270" s="3" t="s">
        <v>762</v>
      </c>
      <c r="R270" s="4"/>
      <c r="S270" s="3" t="s">
        <v>759</v>
      </c>
      <c r="T270" s="16">
        <f t="shared" si="1"/>
        <v>42687.48056</v>
      </c>
      <c r="U270" s="4" t="b">
        <f t="shared" si="2"/>
        <v>1</v>
      </c>
      <c r="V270" s="4" t="b">
        <f t="shared" si="3"/>
        <v>0</v>
      </c>
      <c r="W270" s="4" t="str">
        <f t="shared" si="8"/>
        <v>Distance/Location</v>
      </c>
      <c r="X270" s="4" t="str">
        <f t="shared" si="4"/>
        <v>mww</v>
      </c>
      <c r="Y270" s="4">
        <f t="shared" si="5"/>
        <v>1</v>
      </c>
      <c r="Z270" s="4" t="str">
        <f t="shared" si="6"/>
        <v>Unique</v>
      </c>
      <c r="AA270" s="4" t="str">
        <f t="shared" si="7"/>
        <v>Valid</v>
      </c>
    </row>
    <row r="271">
      <c r="A271" s="3" t="s">
        <v>763</v>
      </c>
      <c r="B271" s="3">
        <v>7.8</v>
      </c>
      <c r="C271" s="3" t="s">
        <v>764</v>
      </c>
      <c r="D271" s="3">
        <v>9.0</v>
      </c>
      <c r="E271" s="3">
        <v>9.0</v>
      </c>
      <c r="F271" s="3" t="s">
        <v>178</v>
      </c>
      <c r="G271" s="3">
        <v>1.0</v>
      </c>
      <c r="H271" s="3">
        <v>1545.0</v>
      </c>
      <c r="I271" s="3" t="s">
        <v>110</v>
      </c>
      <c r="J271" s="3">
        <v>0.0</v>
      </c>
      <c r="K271" s="3">
        <v>0.481</v>
      </c>
      <c r="L271" s="3">
        <v>21.0</v>
      </c>
      <c r="M271" s="3" t="s">
        <v>111</v>
      </c>
      <c r="N271" s="3">
        <v>15.11</v>
      </c>
      <c r="O271" s="3">
        <v>-42.7373</v>
      </c>
      <c r="P271" s="3">
        <v>173.054</v>
      </c>
      <c r="Q271" s="3" t="s">
        <v>758</v>
      </c>
      <c r="R271" s="4"/>
      <c r="S271" s="3" t="s">
        <v>759</v>
      </c>
      <c r="T271" s="16">
        <f t="shared" si="1"/>
        <v>42687.45972</v>
      </c>
      <c r="U271" s="4" t="b">
        <f t="shared" si="2"/>
        <v>1</v>
      </c>
      <c r="V271" s="4" t="b">
        <f t="shared" si="3"/>
        <v>0</v>
      </c>
      <c r="W271" s="4" t="str">
        <f t="shared" si="8"/>
        <v>Distance/Location</v>
      </c>
      <c r="X271" s="4" t="str">
        <f t="shared" si="4"/>
        <v>mww</v>
      </c>
      <c r="Y271" s="4">
        <f t="shared" si="5"/>
        <v>1</v>
      </c>
      <c r="Z271" s="4" t="str">
        <f t="shared" si="6"/>
        <v>Unique</v>
      </c>
      <c r="AA271" s="4" t="str">
        <f t="shared" si="7"/>
        <v>Valid</v>
      </c>
    </row>
    <row r="272">
      <c r="A272" s="3" t="s">
        <v>765</v>
      </c>
      <c r="B272" s="3">
        <v>6.6</v>
      </c>
      <c r="C272" s="3" t="s">
        <v>766</v>
      </c>
      <c r="D272" s="3">
        <v>9.0</v>
      </c>
      <c r="E272" s="3">
        <v>8.0</v>
      </c>
      <c r="F272" s="3" t="s">
        <v>198</v>
      </c>
      <c r="G272" s="3">
        <v>0.0</v>
      </c>
      <c r="H272" s="3">
        <v>2840.0</v>
      </c>
      <c r="I272" s="3" t="s">
        <v>110</v>
      </c>
      <c r="J272" s="3">
        <v>0.0</v>
      </c>
      <c r="K272" s="3">
        <v>0.174</v>
      </c>
      <c r="L272" s="3">
        <v>25.0</v>
      </c>
      <c r="M272" s="3" t="s">
        <v>111</v>
      </c>
      <c r="N272" s="3">
        <v>8.0</v>
      </c>
      <c r="O272" s="3">
        <v>42.8621</v>
      </c>
      <c r="P272" s="3">
        <v>13.0961</v>
      </c>
      <c r="Q272" s="3" t="s">
        <v>767</v>
      </c>
      <c r="R272" s="3" t="s">
        <v>404</v>
      </c>
      <c r="S272" s="3" t="s">
        <v>768</v>
      </c>
      <c r="T272" s="16">
        <f t="shared" si="1"/>
        <v>42673.27778</v>
      </c>
      <c r="U272" s="4" t="b">
        <f t="shared" si="2"/>
        <v>1</v>
      </c>
      <c r="V272" s="4" t="b">
        <f t="shared" si="3"/>
        <v>0</v>
      </c>
      <c r="W272" s="4" t="str">
        <f t="shared" si="8"/>
        <v>Distance/Location</v>
      </c>
      <c r="X272" s="4" t="str">
        <f t="shared" si="4"/>
        <v>mww</v>
      </c>
      <c r="Y272" s="4">
        <f t="shared" si="5"/>
        <v>1</v>
      </c>
      <c r="Z272" s="4" t="str">
        <f t="shared" si="6"/>
        <v>Unique</v>
      </c>
      <c r="AA272" s="4" t="str">
        <f t="shared" si="7"/>
        <v>Valid</v>
      </c>
    </row>
    <row r="273">
      <c r="A273" s="3" t="s">
        <v>769</v>
      </c>
      <c r="B273" s="3">
        <v>6.6</v>
      </c>
      <c r="C273" s="3" t="s">
        <v>770</v>
      </c>
      <c r="D273" s="3">
        <v>3.0</v>
      </c>
      <c r="E273" s="3">
        <v>3.0</v>
      </c>
      <c r="F273" s="3" t="s">
        <v>109</v>
      </c>
      <c r="G273" s="3">
        <v>0.0</v>
      </c>
      <c r="H273" s="3">
        <v>677.0</v>
      </c>
      <c r="I273" s="3" t="s">
        <v>110</v>
      </c>
      <c r="J273" s="3">
        <v>0.0</v>
      </c>
      <c r="K273" s="3">
        <v>2.022</v>
      </c>
      <c r="L273" s="3">
        <v>16.0</v>
      </c>
      <c r="M273" s="3" t="s">
        <v>111</v>
      </c>
      <c r="N273" s="3">
        <v>614.0</v>
      </c>
      <c r="O273" s="3">
        <v>-4.8626</v>
      </c>
      <c r="P273" s="3">
        <v>108.163</v>
      </c>
      <c r="Q273" s="3" t="s">
        <v>771</v>
      </c>
      <c r="R273" s="4"/>
      <c r="S273" s="3" t="s">
        <v>153</v>
      </c>
      <c r="T273" s="16">
        <f t="shared" si="1"/>
        <v>42662.01806</v>
      </c>
      <c r="U273" s="4" t="b">
        <f t="shared" si="2"/>
        <v>1</v>
      </c>
      <c r="V273" s="4" t="b">
        <f t="shared" si="3"/>
        <v>0</v>
      </c>
      <c r="W273" s="4" t="str">
        <f t="shared" si="8"/>
        <v>Distance/Location</v>
      </c>
      <c r="X273" s="4" t="str">
        <f t="shared" si="4"/>
        <v>mww</v>
      </c>
      <c r="Y273" s="4">
        <f t="shared" si="5"/>
        <v>1</v>
      </c>
      <c r="Z273" s="4" t="str">
        <f t="shared" si="6"/>
        <v>Unique</v>
      </c>
      <c r="AA273" s="4" t="str">
        <f t="shared" si="7"/>
        <v>Valid</v>
      </c>
    </row>
    <row r="274">
      <c r="A274" s="3" t="s">
        <v>772</v>
      </c>
      <c r="B274" s="3">
        <v>6.8</v>
      </c>
      <c r="C274" s="3" t="s">
        <v>773</v>
      </c>
      <c r="D274" s="3">
        <v>3.0</v>
      </c>
      <c r="E274" s="3">
        <v>6.0</v>
      </c>
      <c r="F274" s="3" t="s">
        <v>109</v>
      </c>
      <c r="G274" s="3">
        <v>1.0</v>
      </c>
      <c r="H274" s="3">
        <v>716.0</v>
      </c>
      <c r="I274" s="3" t="s">
        <v>110</v>
      </c>
      <c r="J274" s="3">
        <v>0.0</v>
      </c>
      <c r="K274" s="3">
        <v>3.727</v>
      </c>
      <c r="L274" s="3">
        <v>11.0</v>
      </c>
      <c r="M274" s="3" t="s">
        <v>111</v>
      </c>
      <c r="N274" s="3">
        <v>42.0</v>
      </c>
      <c r="O274" s="3">
        <v>-6.0033</v>
      </c>
      <c r="P274" s="3">
        <v>148.887</v>
      </c>
      <c r="Q274" s="3" t="s">
        <v>774</v>
      </c>
      <c r="R274" s="4"/>
      <c r="S274" s="3" t="s">
        <v>168</v>
      </c>
      <c r="T274" s="16">
        <f t="shared" si="1"/>
        <v>42660.25972</v>
      </c>
      <c r="U274" s="4" t="b">
        <f t="shared" si="2"/>
        <v>1</v>
      </c>
      <c r="V274" s="4" t="b">
        <f t="shared" si="3"/>
        <v>0</v>
      </c>
      <c r="W274" s="4" t="str">
        <f t="shared" si="8"/>
        <v>Distance/Location</v>
      </c>
      <c r="X274" s="4" t="str">
        <f t="shared" si="4"/>
        <v>mww</v>
      </c>
      <c r="Y274" s="4">
        <f t="shared" si="5"/>
        <v>1</v>
      </c>
      <c r="Z274" s="4" t="str">
        <f t="shared" si="6"/>
        <v>Unique</v>
      </c>
      <c r="AA274" s="4" t="str">
        <f t="shared" si="7"/>
        <v>Valid</v>
      </c>
    </row>
    <row r="275">
      <c r="A275" s="3" t="s">
        <v>775</v>
      </c>
      <c r="B275" s="3">
        <v>6.9</v>
      </c>
      <c r="C275" s="3" t="s">
        <v>776</v>
      </c>
      <c r="D275" s="3">
        <v>2.0</v>
      </c>
      <c r="E275" s="3">
        <v>3.0</v>
      </c>
      <c r="F275" s="3" t="s">
        <v>109</v>
      </c>
      <c r="G275" s="3">
        <v>1.0</v>
      </c>
      <c r="H275" s="3">
        <v>733.0</v>
      </c>
      <c r="I275" s="3" t="s">
        <v>110</v>
      </c>
      <c r="J275" s="3">
        <v>0.0</v>
      </c>
      <c r="K275" s="3">
        <v>4.051</v>
      </c>
      <c r="L275" s="3">
        <v>9.0</v>
      </c>
      <c r="M275" s="3" t="s">
        <v>111</v>
      </c>
      <c r="N275" s="3">
        <v>596.4</v>
      </c>
      <c r="O275" s="3">
        <v>-19.7819</v>
      </c>
      <c r="P275" s="3">
        <v>-178.244</v>
      </c>
      <c r="Q275" s="3" t="s">
        <v>777</v>
      </c>
      <c r="R275" s="4"/>
      <c r="S275" s="3" t="s">
        <v>219</v>
      </c>
      <c r="T275" s="16">
        <f t="shared" si="1"/>
        <v>42637.89444</v>
      </c>
      <c r="U275" s="4" t="b">
        <f t="shared" si="2"/>
        <v>1</v>
      </c>
      <c r="V275" s="4" t="b">
        <f t="shared" si="3"/>
        <v>0</v>
      </c>
      <c r="W275" s="4" t="str">
        <f t="shared" si="8"/>
        <v>Named Region</v>
      </c>
      <c r="X275" s="4" t="str">
        <f t="shared" si="4"/>
        <v>mww</v>
      </c>
      <c r="Y275" s="4">
        <f t="shared" si="5"/>
        <v>1</v>
      </c>
      <c r="Z275" s="4" t="str">
        <f t="shared" si="6"/>
        <v>Unique</v>
      </c>
      <c r="AA275" s="4" t="str">
        <f t="shared" si="7"/>
        <v>Valid</v>
      </c>
    </row>
    <row r="276">
      <c r="A276" s="3" t="s">
        <v>778</v>
      </c>
      <c r="B276" s="3">
        <v>7.0</v>
      </c>
      <c r="C276" s="17">
        <v>42378.69236111111</v>
      </c>
      <c r="D276" s="3">
        <v>5.0</v>
      </c>
      <c r="E276" s="3">
        <v>6.0</v>
      </c>
      <c r="F276" s="3" t="s">
        <v>109</v>
      </c>
      <c r="G276" s="3">
        <v>1.0</v>
      </c>
      <c r="H276" s="3">
        <v>897.0</v>
      </c>
      <c r="I276" s="3" t="s">
        <v>110</v>
      </c>
      <c r="J276" s="3">
        <v>0.0</v>
      </c>
      <c r="K276" s="3">
        <v>0.698</v>
      </c>
      <c r="L276" s="3">
        <v>21.0</v>
      </c>
      <c r="M276" s="3" t="s">
        <v>111</v>
      </c>
      <c r="N276" s="3">
        <v>19.0</v>
      </c>
      <c r="O276" s="3">
        <v>-37.3586</v>
      </c>
      <c r="P276" s="3">
        <v>179.146</v>
      </c>
      <c r="Q276" s="3" t="s">
        <v>387</v>
      </c>
      <c r="R276" s="4"/>
      <c r="S276" s="4"/>
      <c r="T276" s="16">
        <f t="shared" si="1"/>
        <v>42614.69236</v>
      </c>
      <c r="U276" s="4" t="b">
        <f t="shared" si="2"/>
        <v>1</v>
      </c>
      <c r="V276" s="4" t="b">
        <f t="shared" si="3"/>
        <v>1</v>
      </c>
      <c r="W276" s="4" t="str">
        <f t="shared" si="8"/>
        <v>Distance/Location</v>
      </c>
      <c r="X276" s="4" t="str">
        <f t="shared" si="4"/>
        <v>mww</v>
      </c>
      <c r="Y276" s="4">
        <f t="shared" si="5"/>
        <v>1</v>
      </c>
      <c r="Z276" s="4" t="str">
        <f t="shared" si="6"/>
        <v>Unique</v>
      </c>
      <c r="AA276" s="4" t="str">
        <f t="shared" si="7"/>
        <v>Valid</v>
      </c>
    </row>
    <row r="277">
      <c r="A277" s="3" t="s">
        <v>779</v>
      </c>
      <c r="B277" s="3">
        <v>6.8</v>
      </c>
      <c r="C277" s="3" t="s">
        <v>780</v>
      </c>
      <c r="D277" s="3">
        <v>4.0</v>
      </c>
      <c r="E277" s="3">
        <v>3.0</v>
      </c>
      <c r="F277" s="3" t="s">
        <v>109</v>
      </c>
      <c r="G277" s="3">
        <v>1.0</v>
      </c>
      <c r="H277" s="3">
        <v>713.0</v>
      </c>
      <c r="I277" s="3" t="s">
        <v>110</v>
      </c>
      <c r="J277" s="3">
        <v>0.0</v>
      </c>
      <c r="K277" s="3">
        <v>0.803</v>
      </c>
      <c r="L277" s="3">
        <v>12.0</v>
      </c>
      <c r="M277" s="3" t="s">
        <v>111</v>
      </c>
      <c r="N277" s="3">
        <v>476.0</v>
      </c>
      <c r="O277" s="3">
        <v>-3.6849</v>
      </c>
      <c r="P277" s="3">
        <v>152.792</v>
      </c>
      <c r="Q277" s="3" t="s">
        <v>781</v>
      </c>
      <c r="R277" s="4"/>
      <c r="S277" s="3" t="s">
        <v>168</v>
      </c>
      <c r="T277" s="16">
        <f t="shared" si="1"/>
        <v>42613.13264</v>
      </c>
      <c r="U277" s="4" t="b">
        <f t="shared" si="2"/>
        <v>1</v>
      </c>
      <c r="V277" s="4" t="b">
        <f t="shared" si="3"/>
        <v>0</v>
      </c>
      <c r="W277" s="4" t="str">
        <f t="shared" si="8"/>
        <v>Distance/Location</v>
      </c>
      <c r="X277" s="4" t="str">
        <f t="shared" si="4"/>
        <v>mww</v>
      </c>
      <c r="Y277" s="4">
        <f t="shared" si="5"/>
        <v>1</v>
      </c>
      <c r="Z277" s="4" t="str">
        <f t="shared" si="6"/>
        <v>Unique</v>
      </c>
      <c r="AA277" s="4" t="str">
        <f t="shared" si="7"/>
        <v>Valid</v>
      </c>
    </row>
    <row r="278">
      <c r="A278" s="3" t="s">
        <v>782</v>
      </c>
      <c r="B278" s="3">
        <v>6.8</v>
      </c>
      <c r="C278" s="3" t="s">
        <v>783</v>
      </c>
      <c r="D278" s="3">
        <v>6.0</v>
      </c>
      <c r="E278" s="3">
        <v>6.0</v>
      </c>
      <c r="F278" s="3" t="s">
        <v>116</v>
      </c>
      <c r="G278" s="3">
        <v>0.0</v>
      </c>
      <c r="H278" s="3">
        <v>981.0</v>
      </c>
      <c r="I278" s="3" t="s">
        <v>110</v>
      </c>
      <c r="J278" s="3">
        <v>0.0</v>
      </c>
      <c r="K278" s="3">
        <v>1.802</v>
      </c>
      <c r="L278" s="3">
        <v>17.0</v>
      </c>
      <c r="M278" s="3" t="s">
        <v>111</v>
      </c>
      <c r="N278" s="3">
        <v>82.0</v>
      </c>
      <c r="O278" s="3">
        <v>20.9228</v>
      </c>
      <c r="P278" s="3">
        <v>94.569</v>
      </c>
      <c r="Q278" s="3" t="s">
        <v>784</v>
      </c>
      <c r="R278" s="3" t="s">
        <v>164</v>
      </c>
      <c r="S278" s="3" t="s">
        <v>785</v>
      </c>
      <c r="T278" s="16">
        <f t="shared" si="1"/>
        <v>42606.44028</v>
      </c>
      <c r="U278" s="4" t="b">
        <f t="shared" si="2"/>
        <v>1</v>
      </c>
      <c r="V278" s="4" t="b">
        <f t="shared" si="3"/>
        <v>0</v>
      </c>
      <c r="W278" s="4" t="str">
        <f t="shared" si="8"/>
        <v>Distance/Location</v>
      </c>
      <c r="X278" s="4" t="str">
        <f t="shared" si="4"/>
        <v>mww</v>
      </c>
      <c r="Y278" s="4">
        <f t="shared" si="5"/>
        <v>1</v>
      </c>
      <c r="Z278" s="4" t="str">
        <f t="shared" si="6"/>
        <v>Unique</v>
      </c>
      <c r="AA278" s="4" t="str">
        <f t="shared" si="7"/>
        <v>Valid</v>
      </c>
    </row>
    <row r="279">
      <c r="A279" s="3" t="s">
        <v>786</v>
      </c>
      <c r="B279" s="3">
        <v>7.2</v>
      </c>
      <c r="C279" s="17">
        <v>42712.05972222222</v>
      </c>
      <c r="D279" s="3">
        <v>6.0</v>
      </c>
      <c r="E279" s="3">
        <v>5.0</v>
      </c>
      <c r="F279" s="3" t="s">
        <v>109</v>
      </c>
      <c r="G279" s="3">
        <v>1.0</v>
      </c>
      <c r="H279" s="3">
        <v>799.0</v>
      </c>
      <c r="I279" s="3" t="s">
        <v>110</v>
      </c>
      <c r="J279" s="3">
        <v>0.0</v>
      </c>
      <c r="K279" s="3">
        <v>4.823</v>
      </c>
      <c r="L279" s="3">
        <v>14.0</v>
      </c>
      <c r="M279" s="3" t="s">
        <v>111</v>
      </c>
      <c r="N279" s="3">
        <v>16.37</v>
      </c>
      <c r="O279" s="3">
        <v>-22.4765</v>
      </c>
      <c r="P279" s="3">
        <v>173.117</v>
      </c>
      <c r="Q279" s="3" t="s">
        <v>143</v>
      </c>
      <c r="R279" s="4"/>
      <c r="S279" s="4"/>
      <c r="T279" s="16">
        <f t="shared" si="1"/>
        <v>42594.05972</v>
      </c>
      <c r="U279" s="4" t="b">
        <f t="shared" si="2"/>
        <v>1</v>
      </c>
      <c r="V279" s="4" t="b">
        <f t="shared" si="3"/>
        <v>1</v>
      </c>
      <c r="W279" s="4" t="str">
        <f t="shared" si="8"/>
        <v>Named Region</v>
      </c>
      <c r="X279" s="4" t="str">
        <f t="shared" si="4"/>
        <v>mww</v>
      </c>
      <c r="Y279" s="4">
        <f t="shared" si="5"/>
        <v>1</v>
      </c>
      <c r="Z279" s="4" t="str">
        <f t="shared" si="6"/>
        <v>Unique</v>
      </c>
      <c r="AA279" s="4" t="str">
        <f t="shared" si="7"/>
        <v>Valid</v>
      </c>
    </row>
    <row r="280">
      <c r="A280" s="3" t="s">
        <v>787</v>
      </c>
      <c r="B280" s="3">
        <v>7.7</v>
      </c>
      <c r="C280" s="3" t="s">
        <v>788</v>
      </c>
      <c r="D280" s="3">
        <v>5.0</v>
      </c>
      <c r="E280" s="3">
        <v>6.0</v>
      </c>
      <c r="F280" s="3" t="s">
        <v>109</v>
      </c>
      <c r="G280" s="3">
        <v>1.0</v>
      </c>
      <c r="H280" s="3">
        <v>971.0</v>
      </c>
      <c r="I280" s="3" t="s">
        <v>110</v>
      </c>
      <c r="J280" s="3">
        <v>0.0</v>
      </c>
      <c r="K280" s="3">
        <v>3.294</v>
      </c>
      <c r="L280" s="3">
        <v>14.0</v>
      </c>
      <c r="M280" s="3" t="s">
        <v>111</v>
      </c>
      <c r="N280" s="3">
        <v>196.0</v>
      </c>
      <c r="O280" s="3">
        <v>18.5429</v>
      </c>
      <c r="P280" s="3">
        <v>145.507</v>
      </c>
      <c r="Q280" s="3" t="s">
        <v>789</v>
      </c>
      <c r="R280" s="4"/>
      <c r="S280" s="4"/>
      <c r="T280" s="16">
        <f t="shared" si="1"/>
        <v>42580.8875</v>
      </c>
      <c r="U280" s="4" t="b">
        <f t="shared" si="2"/>
        <v>1</v>
      </c>
      <c r="V280" s="4" t="b">
        <f t="shared" si="3"/>
        <v>0</v>
      </c>
      <c r="W280" s="4" t="str">
        <f t="shared" si="8"/>
        <v>Named Region</v>
      </c>
      <c r="X280" s="4" t="str">
        <f t="shared" si="4"/>
        <v>mww</v>
      </c>
      <c r="Y280" s="4">
        <f t="shared" si="5"/>
        <v>1</v>
      </c>
      <c r="Z280" s="4" t="str">
        <f t="shared" si="6"/>
        <v>Unique</v>
      </c>
      <c r="AA280" s="4" t="str">
        <f t="shared" si="7"/>
        <v>Valid</v>
      </c>
    </row>
    <row r="281">
      <c r="A281" s="3" t="s">
        <v>790</v>
      </c>
      <c r="B281" s="3">
        <v>6.6</v>
      </c>
      <c r="C281" s="17">
        <v>42375.955555555556</v>
      </c>
      <c r="D281" s="3">
        <v>4.0</v>
      </c>
      <c r="E281" s="3">
        <v>6.0</v>
      </c>
      <c r="F281" s="3" t="s">
        <v>109</v>
      </c>
      <c r="G281" s="3">
        <v>0.0</v>
      </c>
      <c r="H281" s="3">
        <v>671.0</v>
      </c>
      <c r="I281" s="3" t="s">
        <v>110</v>
      </c>
      <c r="J281" s="3">
        <v>0.0</v>
      </c>
      <c r="K281" s="3">
        <v>2.435</v>
      </c>
      <c r="L281" s="3">
        <v>16.0</v>
      </c>
      <c r="M281" s="3" t="s">
        <v>111</v>
      </c>
      <c r="N281" s="3">
        <v>50.0</v>
      </c>
      <c r="O281" s="3">
        <v>-2.0967</v>
      </c>
      <c r="P281" s="3">
        <v>100.665</v>
      </c>
      <c r="Q281" s="3" t="s">
        <v>791</v>
      </c>
      <c r="R281" s="4"/>
      <c r="S281" s="3" t="s">
        <v>153</v>
      </c>
      <c r="T281" s="16">
        <f t="shared" si="1"/>
        <v>42522.95556</v>
      </c>
      <c r="U281" s="4" t="b">
        <f t="shared" si="2"/>
        <v>1</v>
      </c>
      <c r="V281" s="4" t="b">
        <f t="shared" si="3"/>
        <v>1</v>
      </c>
      <c r="W281" s="4" t="str">
        <f t="shared" si="8"/>
        <v>Distance/Location</v>
      </c>
      <c r="X281" s="4" t="str">
        <f t="shared" si="4"/>
        <v>mww</v>
      </c>
      <c r="Y281" s="4">
        <f t="shared" si="5"/>
        <v>1</v>
      </c>
      <c r="Z281" s="4" t="str">
        <f t="shared" si="6"/>
        <v>Unique</v>
      </c>
      <c r="AA281" s="4" t="str">
        <f t="shared" si="7"/>
        <v>Valid</v>
      </c>
    </row>
    <row r="282">
      <c r="A282" s="3" t="s">
        <v>792</v>
      </c>
      <c r="B282" s="3">
        <v>7.2</v>
      </c>
      <c r="C282" s="3" t="s">
        <v>793</v>
      </c>
      <c r="D282" s="3">
        <v>1.0</v>
      </c>
      <c r="E282" s="3">
        <v>6.0</v>
      </c>
      <c r="F282" s="3" t="s">
        <v>109</v>
      </c>
      <c r="G282" s="3">
        <v>1.0</v>
      </c>
      <c r="H282" s="3">
        <v>798.0</v>
      </c>
      <c r="I282" s="3" t="s">
        <v>110</v>
      </c>
      <c r="J282" s="3">
        <v>0.0</v>
      </c>
      <c r="K282" s="3">
        <v>5.803</v>
      </c>
      <c r="L282" s="3">
        <v>24.0</v>
      </c>
      <c r="M282" s="3" t="s">
        <v>111</v>
      </c>
      <c r="N282" s="3">
        <v>78.0</v>
      </c>
      <c r="O282" s="3">
        <v>-56.2409</v>
      </c>
      <c r="P282" s="3">
        <v>-26.9353</v>
      </c>
      <c r="Q282" s="3" t="s">
        <v>329</v>
      </c>
      <c r="R282" s="4"/>
      <c r="S282" s="4"/>
      <c r="T282" s="16">
        <f t="shared" si="1"/>
        <v>42518.40694</v>
      </c>
      <c r="U282" s="4" t="b">
        <f t="shared" si="2"/>
        <v>1</v>
      </c>
      <c r="V282" s="4" t="b">
        <f t="shared" si="3"/>
        <v>0</v>
      </c>
      <c r="W282" s="4" t="str">
        <f t="shared" si="8"/>
        <v>Named Region</v>
      </c>
      <c r="X282" s="4" t="str">
        <f t="shared" si="4"/>
        <v>mww</v>
      </c>
      <c r="Y282" s="4">
        <f t="shared" si="5"/>
        <v>1</v>
      </c>
      <c r="Z282" s="4" t="str">
        <f t="shared" si="6"/>
        <v>Unique</v>
      </c>
      <c r="AA282" s="4" t="str">
        <f t="shared" si="7"/>
        <v>Valid</v>
      </c>
    </row>
    <row r="283">
      <c r="A283" s="3" t="s">
        <v>266</v>
      </c>
      <c r="B283" s="3">
        <v>6.9</v>
      </c>
      <c r="C283" s="3" t="s">
        <v>794</v>
      </c>
      <c r="D283" s="3">
        <v>3.0</v>
      </c>
      <c r="E283" s="3">
        <v>3.0</v>
      </c>
      <c r="F283" s="3" t="s">
        <v>109</v>
      </c>
      <c r="G283" s="3">
        <v>1.0</v>
      </c>
      <c r="H283" s="3">
        <v>733.0</v>
      </c>
      <c r="I283" s="3" t="s">
        <v>110</v>
      </c>
      <c r="J283" s="3">
        <v>0.0</v>
      </c>
      <c r="K283" s="3">
        <v>5.485</v>
      </c>
      <c r="L283" s="3">
        <v>19.0</v>
      </c>
      <c r="M283" s="3" t="s">
        <v>111</v>
      </c>
      <c r="N283" s="3">
        <v>405.69</v>
      </c>
      <c r="O283" s="3">
        <v>-21.9724</v>
      </c>
      <c r="P283" s="3">
        <v>-178.204</v>
      </c>
      <c r="Q283" s="4"/>
      <c r="R283" s="4"/>
      <c r="S283" s="4"/>
      <c r="T283" s="16">
        <f t="shared" si="1"/>
        <v>42518.23472</v>
      </c>
      <c r="U283" s="4" t="b">
        <f t="shared" si="2"/>
        <v>1</v>
      </c>
      <c r="V283" s="4" t="b">
        <f t="shared" si="3"/>
        <v>0</v>
      </c>
      <c r="W283" s="4" t="str">
        <f t="shared" si="8"/>
        <v>Named Region</v>
      </c>
      <c r="X283" s="4" t="str">
        <f t="shared" si="4"/>
        <v>mww</v>
      </c>
      <c r="Y283" s="4">
        <f t="shared" si="5"/>
        <v>1</v>
      </c>
      <c r="Z283" s="4" t="str">
        <f t="shared" si="6"/>
        <v>Unique</v>
      </c>
      <c r="AA283" s="4" t="str">
        <f t="shared" si="7"/>
        <v>Valid</v>
      </c>
    </row>
    <row r="284">
      <c r="A284" s="3" t="s">
        <v>795</v>
      </c>
      <c r="B284" s="3">
        <v>6.9</v>
      </c>
      <c r="C284" s="3" t="s">
        <v>796</v>
      </c>
      <c r="D284" s="3">
        <v>8.0</v>
      </c>
      <c r="E284" s="3">
        <v>7.0</v>
      </c>
      <c r="F284" s="3" t="s">
        <v>109</v>
      </c>
      <c r="G284" s="3">
        <v>1.0</v>
      </c>
      <c r="H284" s="3">
        <v>780.0</v>
      </c>
      <c r="I284" s="3" t="s">
        <v>110</v>
      </c>
      <c r="J284" s="3">
        <v>0.0</v>
      </c>
      <c r="K284" s="3">
        <v>1.192</v>
      </c>
      <c r="L284" s="3">
        <v>17.0</v>
      </c>
      <c r="M284" s="3" t="s">
        <v>111</v>
      </c>
      <c r="N284" s="3">
        <v>29.95</v>
      </c>
      <c r="O284" s="3">
        <v>0.4947</v>
      </c>
      <c r="P284" s="3">
        <v>-79.616</v>
      </c>
      <c r="Q284" s="3" t="s">
        <v>797</v>
      </c>
      <c r="R284" s="3" t="s">
        <v>121</v>
      </c>
      <c r="S284" s="3" t="s">
        <v>179</v>
      </c>
      <c r="T284" s="16">
        <f t="shared" si="1"/>
        <v>42508.69861</v>
      </c>
      <c r="U284" s="4" t="b">
        <f t="shared" si="2"/>
        <v>1</v>
      </c>
      <c r="V284" s="4" t="b">
        <f t="shared" si="3"/>
        <v>0</v>
      </c>
      <c r="W284" s="4" t="str">
        <f t="shared" si="8"/>
        <v>Distance/Location</v>
      </c>
      <c r="X284" s="4" t="str">
        <f t="shared" si="4"/>
        <v>mww</v>
      </c>
      <c r="Y284" s="4">
        <f t="shared" si="5"/>
        <v>1</v>
      </c>
      <c r="Z284" s="4" t="str">
        <f t="shared" si="6"/>
        <v>Unique</v>
      </c>
      <c r="AA284" s="4" t="str">
        <f t="shared" si="7"/>
        <v>Valid</v>
      </c>
    </row>
    <row r="285">
      <c r="A285" s="3" t="s">
        <v>798</v>
      </c>
      <c r="B285" s="3">
        <v>6.7</v>
      </c>
      <c r="C285" s="3" t="s">
        <v>799</v>
      </c>
      <c r="D285" s="3">
        <v>5.0</v>
      </c>
      <c r="E285" s="3">
        <v>7.0</v>
      </c>
      <c r="F285" s="3" t="s">
        <v>109</v>
      </c>
      <c r="G285" s="3">
        <v>1.0</v>
      </c>
      <c r="H285" s="3">
        <v>744.0</v>
      </c>
      <c r="I285" s="3" t="s">
        <v>110</v>
      </c>
      <c r="J285" s="3">
        <v>0.0</v>
      </c>
      <c r="K285" s="3">
        <v>1.352</v>
      </c>
      <c r="L285" s="3">
        <v>21.0</v>
      </c>
      <c r="M285" s="3" t="s">
        <v>111</v>
      </c>
      <c r="N285" s="3">
        <v>16.0</v>
      </c>
      <c r="O285" s="3">
        <v>0.4261</v>
      </c>
      <c r="P285" s="3">
        <v>-79.7899</v>
      </c>
      <c r="Q285" s="3" t="s">
        <v>800</v>
      </c>
      <c r="R285" s="3" t="s">
        <v>121</v>
      </c>
      <c r="S285" s="3" t="s">
        <v>179</v>
      </c>
      <c r="T285" s="16">
        <f t="shared" si="1"/>
        <v>42508.33125</v>
      </c>
      <c r="U285" s="4" t="b">
        <f t="shared" si="2"/>
        <v>1</v>
      </c>
      <c r="V285" s="4" t="b">
        <f t="shared" si="3"/>
        <v>0</v>
      </c>
      <c r="W285" s="4" t="str">
        <f t="shared" si="8"/>
        <v>Distance/Location</v>
      </c>
      <c r="X285" s="4" t="str">
        <f t="shared" si="4"/>
        <v>mww</v>
      </c>
      <c r="Y285" s="4">
        <f t="shared" si="5"/>
        <v>1</v>
      </c>
      <c r="Z285" s="4" t="str">
        <f t="shared" si="6"/>
        <v>Unique</v>
      </c>
      <c r="AA285" s="4" t="str">
        <f t="shared" si="7"/>
        <v>Valid</v>
      </c>
    </row>
    <row r="286">
      <c r="A286" s="3" t="s">
        <v>801</v>
      </c>
      <c r="B286" s="3">
        <v>7.0</v>
      </c>
      <c r="C286" s="3" t="s">
        <v>802</v>
      </c>
      <c r="D286" s="3">
        <v>7.0</v>
      </c>
      <c r="E286" s="3">
        <v>7.0</v>
      </c>
      <c r="F286" s="3" t="s">
        <v>109</v>
      </c>
      <c r="G286" s="3">
        <v>1.0</v>
      </c>
      <c r="H286" s="3">
        <v>755.0</v>
      </c>
      <c r="I286" s="3" t="s">
        <v>110</v>
      </c>
      <c r="J286" s="3">
        <v>0.0</v>
      </c>
      <c r="K286" s="3">
        <v>0.616</v>
      </c>
      <c r="L286" s="3">
        <v>14.0</v>
      </c>
      <c r="M286" s="3" t="s">
        <v>111</v>
      </c>
      <c r="N286" s="3">
        <v>24.0</v>
      </c>
      <c r="O286" s="3">
        <v>-16.0429</v>
      </c>
      <c r="P286" s="3">
        <v>167.379</v>
      </c>
      <c r="Q286" s="3" t="s">
        <v>803</v>
      </c>
      <c r="R286" s="4"/>
      <c r="S286" s="3" t="s">
        <v>113</v>
      </c>
      <c r="T286" s="16">
        <f t="shared" si="1"/>
        <v>42488.81458</v>
      </c>
      <c r="U286" s="4" t="b">
        <f t="shared" si="2"/>
        <v>1</v>
      </c>
      <c r="V286" s="4" t="b">
        <f t="shared" si="3"/>
        <v>0</v>
      </c>
      <c r="W286" s="4" t="str">
        <f t="shared" si="8"/>
        <v>Distance/Location</v>
      </c>
      <c r="X286" s="4" t="str">
        <f t="shared" si="4"/>
        <v>mww</v>
      </c>
      <c r="Y286" s="4">
        <f t="shared" si="5"/>
        <v>1</v>
      </c>
      <c r="Z286" s="4" t="str">
        <f t="shared" si="6"/>
        <v>Unique</v>
      </c>
      <c r="AA286" s="4" t="str">
        <f t="shared" si="7"/>
        <v>Valid</v>
      </c>
    </row>
    <row r="287">
      <c r="A287" s="3" t="s">
        <v>804</v>
      </c>
      <c r="B287" s="3">
        <v>7.8</v>
      </c>
      <c r="C287" s="3" t="s">
        <v>805</v>
      </c>
      <c r="D287" s="3">
        <v>9.0</v>
      </c>
      <c r="E287" s="3">
        <v>9.0</v>
      </c>
      <c r="F287" s="3" t="s">
        <v>178</v>
      </c>
      <c r="G287" s="3">
        <v>1.0</v>
      </c>
      <c r="H287" s="3">
        <v>1163.0</v>
      </c>
      <c r="I287" s="3" t="s">
        <v>110</v>
      </c>
      <c r="J287" s="3">
        <v>0.0</v>
      </c>
      <c r="K287" s="3">
        <v>1.44</v>
      </c>
      <c r="L287" s="3">
        <v>15.0</v>
      </c>
      <c r="M287" s="3" t="s">
        <v>111</v>
      </c>
      <c r="N287" s="3">
        <v>20.59</v>
      </c>
      <c r="O287" s="3">
        <v>0.3819</v>
      </c>
      <c r="P287" s="3">
        <v>-79.9218</v>
      </c>
      <c r="Q287" s="3" t="s">
        <v>800</v>
      </c>
      <c r="R287" s="3" t="s">
        <v>121</v>
      </c>
      <c r="S287" s="3" t="s">
        <v>179</v>
      </c>
      <c r="T287" s="16">
        <f t="shared" si="1"/>
        <v>42476.99861</v>
      </c>
      <c r="U287" s="4" t="b">
        <f t="shared" si="2"/>
        <v>1</v>
      </c>
      <c r="V287" s="4" t="b">
        <f t="shared" si="3"/>
        <v>0</v>
      </c>
      <c r="W287" s="4" t="str">
        <f t="shared" si="8"/>
        <v>Distance/Location</v>
      </c>
      <c r="X287" s="4" t="str">
        <f t="shared" si="4"/>
        <v>mww</v>
      </c>
      <c r="Y287" s="4">
        <f t="shared" si="5"/>
        <v>1</v>
      </c>
      <c r="Z287" s="4" t="str">
        <f t="shared" si="6"/>
        <v>Unique</v>
      </c>
      <c r="AA287" s="4" t="str">
        <f t="shared" si="7"/>
        <v>Valid</v>
      </c>
    </row>
    <row r="288">
      <c r="A288" s="3" t="s">
        <v>806</v>
      </c>
      <c r="B288" s="3">
        <v>7.0</v>
      </c>
      <c r="C288" s="3" t="s">
        <v>807</v>
      </c>
      <c r="D288" s="3">
        <v>9.0</v>
      </c>
      <c r="E288" s="3">
        <v>9.0</v>
      </c>
      <c r="F288" s="3" t="s">
        <v>198</v>
      </c>
      <c r="G288" s="3">
        <v>1.0</v>
      </c>
      <c r="H288" s="3">
        <v>2074.0</v>
      </c>
      <c r="I288" s="3" t="s">
        <v>110</v>
      </c>
      <c r="J288" s="3">
        <v>0.0</v>
      </c>
      <c r="K288" s="3">
        <v>0.349</v>
      </c>
      <c r="L288" s="3">
        <v>32.0</v>
      </c>
      <c r="M288" s="3" t="s">
        <v>111</v>
      </c>
      <c r="N288" s="3">
        <v>10.0</v>
      </c>
      <c r="O288" s="3">
        <v>32.7906</v>
      </c>
      <c r="P288" s="3">
        <v>130.754</v>
      </c>
      <c r="Q288" s="3" t="s">
        <v>808</v>
      </c>
      <c r="R288" s="3" t="s">
        <v>164</v>
      </c>
      <c r="S288" s="3" t="s">
        <v>371</v>
      </c>
      <c r="T288" s="16">
        <f t="shared" si="1"/>
        <v>42475.68403</v>
      </c>
      <c r="U288" s="4" t="b">
        <f t="shared" si="2"/>
        <v>1</v>
      </c>
      <c r="V288" s="4" t="b">
        <f t="shared" si="3"/>
        <v>0</v>
      </c>
      <c r="W288" s="4" t="str">
        <f t="shared" si="8"/>
        <v>Distance/Location</v>
      </c>
      <c r="X288" s="4" t="str">
        <f t="shared" si="4"/>
        <v>mww</v>
      </c>
      <c r="Y288" s="4">
        <f t="shared" si="5"/>
        <v>1</v>
      </c>
      <c r="Z288" s="4" t="str">
        <f t="shared" si="6"/>
        <v>Unique</v>
      </c>
      <c r="AA288" s="4" t="str">
        <f t="shared" si="7"/>
        <v>Valid</v>
      </c>
    </row>
    <row r="289">
      <c r="A289" s="3" t="s">
        <v>809</v>
      </c>
      <c r="B289" s="3">
        <v>6.9</v>
      </c>
      <c r="C289" s="3" t="s">
        <v>810</v>
      </c>
      <c r="D289" s="3">
        <v>6.0</v>
      </c>
      <c r="E289" s="3">
        <v>6.0</v>
      </c>
      <c r="F289" s="3" t="s">
        <v>116</v>
      </c>
      <c r="G289" s="3">
        <v>0.0</v>
      </c>
      <c r="H289" s="3">
        <v>903.0</v>
      </c>
      <c r="I289" s="3" t="s">
        <v>110</v>
      </c>
      <c r="J289" s="3">
        <v>0.0</v>
      </c>
      <c r="K289" s="3">
        <v>3.001</v>
      </c>
      <c r="L289" s="3">
        <v>14.0</v>
      </c>
      <c r="M289" s="3" t="s">
        <v>111</v>
      </c>
      <c r="N289" s="3">
        <v>136.0</v>
      </c>
      <c r="O289" s="3">
        <v>23.0944</v>
      </c>
      <c r="P289" s="3">
        <v>94.8654</v>
      </c>
      <c r="Q289" s="3" t="s">
        <v>811</v>
      </c>
      <c r="R289" s="3" t="s">
        <v>164</v>
      </c>
      <c r="S289" s="3" t="s">
        <v>785</v>
      </c>
      <c r="T289" s="16">
        <f t="shared" si="1"/>
        <v>42473.57986</v>
      </c>
      <c r="U289" s="4" t="b">
        <f t="shared" si="2"/>
        <v>1</v>
      </c>
      <c r="V289" s="4" t="b">
        <f t="shared" si="3"/>
        <v>0</v>
      </c>
      <c r="W289" s="4" t="str">
        <f t="shared" si="8"/>
        <v>Distance/Location</v>
      </c>
      <c r="X289" s="4" t="str">
        <f t="shared" si="4"/>
        <v>mww</v>
      </c>
      <c r="Y289" s="4">
        <f t="shared" si="5"/>
        <v>1</v>
      </c>
      <c r="Z289" s="4" t="str">
        <f t="shared" si="6"/>
        <v>Unique</v>
      </c>
      <c r="AA289" s="4" t="str">
        <f t="shared" si="7"/>
        <v>Valid</v>
      </c>
    </row>
    <row r="290">
      <c r="A290" s="3" t="s">
        <v>812</v>
      </c>
      <c r="B290" s="3">
        <v>6.6</v>
      </c>
      <c r="C290" s="17">
        <v>42647.436111111114</v>
      </c>
      <c r="D290" s="3">
        <v>6.0</v>
      </c>
      <c r="E290" s="3">
        <v>4.0</v>
      </c>
      <c r="F290" s="3" t="s">
        <v>109</v>
      </c>
      <c r="G290" s="3">
        <v>0.0</v>
      </c>
      <c r="H290" s="3">
        <v>738.0</v>
      </c>
      <c r="I290" s="3" t="s">
        <v>110</v>
      </c>
      <c r="J290" s="3">
        <v>0.0</v>
      </c>
      <c r="K290" s="3">
        <v>0.789</v>
      </c>
      <c r="L290" s="3">
        <v>17.0</v>
      </c>
      <c r="M290" s="3" t="s">
        <v>111</v>
      </c>
      <c r="N290" s="3">
        <v>212.0</v>
      </c>
      <c r="O290" s="3">
        <v>36.4725</v>
      </c>
      <c r="P290" s="3">
        <v>71.1311</v>
      </c>
      <c r="Q290" s="3" t="s">
        <v>813</v>
      </c>
      <c r="R290" s="3" t="s">
        <v>164</v>
      </c>
      <c r="S290" s="3" t="s">
        <v>175</v>
      </c>
      <c r="T290" s="16">
        <f t="shared" si="1"/>
        <v>42470.43611</v>
      </c>
      <c r="U290" s="4" t="b">
        <f t="shared" si="2"/>
        <v>1</v>
      </c>
      <c r="V290" s="4" t="b">
        <f t="shared" si="3"/>
        <v>1</v>
      </c>
      <c r="W290" s="4" t="str">
        <f t="shared" si="8"/>
        <v>Distance/Location</v>
      </c>
      <c r="X290" s="4" t="str">
        <f t="shared" si="4"/>
        <v>mww</v>
      </c>
      <c r="Y290" s="4">
        <f t="shared" si="5"/>
        <v>1</v>
      </c>
      <c r="Z290" s="4" t="str">
        <f t="shared" si="6"/>
        <v>Unique</v>
      </c>
      <c r="AA290" s="4" t="str">
        <f t="shared" si="7"/>
        <v>Valid</v>
      </c>
    </row>
    <row r="291">
      <c r="A291" s="3" t="s">
        <v>814</v>
      </c>
      <c r="B291" s="3">
        <v>6.7</v>
      </c>
      <c r="C291" s="17">
        <v>42555.14722222222</v>
      </c>
      <c r="D291" s="3">
        <v>7.0</v>
      </c>
      <c r="E291" s="3">
        <v>5.0</v>
      </c>
      <c r="F291" s="3" t="s">
        <v>109</v>
      </c>
      <c r="G291" s="3">
        <v>1.0</v>
      </c>
      <c r="H291" s="3">
        <v>692.0</v>
      </c>
      <c r="I291" s="3" t="s">
        <v>110</v>
      </c>
      <c r="J291" s="3">
        <v>0.0</v>
      </c>
      <c r="K291" s="3">
        <v>6.787</v>
      </c>
      <c r="L291" s="3">
        <v>25.0</v>
      </c>
      <c r="M291" s="3" t="s">
        <v>111</v>
      </c>
      <c r="N291" s="3">
        <v>27.59</v>
      </c>
      <c r="O291" s="3">
        <v>-13.9805</v>
      </c>
      <c r="P291" s="3">
        <v>166.594</v>
      </c>
      <c r="Q291" s="3" t="s">
        <v>112</v>
      </c>
      <c r="R291" s="4"/>
      <c r="S291" s="3" t="s">
        <v>113</v>
      </c>
      <c r="T291" s="16">
        <f t="shared" si="1"/>
        <v>42467.14722</v>
      </c>
      <c r="U291" s="4" t="b">
        <f t="shared" si="2"/>
        <v>1</v>
      </c>
      <c r="V291" s="4" t="b">
        <f t="shared" si="3"/>
        <v>1</v>
      </c>
      <c r="W291" s="4" t="str">
        <f t="shared" si="8"/>
        <v>Distance/Location</v>
      </c>
      <c r="X291" s="4" t="str">
        <f t="shared" si="4"/>
        <v>mww</v>
      </c>
      <c r="Y291" s="4">
        <f t="shared" si="5"/>
        <v>1</v>
      </c>
      <c r="Z291" s="4" t="str">
        <f t="shared" si="6"/>
        <v>Unique</v>
      </c>
      <c r="AA291" s="4" t="str">
        <f t="shared" si="7"/>
        <v>Valid</v>
      </c>
    </row>
    <row r="292">
      <c r="A292" s="3" t="s">
        <v>815</v>
      </c>
      <c r="B292" s="3">
        <v>6.7</v>
      </c>
      <c r="C292" s="17">
        <v>42525.29027777778</v>
      </c>
      <c r="D292" s="3">
        <v>7.0</v>
      </c>
      <c r="E292" s="3">
        <v>6.0</v>
      </c>
      <c r="F292" s="3" t="s">
        <v>109</v>
      </c>
      <c r="G292" s="3">
        <v>1.0</v>
      </c>
      <c r="H292" s="3">
        <v>691.0</v>
      </c>
      <c r="I292" s="3" t="s">
        <v>110</v>
      </c>
      <c r="J292" s="3">
        <v>0.0</v>
      </c>
      <c r="K292" s="3">
        <v>6.697</v>
      </c>
      <c r="L292" s="3">
        <v>19.0</v>
      </c>
      <c r="M292" s="3" t="s">
        <v>111</v>
      </c>
      <c r="N292" s="3">
        <v>24.0</v>
      </c>
      <c r="O292" s="3">
        <v>-14.0683</v>
      </c>
      <c r="P292" s="3">
        <v>166.624</v>
      </c>
      <c r="Q292" s="3" t="s">
        <v>112</v>
      </c>
      <c r="R292" s="4"/>
      <c r="S292" s="3" t="s">
        <v>113</v>
      </c>
      <c r="T292" s="16">
        <f t="shared" si="1"/>
        <v>42466.29028</v>
      </c>
      <c r="U292" s="4" t="b">
        <f t="shared" si="2"/>
        <v>1</v>
      </c>
      <c r="V292" s="4" t="b">
        <f t="shared" si="3"/>
        <v>1</v>
      </c>
      <c r="W292" s="4" t="str">
        <f t="shared" si="8"/>
        <v>Distance/Location</v>
      </c>
      <c r="X292" s="4" t="str">
        <f t="shared" si="4"/>
        <v>mww</v>
      </c>
      <c r="Y292" s="4">
        <f t="shared" si="5"/>
        <v>1</v>
      </c>
      <c r="Z292" s="4" t="str">
        <f t="shared" si="6"/>
        <v>Unique</v>
      </c>
      <c r="AA292" s="4" t="str">
        <f t="shared" si="7"/>
        <v>Valid</v>
      </c>
    </row>
    <row r="293">
      <c r="A293" s="3" t="s">
        <v>816</v>
      </c>
      <c r="B293" s="3">
        <v>6.9</v>
      </c>
      <c r="C293" s="17">
        <v>42433.34930555556</v>
      </c>
      <c r="D293" s="3">
        <v>7.0</v>
      </c>
      <c r="E293" s="3">
        <v>6.0</v>
      </c>
      <c r="F293" s="3" t="s">
        <v>109</v>
      </c>
      <c r="G293" s="3">
        <v>1.0</v>
      </c>
      <c r="H293" s="3">
        <v>734.0</v>
      </c>
      <c r="I293" s="3" t="s">
        <v>110</v>
      </c>
      <c r="J293" s="3">
        <v>0.0</v>
      </c>
      <c r="K293" s="3">
        <v>1.166</v>
      </c>
      <c r="L293" s="3">
        <v>25.0</v>
      </c>
      <c r="M293" s="3" t="s">
        <v>111</v>
      </c>
      <c r="N293" s="3">
        <v>26.0</v>
      </c>
      <c r="O293" s="3">
        <v>-14.3235</v>
      </c>
      <c r="P293" s="3">
        <v>166.855</v>
      </c>
      <c r="Q293" s="3" t="s">
        <v>185</v>
      </c>
      <c r="R293" s="4"/>
      <c r="S293" s="3" t="s">
        <v>113</v>
      </c>
      <c r="T293" s="16">
        <f t="shared" si="1"/>
        <v>42463.34931</v>
      </c>
      <c r="U293" s="4" t="b">
        <f t="shared" si="2"/>
        <v>1</v>
      </c>
      <c r="V293" s="4" t="b">
        <f t="shared" si="3"/>
        <v>1</v>
      </c>
      <c r="W293" s="4" t="str">
        <f t="shared" si="8"/>
        <v>Distance/Location</v>
      </c>
      <c r="X293" s="4" t="str">
        <f t="shared" si="4"/>
        <v>mww</v>
      </c>
      <c r="Y293" s="4">
        <f t="shared" si="5"/>
        <v>1</v>
      </c>
      <c r="Z293" s="4" t="str">
        <f t="shared" si="6"/>
        <v>Unique</v>
      </c>
      <c r="AA293" s="4" t="str">
        <f t="shared" si="7"/>
        <v>Valid</v>
      </c>
    </row>
    <row r="294">
      <c r="A294" s="3" t="s">
        <v>817</v>
      </c>
      <c r="B294" s="3">
        <v>7.8</v>
      </c>
      <c r="C294" s="17">
        <v>42403.53402777778</v>
      </c>
      <c r="D294" s="3">
        <v>4.0</v>
      </c>
      <c r="E294" s="3">
        <v>3.0</v>
      </c>
      <c r="F294" s="3" t="s">
        <v>109</v>
      </c>
      <c r="G294" s="3">
        <v>0.0</v>
      </c>
      <c r="H294" s="3">
        <v>948.0</v>
      </c>
      <c r="I294" s="3" t="s">
        <v>110</v>
      </c>
      <c r="J294" s="3">
        <v>0.0</v>
      </c>
      <c r="K294" s="3">
        <v>7.009</v>
      </c>
      <c r="L294" s="3">
        <v>20.0</v>
      </c>
      <c r="M294" s="3" t="s">
        <v>111</v>
      </c>
      <c r="N294" s="3">
        <v>24.0</v>
      </c>
      <c r="O294" s="3">
        <v>-4.9521</v>
      </c>
      <c r="P294" s="3">
        <v>94.3299</v>
      </c>
      <c r="Q294" s="3" t="s">
        <v>818</v>
      </c>
      <c r="R294" s="4"/>
      <c r="S294" s="4"/>
      <c r="T294" s="16">
        <f t="shared" si="1"/>
        <v>42431.53403</v>
      </c>
      <c r="U294" s="4" t="b">
        <f t="shared" si="2"/>
        <v>1</v>
      </c>
      <c r="V294" s="4" t="b">
        <f t="shared" si="3"/>
        <v>1</v>
      </c>
      <c r="W294" s="4" t="str">
        <f t="shared" si="8"/>
        <v>Named Region</v>
      </c>
      <c r="X294" s="4" t="str">
        <f t="shared" si="4"/>
        <v>mww</v>
      </c>
      <c r="Y294" s="4">
        <f t="shared" si="5"/>
        <v>1</v>
      </c>
      <c r="Z294" s="4" t="str">
        <f t="shared" si="6"/>
        <v>Unique</v>
      </c>
      <c r="AA294" s="4" t="str">
        <f t="shared" si="7"/>
        <v>Valid</v>
      </c>
    </row>
    <row r="295">
      <c r="A295" s="3" t="s">
        <v>819</v>
      </c>
      <c r="B295" s="3">
        <v>7.2</v>
      </c>
      <c r="C295" s="3" t="s">
        <v>820</v>
      </c>
      <c r="D295" s="3">
        <v>3.0</v>
      </c>
      <c r="E295" s="3">
        <v>7.0</v>
      </c>
      <c r="F295" s="3" t="s">
        <v>109</v>
      </c>
      <c r="G295" s="3">
        <v>1.0</v>
      </c>
      <c r="H295" s="3">
        <v>799.0</v>
      </c>
      <c r="I295" s="3" t="s">
        <v>110</v>
      </c>
      <c r="J295" s="3">
        <v>0.0</v>
      </c>
      <c r="K295" s="3">
        <v>0.958</v>
      </c>
      <c r="L295" s="3">
        <v>17.0</v>
      </c>
      <c r="M295" s="3" t="s">
        <v>111</v>
      </c>
      <c r="N295" s="3">
        <v>177.0</v>
      </c>
      <c r="O295" s="3">
        <v>53.9776</v>
      </c>
      <c r="P295" s="3">
        <v>158.546</v>
      </c>
      <c r="Q295" s="3" t="s">
        <v>821</v>
      </c>
      <c r="R295" s="3" t="s">
        <v>164</v>
      </c>
      <c r="S295" s="3" t="s">
        <v>464</v>
      </c>
      <c r="T295" s="16">
        <f t="shared" si="1"/>
        <v>42399.14236</v>
      </c>
      <c r="U295" s="4" t="b">
        <f t="shared" si="2"/>
        <v>1</v>
      </c>
      <c r="V295" s="4" t="b">
        <f t="shared" si="3"/>
        <v>0</v>
      </c>
      <c r="W295" s="4" t="str">
        <f t="shared" si="8"/>
        <v>Distance/Location</v>
      </c>
      <c r="X295" s="4" t="str">
        <f t="shared" si="4"/>
        <v>mww</v>
      </c>
      <c r="Y295" s="4">
        <f t="shared" si="5"/>
        <v>1</v>
      </c>
      <c r="Z295" s="4" t="str">
        <f t="shared" si="6"/>
        <v>Unique</v>
      </c>
      <c r="AA295" s="4" t="str">
        <f t="shared" si="7"/>
        <v>Valid</v>
      </c>
    </row>
    <row r="296">
      <c r="A296" s="3" t="s">
        <v>822</v>
      </c>
      <c r="B296" s="3">
        <v>7.1</v>
      </c>
      <c r="C296" s="3" t="s">
        <v>823</v>
      </c>
      <c r="D296" s="3">
        <v>7.0</v>
      </c>
      <c r="E296" s="3">
        <v>7.0</v>
      </c>
      <c r="F296" s="3" t="s">
        <v>109</v>
      </c>
      <c r="G296" s="3">
        <v>1.0</v>
      </c>
      <c r="H296" s="3">
        <v>1496.0</v>
      </c>
      <c r="I296" s="3" t="s">
        <v>316</v>
      </c>
      <c r="J296" s="3">
        <v>0.0</v>
      </c>
      <c r="K296" s="3">
        <v>0.0</v>
      </c>
      <c r="L296" s="3">
        <v>0.0</v>
      </c>
      <c r="M296" s="3" t="s">
        <v>514</v>
      </c>
      <c r="N296" s="3">
        <v>125.6</v>
      </c>
      <c r="O296" s="3">
        <v>59.6204</v>
      </c>
      <c r="P296" s="3">
        <v>-153.339</v>
      </c>
      <c r="Q296" s="3" t="s">
        <v>824</v>
      </c>
      <c r="R296" s="3" t="s">
        <v>233</v>
      </c>
      <c r="S296" s="3" t="s">
        <v>318</v>
      </c>
      <c r="T296" s="16">
        <f t="shared" si="1"/>
        <v>42393.4375</v>
      </c>
      <c r="U296" s="4" t="b">
        <f t="shared" si="2"/>
        <v>1</v>
      </c>
      <c r="V296" s="4" t="b">
        <f t="shared" si="3"/>
        <v>0</v>
      </c>
      <c r="W296" s="4" t="str">
        <f t="shared" si="8"/>
        <v>Distance/Location</v>
      </c>
      <c r="X296" s="4" t="str">
        <f t="shared" si="4"/>
        <v>mw</v>
      </c>
      <c r="Y296" s="4">
        <f t="shared" si="5"/>
        <v>1</v>
      </c>
      <c r="Z296" s="4" t="str">
        <f t="shared" si="6"/>
        <v>Unique</v>
      </c>
      <c r="AA296" s="4" t="str">
        <f t="shared" si="7"/>
        <v>Valid</v>
      </c>
    </row>
    <row r="297">
      <c r="A297" s="3" t="s">
        <v>825</v>
      </c>
      <c r="B297" s="3">
        <v>6.6</v>
      </c>
      <c r="C297" s="3" t="s">
        <v>826</v>
      </c>
      <c r="D297" s="3">
        <v>3.0</v>
      </c>
      <c r="E297" s="3">
        <v>4.0</v>
      </c>
      <c r="F297" s="3" t="s">
        <v>109</v>
      </c>
      <c r="G297" s="3">
        <v>1.0</v>
      </c>
      <c r="H297" s="3">
        <v>673.0</v>
      </c>
      <c r="I297" s="3" t="s">
        <v>110</v>
      </c>
      <c r="J297" s="3">
        <v>0.0</v>
      </c>
      <c r="K297" s="3">
        <v>2.413</v>
      </c>
      <c r="L297" s="3">
        <v>74.0</v>
      </c>
      <c r="M297" s="3" t="s">
        <v>111</v>
      </c>
      <c r="N297" s="3">
        <v>10.0</v>
      </c>
      <c r="O297" s="3">
        <v>18.8239</v>
      </c>
      <c r="P297" s="3">
        <v>-106.934</v>
      </c>
      <c r="Q297" s="3" t="s">
        <v>827</v>
      </c>
      <c r="R297" s="4"/>
      <c r="S297" s="4"/>
      <c r="T297" s="16">
        <f t="shared" si="1"/>
        <v>42390.75417</v>
      </c>
      <c r="U297" s="4" t="b">
        <f t="shared" si="2"/>
        <v>1</v>
      </c>
      <c r="V297" s="4" t="b">
        <f t="shared" si="3"/>
        <v>0</v>
      </c>
      <c r="W297" s="4" t="str">
        <f t="shared" si="8"/>
        <v>Distance/Location</v>
      </c>
      <c r="X297" s="4" t="str">
        <f t="shared" si="4"/>
        <v>mww</v>
      </c>
      <c r="Y297" s="4">
        <f t="shared" si="5"/>
        <v>1</v>
      </c>
      <c r="Z297" s="4" t="str">
        <f t="shared" si="6"/>
        <v>Unique</v>
      </c>
      <c r="AA297" s="4" t="str">
        <f t="shared" si="7"/>
        <v>Valid</v>
      </c>
    </row>
    <row r="298">
      <c r="A298" s="3" t="s">
        <v>828</v>
      </c>
      <c r="B298" s="3">
        <v>6.7</v>
      </c>
      <c r="C298" s="3" t="s">
        <v>829</v>
      </c>
      <c r="D298" s="3">
        <v>5.0</v>
      </c>
      <c r="E298" s="3">
        <v>6.0</v>
      </c>
      <c r="F298" s="3" t="s">
        <v>109</v>
      </c>
      <c r="G298" s="3">
        <v>1.0</v>
      </c>
      <c r="H298" s="3">
        <v>717.0</v>
      </c>
      <c r="I298" s="3" t="s">
        <v>110</v>
      </c>
      <c r="J298" s="3">
        <v>0.0</v>
      </c>
      <c r="K298" s="3">
        <v>0.281</v>
      </c>
      <c r="L298" s="3">
        <v>22.0</v>
      </c>
      <c r="M298" s="3" t="s">
        <v>111</v>
      </c>
      <c r="N298" s="3">
        <v>46.0</v>
      </c>
      <c r="O298" s="3">
        <v>41.9723</v>
      </c>
      <c r="P298" s="3">
        <v>142.781</v>
      </c>
      <c r="Q298" s="3" t="s">
        <v>830</v>
      </c>
      <c r="R298" s="3" t="s">
        <v>164</v>
      </c>
      <c r="S298" s="3" t="s">
        <v>371</v>
      </c>
      <c r="T298" s="16">
        <f t="shared" si="1"/>
        <v>42383.14236</v>
      </c>
      <c r="U298" s="4" t="b">
        <f t="shared" si="2"/>
        <v>1</v>
      </c>
      <c r="V298" s="4" t="b">
        <f t="shared" si="3"/>
        <v>0</v>
      </c>
      <c r="W298" s="4" t="str">
        <f t="shared" si="8"/>
        <v>Distance/Location</v>
      </c>
      <c r="X298" s="4" t="str">
        <f t="shared" si="4"/>
        <v>mww</v>
      </c>
      <c r="Y298" s="4">
        <f t="shared" si="5"/>
        <v>1</v>
      </c>
      <c r="Z298" s="4" t="str">
        <f t="shared" si="6"/>
        <v>Unique</v>
      </c>
      <c r="AA298" s="4" t="str">
        <f t="shared" si="7"/>
        <v>Valid</v>
      </c>
    </row>
    <row r="299">
      <c r="A299" s="3" t="s">
        <v>831</v>
      </c>
      <c r="B299" s="3">
        <v>6.5</v>
      </c>
      <c r="C299" s="17">
        <v>42675.69305555556</v>
      </c>
      <c r="D299" s="3">
        <v>3.0</v>
      </c>
      <c r="E299" s="3">
        <v>6.0</v>
      </c>
      <c r="F299" s="3" t="s">
        <v>109</v>
      </c>
      <c r="G299" s="3">
        <v>1.0</v>
      </c>
      <c r="H299" s="3">
        <v>651.0</v>
      </c>
      <c r="I299" s="3" t="s">
        <v>110</v>
      </c>
      <c r="J299" s="3">
        <v>0.0</v>
      </c>
      <c r="K299" s="3">
        <v>3.144</v>
      </c>
      <c r="L299" s="3">
        <v>22.0</v>
      </c>
      <c r="M299" s="3" t="s">
        <v>111</v>
      </c>
      <c r="N299" s="3">
        <v>13.0</v>
      </c>
      <c r="O299" s="3">
        <v>3.8965</v>
      </c>
      <c r="P299" s="3">
        <v>126.862</v>
      </c>
      <c r="Q299" s="3" t="s">
        <v>832</v>
      </c>
      <c r="R299" s="4"/>
      <c r="S299" s="3" t="s">
        <v>153</v>
      </c>
      <c r="T299" s="16">
        <f t="shared" si="1"/>
        <v>42380.69306</v>
      </c>
      <c r="U299" s="4" t="b">
        <f t="shared" si="2"/>
        <v>1</v>
      </c>
      <c r="V299" s="4" t="b">
        <f t="shared" si="3"/>
        <v>1</v>
      </c>
      <c r="W299" s="4" t="str">
        <f t="shared" si="8"/>
        <v>Distance/Location</v>
      </c>
      <c r="X299" s="4" t="str">
        <f t="shared" si="4"/>
        <v>mww</v>
      </c>
      <c r="Y299" s="4">
        <f t="shared" si="5"/>
        <v>1</v>
      </c>
      <c r="Z299" s="4" t="str">
        <f t="shared" si="6"/>
        <v>Unique</v>
      </c>
      <c r="AA299" s="4" t="str">
        <f t="shared" si="7"/>
        <v>Valid</v>
      </c>
    </row>
    <row r="300">
      <c r="A300" s="3" t="s">
        <v>833</v>
      </c>
      <c r="B300" s="3">
        <v>6.7</v>
      </c>
      <c r="C300" s="17">
        <v>42430.961805555555</v>
      </c>
      <c r="D300" s="3">
        <v>8.0</v>
      </c>
      <c r="E300" s="3">
        <v>7.0</v>
      </c>
      <c r="F300" s="3" t="s">
        <v>178</v>
      </c>
      <c r="G300" s="3">
        <v>0.0</v>
      </c>
      <c r="H300" s="3">
        <v>1515.0</v>
      </c>
      <c r="I300" s="3" t="s">
        <v>110</v>
      </c>
      <c r="J300" s="3">
        <v>0.0</v>
      </c>
      <c r="K300" s="3">
        <v>1.794</v>
      </c>
      <c r="L300" s="3">
        <v>16.0</v>
      </c>
      <c r="M300" s="3" t="s">
        <v>111</v>
      </c>
      <c r="N300" s="3">
        <v>55.0</v>
      </c>
      <c r="O300" s="3">
        <v>24.8036</v>
      </c>
      <c r="P300" s="3">
        <v>93.6505</v>
      </c>
      <c r="Q300" s="3" t="s">
        <v>834</v>
      </c>
      <c r="R300" s="3" t="s">
        <v>164</v>
      </c>
      <c r="S300" s="3" t="s">
        <v>835</v>
      </c>
      <c r="T300" s="16">
        <f t="shared" si="1"/>
        <v>42372.96181</v>
      </c>
      <c r="U300" s="4" t="b">
        <f t="shared" si="2"/>
        <v>1</v>
      </c>
      <c r="V300" s="4" t="b">
        <f t="shared" si="3"/>
        <v>1</v>
      </c>
      <c r="W300" s="4" t="str">
        <f t="shared" si="8"/>
        <v>Distance/Location</v>
      </c>
      <c r="X300" s="4" t="str">
        <f t="shared" si="4"/>
        <v>mww</v>
      </c>
      <c r="Y300" s="4">
        <f t="shared" si="5"/>
        <v>1</v>
      </c>
      <c r="Z300" s="4" t="str">
        <f t="shared" si="6"/>
        <v>Unique</v>
      </c>
      <c r="AA300" s="4" t="str">
        <f t="shared" si="7"/>
        <v>Valid</v>
      </c>
    </row>
    <row r="301">
      <c r="A301" s="3" t="s">
        <v>836</v>
      </c>
      <c r="B301" s="3">
        <v>6.6</v>
      </c>
      <c r="C301" s="3" t="s">
        <v>837</v>
      </c>
      <c r="D301" s="3">
        <v>8.0</v>
      </c>
      <c r="E301" s="3">
        <v>6.0</v>
      </c>
      <c r="F301" s="3" t="s">
        <v>109</v>
      </c>
      <c r="G301" s="3">
        <v>1.0</v>
      </c>
      <c r="H301" s="3">
        <v>765.0</v>
      </c>
      <c r="I301" s="3" t="s">
        <v>110</v>
      </c>
      <c r="J301" s="3">
        <v>0.0</v>
      </c>
      <c r="K301" s="3">
        <v>0.41</v>
      </c>
      <c r="L301" s="3">
        <v>35.0</v>
      </c>
      <c r="M301" s="3" t="s">
        <v>111</v>
      </c>
      <c r="N301" s="3">
        <v>85.0</v>
      </c>
      <c r="O301" s="3">
        <v>15.8015</v>
      </c>
      <c r="P301" s="3">
        <v>-93.633</v>
      </c>
      <c r="Q301" s="3" t="s">
        <v>838</v>
      </c>
      <c r="R301" s="4"/>
      <c r="S301" s="3" t="s">
        <v>234</v>
      </c>
      <c r="T301" s="16">
        <f t="shared" si="1"/>
        <v>42355.82569</v>
      </c>
      <c r="U301" s="4" t="b">
        <f t="shared" si="2"/>
        <v>1</v>
      </c>
      <c r="V301" s="4" t="b">
        <f t="shared" si="3"/>
        <v>0</v>
      </c>
      <c r="W301" s="4" t="str">
        <f t="shared" si="8"/>
        <v>Distance/Location</v>
      </c>
      <c r="X301" s="4" t="str">
        <f t="shared" si="4"/>
        <v>mww</v>
      </c>
      <c r="Y301" s="4">
        <f t="shared" si="5"/>
        <v>1</v>
      </c>
      <c r="Z301" s="4" t="str">
        <f t="shared" si="6"/>
        <v>Unique</v>
      </c>
      <c r="AA301" s="4" t="str">
        <f t="shared" si="7"/>
        <v>Valid</v>
      </c>
    </row>
    <row r="302">
      <c r="A302" s="3" t="s">
        <v>839</v>
      </c>
      <c r="B302" s="3">
        <v>6.9</v>
      </c>
      <c r="C302" s="17">
        <v>42259.43125</v>
      </c>
      <c r="D302" s="3">
        <v>8.0</v>
      </c>
      <c r="E302" s="3">
        <v>5.0</v>
      </c>
      <c r="F302" s="3" t="s">
        <v>109</v>
      </c>
      <c r="G302" s="3">
        <v>0.0</v>
      </c>
      <c r="H302" s="3">
        <v>738.0</v>
      </c>
      <c r="I302" s="3" t="s">
        <v>110</v>
      </c>
      <c r="J302" s="3">
        <v>0.0</v>
      </c>
      <c r="K302" s="3">
        <v>2.979</v>
      </c>
      <c r="L302" s="3">
        <v>14.0</v>
      </c>
      <c r="M302" s="3" t="s">
        <v>111</v>
      </c>
      <c r="N302" s="3">
        <v>21.0</v>
      </c>
      <c r="O302" s="3">
        <v>-4.1064</v>
      </c>
      <c r="P302" s="3">
        <v>129.508</v>
      </c>
      <c r="Q302" s="3" t="s">
        <v>840</v>
      </c>
      <c r="R302" s="4"/>
      <c r="S302" s="3" t="s">
        <v>153</v>
      </c>
      <c r="T302" s="16">
        <f t="shared" si="1"/>
        <v>42347.43125</v>
      </c>
      <c r="U302" s="4" t="b">
        <f t="shared" si="2"/>
        <v>1</v>
      </c>
      <c r="V302" s="4" t="b">
        <f t="shared" si="3"/>
        <v>1</v>
      </c>
      <c r="W302" s="4" t="str">
        <f t="shared" si="8"/>
        <v>Distance/Location</v>
      </c>
      <c r="X302" s="4" t="str">
        <f t="shared" si="4"/>
        <v>mww</v>
      </c>
      <c r="Y302" s="4">
        <f t="shared" si="5"/>
        <v>1</v>
      </c>
      <c r="Z302" s="4" t="str">
        <f t="shared" si="6"/>
        <v>Unique</v>
      </c>
      <c r="AA302" s="4" t="str">
        <f t="shared" si="7"/>
        <v>Valid</v>
      </c>
    </row>
    <row r="303">
      <c r="A303" s="3" t="s">
        <v>841</v>
      </c>
      <c r="B303" s="3">
        <v>7.2</v>
      </c>
      <c r="C303" s="17">
        <v>42197.32638888889</v>
      </c>
      <c r="D303" s="3">
        <v>4.0</v>
      </c>
      <c r="E303" s="3">
        <v>7.0</v>
      </c>
      <c r="F303" s="3" t="s">
        <v>109</v>
      </c>
      <c r="G303" s="3">
        <v>0.0</v>
      </c>
      <c r="H303" s="3">
        <v>827.0</v>
      </c>
      <c r="I303" s="3" t="s">
        <v>110</v>
      </c>
      <c r="J303" s="3">
        <v>0.0</v>
      </c>
      <c r="K303" s="3">
        <v>1.116</v>
      </c>
      <c r="L303" s="3">
        <v>18.0</v>
      </c>
      <c r="M303" s="3" t="s">
        <v>111</v>
      </c>
      <c r="N303" s="3">
        <v>22.0</v>
      </c>
      <c r="O303" s="3">
        <v>38.2107</v>
      </c>
      <c r="P303" s="3">
        <v>72.7797</v>
      </c>
      <c r="Q303" s="3" t="s">
        <v>190</v>
      </c>
      <c r="R303" s="3" t="s">
        <v>164</v>
      </c>
      <c r="S303" s="3" t="s">
        <v>191</v>
      </c>
      <c r="T303" s="16">
        <f t="shared" si="1"/>
        <v>42345.32639</v>
      </c>
      <c r="U303" s="4" t="b">
        <f t="shared" si="2"/>
        <v>1</v>
      </c>
      <c r="V303" s="4" t="b">
        <f t="shared" si="3"/>
        <v>1</v>
      </c>
      <c r="W303" s="4" t="str">
        <f t="shared" si="8"/>
        <v>Distance/Location</v>
      </c>
      <c r="X303" s="4" t="str">
        <f t="shared" si="4"/>
        <v>mww</v>
      </c>
      <c r="Y303" s="4">
        <f t="shared" si="5"/>
        <v>1</v>
      </c>
      <c r="Z303" s="4" t="str">
        <f t="shared" si="6"/>
        <v>Unique</v>
      </c>
      <c r="AA303" s="4" t="str">
        <f t="shared" si="7"/>
        <v>Valid</v>
      </c>
    </row>
    <row r="304">
      <c r="A304" s="3" t="s">
        <v>842</v>
      </c>
      <c r="B304" s="3">
        <v>6.7</v>
      </c>
      <c r="C304" s="3" t="s">
        <v>843</v>
      </c>
      <c r="D304" s="3">
        <v>2.0</v>
      </c>
      <c r="E304" s="3">
        <v>3.0</v>
      </c>
      <c r="F304" s="3" t="s">
        <v>109</v>
      </c>
      <c r="G304" s="3">
        <v>0.0</v>
      </c>
      <c r="H304" s="3">
        <v>691.0</v>
      </c>
      <c r="I304" s="3" t="s">
        <v>110</v>
      </c>
      <c r="J304" s="3">
        <v>0.0</v>
      </c>
      <c r="K304" s="3">
        <v>2.033</v>
      </c>
      <c r="L304" s="3">
        <v>19.0</v>
      </c>
      <c r="M304" s="3" t="s">
        <v>111</v>
      </c>
      <c r="N304" s="3">
        <v>602.75</v>
      </c>
      <c r="O304" s="3">
        <v>-9.1825</v>
      </c>
      <c r="P304" s="3">
        <v>-71.2574</v>
      </c>
      <c r="Q304" s="3" t="s">
        <v>260</v>
      </c>
      <c r="R304" s="3" t="s">
        <v>121</v>
      </c>
      <c r="S304" s="3" t="s">
        <v>261</v>
      </c>
      <c r="T304" s="16">
        <f t="shared" si="1"/>
        <v>42334.23958</v>
      </c>
      <c r="U304" s="4" t="b">
        <f t="shared" si="2"/>
        <v>1</v>
      </c>
      <c r="V304" s="4" t="b">
        <f t="shared" si="3"/>
        <v>0</v>
      </c>
      <c r="W304" s="4" t="str">
        <f t="shared" si="8"/>
        <v>Distance/Location</v>
      </c>
      <c r="X304" s="4" t="str">
        <f t="shared" si="4"/>
        <v>mww</v>
      </c>
      <c r="Y304" s="4">
        <f t="shared" si="5"/>
        <v>1</v>
      </c>
      <c r="Z304" s="4" t="str">
        <f t="shared" si="6"/>
        <v>Unique</v>
      </c>
      <c r="AA304" s="4" t="str">
        <f t="shared" si="7"/>
        <v>Valid</v>
      </c>
    </row>
    <row r="305">
      <c r="A305" s="3" t="s">
        <v>844</v>
      </c>
      <c r="B305" s="3">
        <v>7.6</v>
      </c>
      <c r="C305" s="3" t="s">
        <v>845</v>
      </c>
      <c r="D305" s="3">
        <v>5.0</v>
      </c>
      <c r="E305" s="3">
        <v>4.0</v>
      </c>
      <c r="F305" s="3" t="s">
        <v>109</v>
      </c>
      <c r="G305" s="3">
        <v>0.0</v>
      </c>
      <c r="H305" s="3">
        <v>896.0</v>
      </c>
      <c r="I305" s="3" t="s">
        <v>110</v>
      </c>
      <c r="J305" s="3">
        <v>0.0</v>
      </c>
      <c r="K305" s="3">
        <v>2.852</v>
      </c>
      <c r="L305" s="3">
        <v>10.0</v>
      </c>
      <c r="M305" s="3" t="s">
        <v>111</v>
      </c>
      <c r="N305" s="3">
        <v>620.56</v>
      </c>
      <c r="O305" s="3">
        <v>-10.0598</v>
      </c>
      <c r="P305" s="3">
        <v>-71.0184</v>
      </c>
      <c r="Q305" s="3" t="s">
        <v>603</v>
      </c>
      <c r="R305" s="3" t="s">
        <v>121</v>
      </c>
      <c r="S305" s="3" t="s">
        <v>265</v>
      </c>
      <c r="T305" s="16">
        <f t="shared" si="1"/>
        <v>42332.95139</v>
      </c>
      <c r="U305" s="4" t="b">
        <f t="shared" si="2"/>
        <v>1</v>
      </c>
      <c r="V305" s="4" t="b">
        <f t="shared" si="3"/>
        <v>0</v>
      </c>
      <c r="W305" s="4" t="str">
        <f t="shared" si="8"/>
        <v>Distance/Location</v>
      </c>
      <c r="X305" s="4" t="str">
        <f t="shared" si="4"/>
        <v>mww</v>
      </c>
      <c r="Y305" s="4">
        <f t="shared" si="5"/>
        <v>1</v>
      </c>
      <c r="Z305" s="4" t="str">
        <f t="shared" si="6"/>
        <v>Unique</v>
      </c>
      <c r="AA305" s="4" t="str">
        <f t="shared" si="7"/>
        <v>Valid</v>
      </c>
    </row>
    <row r="306">
      <c r="A306" s="3" t="s">
        <v>846</v>
      </c>
      <c r="B306" s="3">
        <v>7.6</v>
      </c>
      <c r="C306" s="3" t="s">
        <v>847</v>
      </c>
      <c r="D306" s="3">
        <v>6.0</v>
      </c>
      <c r="E306" s="3">
        <v>5.0</v>
      </c>
      <c r="F306" s="3" t="s">
        <v>109</v>
      </c>
      <c r="G306" s="3">
        <v>1.0</v>
      </c>
      <c r="H306" s="3">
        <v>957.0</v>
      </c>
      <c r="I306" s="3" t="s">
        <v>110</v>
      </c>
      <c r="J306" s="3">
        <v>0.0</v>
      </c>
      <c r="K306" s="3">
        <v>3.287</v>
      </c>
      <c r="L306" s="3">
        <v>10.0</v>
      </c>
      <c r="M306" s="3" t="s">
        <v>111</v>
      </c>
      <c r="N306" s="3">
        <v>606.21</v>
      </c>
      <c r="O306" s="3">
        <v>-10.5372</v>
      </c>
      <c r="P306" s="3">
        <v>-70.9437</v>
      </c>
      <c r="Q306" s="3" t="s">
        <v>603</v>
      </c>
      <c r="R306" s="3" t="s">
        <v>121</v>
      </c>
      <c r="S306" s="3" t="s">
        <v>265</v>
      </c>
      <c r="T306" s="16">
        <f t="shared" si="1"/>
        <v>42332.94792</v>
      </c>
      <c r="U306" s="4" t="b">
        <f t="shared" si="2"/>
        <v>1</v>
      </c>
      <c r="V306" s="4" t="b">
        <f t="shared" si="3"/>
        <v>0</v>
      </c>
      <c r="W306" s="4" t="str">
        <f t="shared" si="8"/>
        <v>Distance/Location</v>
      </c>
      <c r="X306" s="4" t="str">
        <f t="shared" si="4"/>
        <v>mww</v>
      </c>
      <c r="Y306" s="4">
        <f t="shared" si="5"/>
        <v>1</v>
      </c>
      <c r="Z306" s="4" t="str">
        <f t="shared" si="6"/>
        <v>Unique</v>
      </c>
      <c r="AA306" s="4" t="str">
        <f t="shared" si="7"/>
        <v>Valid</v>
      </c>
    </row>
    <row r="307">
      <c r="A307" s="3" t="s">
        <v>848</v>
      </c>
      <c r="B307" s="3">
        <v>6.8</v>
      </c>
      <c r="C307" s="3" t="s">
        <v>849</v>
      </c>
      <c r="D307" s="3">
        <v>5.0</v>
      </c>
      <c r="E307" s="3">
        <v>6.0</v>
      </c>
      <c r="F307" s="3" t="s">
        <v>109</v>
      </c>
      <c r="G307" s="3">
        <v>1.0</v>
      </c>
      <c r="H307" s="3">
        <v>715.0</v>
      </c>
      <c r="I307" s="3" t="s">
        <v>110</v>
      </c>
      <c r="J307" s="3">
        <v>0.0</v>
      </c>
      <c r="K307" s="3">
        <v>1.599</v>
      </c>
      <c r="L307" s="3">
        <v>19.0</v>
      </c>
      <c r="M307" s="3" t="s">
        <v>111</v>
      </c>
      <c r="N307" s="3">
        <v>12.59</v>
      </c>
      <c r="O307" s="3">
        <v>-8.8994</v>
      </c>
      <c r="P307" s="3">
        <v>158.422</v>
      </c>
      <c r="Q307" s="3" t="s">
        <v>850</v>
      </c>
      <c r="R307" s="4"/>
      <c r="S307" s="3" t="s">
        <v>214</v>
      </c>
      <c r="T307" s="16">
        <f t="shared" si="1"/>
        <v>42326.77153</v>
      </c>
      <c r="U307" s="4" t="b">
        <f t="shared" si="2"/>
        <v>1</v>
      </c>
      <c r="V307" s="4" t="b">
        <f t="shared" si="3"/>
        <v>0</v>
      </c>
      <c r="W307" s="4" t="str">
        <f t="shared" si="8"/>
        <v>Distance/Location</v>
      </c>
      <c r="X307" s="4" t="str">
        <f t="shared" si="4"/>
        <v>mww</v>
      </c>
      <c r="Y307" s="4">
        <f t="shared" si="5"/>
        <v>1</v>
      </c>
      <c r="Z307" s="4" t="str">
        <f t="shared" si="6"/>
        <v>Unique</v>
      </c>
      <c r="AA307" s="4" t="str">
        <f t="shared" si="7"/>
        <v>Valid</v>
      </c>
    </row>
    <row r="308">
      <c r="A308" s="3" t="s">
        <v>851</v>
      </c>
      <c r="B308" s="3">
        <v>6.5</v>
      </c>
      <c r="C308" s="3" t="s">
        <v>852</v>
      </c>
      <c r="D308" s="3">
        <v>7.0</v>
      </c>
      <c r="E308" s="3">
        <v>7.0</v>
      </c>
      <c r="F308" s="3" t="s">
        <v>178</v>
      </c>
      <c r="G308" s="3">
        <v>0.0</v>
      </c>
      <c r="H308" s="3">
        <v>1018.0</v>
      </c>
      <c r="I308" s="3" t="s">
        <v>110</v>
      </c>
      <c r="J308" s="3">
        <v>0.0</v>
      </c>
      <c r="K308" s="3">
        <v>0.0</v>
      </c>
      <c r="L308" s="3">
        <v>0.0</v>
      </c>
      <c r="M308" s="3" t="s">
        <v>111</v>
      </c>
      <c r="N308" s="3">
        <v>11.0</v>
      </c>
      <c r="O308" s="3">
        <v>38.67</v>
      </c>
      <c r="P308" s="3">
        <v>20.6</v>
      </c>
      <c r="Q308" s="3" t="s">
        <v>853</v>
      </c>
      <c r="R308" s="3" t="s">
        <v>404</v>
      </c>
      <c r="S308" s="3" t="s">
        <v>405</v>
      </c>
      <c r="T308" s="16">
        <f t="shared" si="1"/>
        <v>42325.29861</v>
      </c>
      <c r="U308" s="4" t="b">
        <f t="shared" si="2"/>
        <v>1</v>
      </c>
      <c r="V308" s="4" t="b">
        <f t="shared" si="3"/>
        <v>0</v>
      </c>
      <c r="W308" s="4" t="str">
        <f t="shared" si="8"/>
        <v>Distance/Location</v>
      </c>
      <c r="X308" s="4" t="str">
        <f t="shared" si="4"/>
        <v>mww</v>
      </c>
      <c r="Y308" s="4">
        <f t="shared" si="5"/>
        <v>1</v>
      </c>
      <c r="Z308" s="4" t="str">
        <f t="shared" si="6"/>
        <v>Unique</v>
      </c>
      <c r="AA308" s="4" t="str">
        <f t="shared" si="7"/>
        <v>Valid</v>
      </c>
    </row>
    <row r="309">
      <c r="A309" s="3" t="s">
        <v>854</v>
      </c>
      <c r="B309" s="3">
        <v>6.7</v>
      </c>
      <c r="C309" s="3" t="s">
        <v>855</v>
      </c>
      <c r="D309" s="3">
        <v>5.0</v>
      </c>
      <c r="E309" s="3">
        <v>4.0</v>
      </c>
      <c r="F309" s="3" t="s">
        <v>109</v>
      </c>
      <c r="G309" s="3">
        <v>0.0</v>
      </c>
      <c r="H309" s="3">
        <v>702.0</v>
      </c>
      <c r="I309" s="3" t="s">
        <v>110</v>
      </c>
      <c r="J309" s="3">
        <v>0.0</v>
      </c>
      <c r="K309" s="3">
        <v>1.444</v>
      </c>
      <c r="L309" s="3">
        <v>17.0</v>
      </c>
      <c r="M309" s="3" t="s">
        <v>111</v>
      </c>
      <c r="N309" s="3">
        <v>12.0</v>
      </c>
      <c r="O309" s="3">
        <v>31.0009</v>
      </c>
      <c r="P309" s="3">
        <v>128.873</v>
      </c>
      <c r="Q309" s="3" t="s">
        <v>856</v>
      </c>
      <c r="R309" s="4"/>
      <c r="S309" s="4"/>
      <c r="T309" s="16">
        <f t="shared" si="1"/>
        <v>42321.86875</v>
      </c>
      <c r="U309" s="4" t="b">
        <f t="shared" si="2"/>
        <v>1</v>
      </c>
      <c r="V309" s="4" t="b">
        <f t="shared" si="3"/>
        <v>0</v>
      </c>
      <c r="W309" s="4" t="str">
        <f t="shared" si="8"/>
        <v>Distance/Location</v>
      </c>
      <c r="X309" s="4" t="str">
        <f t="shared" si="4"/>
        <v>mww</v>
      </c>
      <c r="Y309" s="4">
        <f t="shared" si="5"/>
        <v>1</v>
      </c>
      <c r="Z309" s="4" t="str">
        <f t="shared" si="6"/>
        <v>Unique</v>
      </c>
      <c r="AA309" s="4" t="str">
        <f t="shared" si="7"/>
        <v>Valid</v>
      </c>
    </row>
    <row r="310">
      <c r="A310" s="3" t="s">
        <v>857</v>
      </c>
      <c r="B310" s="3">
        <v>6.9</v>
      </c>
      <c r="C310" s="18">
        <v>42319.115277777775</v>
      </c>
      <c r="D310" s="3">
        <v>5.0</v>
      </c>
      <c r="E310" s="3">
        <v>6.0</v>
      </c>
      <c r="F310" s="3" t="s">
        <v>109</v>
      </c>
      <c r="G310" s="3">
        <v>0.0</v>
      </c>
      <c r="H310" s="3">
        <v>744.0</v>
      </c>
      <c r="I310" s="3" t="s">
        <v>110</v>
      </c>
      <c r="J310" s="3">
        <v>0.0</v>
      </c>
      <c r="K310" s="3">
        <v>0.821</v>
      </c>
      <c r="L310" s="3">
        <v>43.0</v>
      </c>
      <c r="M310" s="3" t="s">
        <v>111</v>
      </c>
      <c r="N310" s="3">
        <v>10.0</v>
      </c>
      <c r="O310" s="3">
        <v>-29.5097</v>
      </c>
      <c r="P310" s="3">
        <v>-72.0585</v>
      </c>
      <c r="Q310" s="3" t="s">
        <v>547</v>
      </c>
      <c r="R310" s="4"/>
      <c r="S310" s="4"/>
      <c r="T310" s="16">
        <f t="shared" si="1"/>
        <v>42319.11528</v>
      </c>
      <c r="U310" s="4" t="b">
        <f t="shared" si="2"/>
        <v>1</v>
      </c>
      <c r="V310" s="4" t="b">
        <f t="shared" si="3"/>
        <v>1</v>
      </c>
      <c r="W310" s="4" t="str">
        <f t="shared" si="8"/>
        <v>Distance/Location</v>
      </c>
      <c r="X310" s="4" t="str">
        <f t="shared" si="4"/>
        <v>mww</v>
      </c>
      <c r="Y310" s="4">
        <f t="shared" si="5"/>
        <v>1</v>
      </c>
      <c r="Z310" s="4" t="str">
        <f t="shared" si="6"/>
        <v>Unique</v>
      </c>
      <c r="AA310" s="4" t="str">
        <f t="shared" si="7"/>
        <v>Valid</v>
      </c>
    </row>
    <row r="311">
      <c r="A311" s="3" t="s">
        <v>858</v>
      </c>
      <c r="B311" s="3">
        <v>6.9</v>
      </c>
      <c r="C311" s="18">
        <v>42319.07916666667</v>
      </c>
      <c r="D311" s="3">
        <v>6.0</v>
      </c>
      <c r="E311" s="3">
        <v>6.0</v>
      </c>
      <c r="F311" s="3" t="s">
        <v>109</v>
      </c>
      <c r="G311" s="3">
        <v>1.0</v>
      </c>
      <c r="H311" s="3">
        <v>761.0</v>
      </c>
      <c r="I311" s="3" t="s">
        <v>110</v>
      </c>
      <c r="J311" s="3">
        <v>0.0</v>
      </c>
      <c r="K311" s="3">
        <v>0.784</v>
      </c>
      <c r="L311" s="3">
        <v>32.0</v>
      </c>
      <c r="M311" s="3" t="s">
        <v>111</v>
      </c>
      <c r="N311" s="3">
        <v>12.0</v>
      </c>
      <c r="O311" s="3">
        <v>-29.5067</v>
      </c>
      <c r="P311" s="3">
        <v>-72.0068</v>
      </c>
      <c r="Q311" s="3" t="s">
        <v>547</v>
      </c>
      <c r="R311" s="4"/>
      <c r="S311" s="4"/>
      <c r="T311" s="16">
        <f t="shared" si="1"/>
        <v>42319.07917</v>
      </c>
      <c r="U311" s="4" t="b">
        <f t="shared" si="2"/>
        <v>1</v>
      </c>
      <c r="V311" s="4" t="b">
        <f t="shared" si="3"/>
        <v>1</v>
      </c>
      <c r="W311" s="4" t="str">
        <f t="shared" si="8"/>
        <v>Distance/Location</v>
      </c>
      <c r="X311" s="4" t="str">
        <f t="shared" si="4"/>
        <v>mww</v>
      </c>
      <c r="Y311" s="4">
        <f t="shared" si="5"/>
        <v>1</v>
      </c>
      <c r="Z311" s="4" t="str">
        <f t="shared" si="6"/>
        <v>Unique</v>
      </c>
      <c r="AA311" s="4" t="str">
        <f t="shared" si="7"/>
        <v>Valid</v>
      </c>
    </row>
    <row r="312">
      <c r="A312" s="3" t="s">
        <v>859</v>
      </c>
      <c r="B312" s="3">
        <v>6.6</v>
      </c>
      <c r="C312" s="17">
        <v>42227.69930555556</v>
      </c>
      <c r="D312" s="3">
        <v>7.0</v>
      </c>
      <c r="E312" s="3">
        <v>4.0</v>
      </c>
      <c r="F312" s="3" t="s">
        <v>109</v>
      </c>
      <c r="G312" s="3">
        <v>0.0</v>
      </c>
      <c r="H312" s="3">
        <v>675.0</v>
      </c>
      <c r="I312" s="3" t="s">
        <v>110</v>
      </c>
      <c r="J312" s="3">
        <v>0.0</v>
      </c>
      <c r="K312" s="3">
        <v>2.792</v>
      </c>
      <c r="L312" s="3">
        <v>31.0</v>
      </c>
      <c r="M312" s="3" t="s">
        <v>111</v>
      </c>
      <c r="N312" s="3">
        <v>10.0</v>
      </c>
      <c r="O312" s="3">
        <v>6.8431</v>
      </c>
      <c r="P312" s="3">
        <v>94.648</v>
      </c>
      <c r="Q312" s="3" t="s">
        <v>860</v>
      </c>
      <c r="R312" s="4"/>
      <c r="S312" s="4"/>
      <c r="T312" s="16">
        <f t="shared" si="1"/>
        <v>42316.69931</v>
      </c>
      <c r="U312" s="4" t="b">
        <f t="shared" si="2"/>
        <v>1</v>
      </c>
      <c r="V312" s="4" t="b">
        <f t="shared" si="3"/>
        <v>1</v>
      </c>
      <c r="W312" s="4" t="str">
        <f t="shared" si="8"/>
        <v>Named Region</v>
      </c>
      <c r="X312" s="4" t="str">
        <f t="shared" si="4"/>
        <v>mww</v>
      </c>
      <c r="Y312" s="4">
        <f t="shared" si="5"/>
        <v>1</v>
      </c>
      <c r="Z312" s="4" t="str">
        <f t="shared" si="6"/>
        <v>Unique</v>
      </c>
      <c r="AA312" s="4" t="str">
        <f t="shared" si="7"/>
        <v>Valid</v>
      </c>
    </row>
    <row r="313">
      <c r="A313" s="3" t="s">
        <v>861</v>
      </c>
      <c r="B313" s="3">
        <v>6.8</v>
      </c>
      <c r="C313" s="17">
        <v>42196.31319444445</v>
      </c>
      <c r="D313" s="3">
        <v>7.0</v>
      </c>
      <c r="E313" s="3">
        <v>7.0</v>
      </c>
      <c r="F313" s="3" t="s">
        <v>109</v>
      </c>
      <c r="G313" s="3">
        <v>1.0</v>
      </c>
      <c r="H313" s="3">
        <v>841.0</v>
      </c>
      <c r="I313" s="3" t="s">
        <v>110</v>
      </c>
      <c r="J313" s="3">
        <v>0.0</v>
      </c>
      <c r="K313" s="3">
        <v>0.258</v>
      </c>
      <c r="L313" s="3">
        <v>41.0</v>
      </c>
      <c r="M313" s="3" t="s">
        <v>111</v>
      </c>
      <c r="N313" s="3">
        <v>46.0</v>
      </c>
      <c r="O313" s="3">
        <v>-30.8796</v>
      </c>
      <c r="P313" s="3">
        <v>-71.4519</v>
      </c>
      <c r="Q313" s="3" t="s">
        <v>862</v>
      </c>
      <c r="R313" s="3" t="s">
        <v>121</v>
      </c>
      <c r="S313" s="3" t="s">
        <v>414</v>
      </c>
      <c r="T313" s="16">
        <f t="shared" si="1"/>
        <v>42315.31319</v>
      </c>
      <c r="U313" s="4" t="b">
        <f t="shared" si="2"/>
        <v>1</v>
      </c>
      <c r="V313" s="4" t="b">
        <f t="shared" si="3"/>
        <v>1</v>
      </c>
      <c r="W313" s="4" t="str">
        <f t="shared" si="8"/>
        <v>Distance/Location</v>
      </c>
      <c r="X313" s="4" t="str">
        <f t="shared" si="4"/>
        <v>mww</v>
      </c>
      <c r="Y313" s="4">
        <f t="shared" si="5"/>
        <v>1</v>
      </c>
      <c r="Z313" s="4" t="str">
        <f t="shared" si="6"/>
        <v>Unique</v>
      </c>
      <c r="AA313" s="4" t="str">
        <f t="shared" si="7"/>
        <v>Valid</v>
      </c>
    </row>
    <row r="314">
      <c r="A314" s="3" t="s">
        <v>863</v>
      </c>
      <c r="B314" s="3">
        <v>6.5</v>
      </c>
      <c r="C314" s="17">
        <v>42105.15555555555</v>
      </c>
      <c r="D314" s="3">
        <v>5.0</v>
      </c>
      <c r="E314" s="3">
        <v>7.0</v>
      </c>
      <c r="F314" s="3" t="s">
        <v>109</v>
      </c>
      <c r="G314" s="3">
        <v>0.0</v>
      </c>
      <c r="H314" s="3">
        <v>657.0</v>
      </c>
      <c r="I314" s="3" t="s">
        <v>110</v>
      </c>
      <c r="J314" s="3">
        <v>0.0</v>
      </c>
      <c r="K314" s="3">
        <v>1.53</v>
      </c>
      <c r="L314" s="3">
        <v>21.0</v>
      </c>
      <c r="M314" s="3" t="s">
        <v>111</v>
      </c>
      <c r="N314" s="3">
        <v>20.0</v>
      </c>
      <c r="O314" s="3">
        <v>-8.3381</v>
      </c>
      <c r="P314" s="3">
        <v>124.875</v>
      </c>
      <c r="Q314" s="3" t="s">
        <v>864</v>
      </c>
      <c r="R314" s="4"/>
      <c r="S314" s="3" t="s">
        <v>153</v>
      </c>
      <c r="T314" s="16">
        <f t="shared" si="1"/>
        <v>42312.15556</v>
      </c>
      <c r="U314" s="4" t="b">
        <f t="shared" si="2"/>
        <v>1</v>
      </c>
      <c r="V314" s="4" t="b">
        <f t="shared" si="3"/>
        <v>1</v>
      </c>
      <c r="W314" s="4" t="str">
        <f t="shared" si="8"/>
        <v>Distance/Location</v>
      </c>
      <c r="X314" s="4" t="str">
        <f t="shared" si="4"/>
        <v>mww</v>
      </c>
      <c r="Y314" s="4">
        <f t="shared" si="5"/>
        <v>1</v>
      </c>
      <c r="Z314" s="4" t="str">
        <f t="shared" si="6"/>
        <v>Unique</v>
      </c>
      <c r="AA314" s="4" t="str">
        <f t="shared" si="7"/>
        <v>Valid</v>
      </c>
    </row>
    <row r="315">
      <c r="A315" s="3" t="s">
        <v>865</v>
      </c>
      <c r="B315" s="3">
        <v>7.5</v>
      </c>
      <c r="C315" s="3" t="s">
        <v>866</v>
      </c>
      <c r="D315" s="3">
        <v>8.0</v>
      </c>
      <c r="E315" s="3">
        <v>7.0</v>
      </c>
      <c r="F315" s="3" t="s">
        <v>178</v>
      </c>
      <c r="G315" s="3">
        <v>0.0</v>
      </c>
      <c r="H315" s="3">
        <v>1448.0</v>
      </c>
      <c r="I315" s="3" t="s">
        <v>110</v>
      </c>
      <c r="J315" s="3">
        <v>0.0</v>
      </c>
      <c r="K315" s="3">
        <v>0.622</v>
      </c>
      <c r="L315" s="3">
        <v>18.0</v>
      </c>
      <c r="M315" s="3" t="s">
        <v>111</v>
      </c>
      <c r="N315" s="3">
        <v>231.0</v>
      </c>
      <c r="O315" s="3">
        <v>36.5244</v>
      </c>
      <c r="P315" s="3">
        <v>70.3676</v>
      </c>
      <c r="Q315" s="3" t="s">
        <v>867</v>
      </c>
      <c r="R315" s="3" t="s">
        <v>164</v>
      </c>
      <c r="S315" s="3" t="s">
        <v>175</v>
      </c>
      <c r="T315" s="16">
        <f t="shared" si="1"/>
        <v>42303.38125</v>
      </c>
      <c r="U315" s="4" t="b">
        <f t="shared" si="2"/>
        <v>1</v>
      </c>
      <c r="V315" s="4" t="b">
        <f t="shared" si="3"/>
        <v>0</v>
      </c>
      <c r="W315" s="4" t="str">
        <f t="shared" si="8"/>
        <v>Named Region</v>
      </c>
      <c r="X315" s="4" t="str">
        <f t="shared" si="4"/>
        <v>mww</v>
      </c>
      <c r="Y315" s="4">
        <f t="shared" si="5"/>
        <v>1</v>
      </c>
      <c r="Z315" s="4" t="str">
        <f t="shared" si="6"/>
        <v>Unique</v>
      </c>
      <c r="AA315" s="4" t="str">
        <f t="shared" si="7"/>
        <v>Valid</v>
      </c>
    </row>
    <row r="316">
      <c r="A316" s="3" t="s">
        <v>868</v>
      </c>
      <c r="B316" s="3">
        <v>7.1</v>
      </c>
      <c r="C316" s="3" t="s">
        <v>869</v>
      </c>
      <c r="D316" s="3">
        <v>6.0</v>
      </c>
      <c r="E316" s="3">
        <v>6.0</v>
      </c>
      <c r="F316" s="3" t="s">
        <v>109</v>
      </c>
      <c r="G316" s="3">
        <v>1.0</v>
      </c>
      <c r="H316" s="3">
        <v>780.0</v>
      </c>
      <c r="I316" s="3" t="s">
        <v>110</v>
      </c>
      <c r="J316" s="3">
        <v>0.0</v>
      </c>
      <c r="K316" s="3">
        <v>0.592</v>
      </c>
      <c r="L316" s="3">
        <v>11.0</v>
      </c>
      <c r="M316" s="3" t="s">
        <v>111</v>
      </c>
      <c r="N316" s="3">
        <v>135.0</v>
      </c>
      <c r="O316" s="3">
        <v>-14.8595</v>
      </c>
      <c r="P316" s="3">
        <v>167.303</v>
      </c>
      <c r="Q316" s="3" t="s">
        <v>185</v>
      </c>
      <c r="R316" s="4"/>
      <c r="S316" s="3" t="s">
        <v>113</v>
      </c>
      <c r="T316" s="16">
        <f t="shared" si="1"/>
        <v>42297.91111</v>
      </c>
      <c r="U316" s="4" t="b">
        <f t="shared" si="2"/>
        <v>1</v>
      </c>
      <c r="V316" s="4" t="b">
        <f t="shared" si="3"/>
        <v>0</v>
      </c>
      <c r="W316" s="4" t="str">
        <f t="shared" si="8"/>
        <v>Distance/Location</v>
      </c>
      <c r="X316" s="4" t="str">
        <f t="shared" si="4"/>
        <v>mww</v>
      </c>
      <c r="Y316" s="4">
        <f t="shared" si="5"/>
        <v>1</v>
      </c>
      <c r="Z316" s="4" t="str">
        <f t="shared" si="6"/>
        <v>Unique</v>
      </c>
      <c r="AA316" s="4" t="str">
        <f t="shared" si="7"/>
        <v>Valid</v>
      </c>
    </row>
    <row r="317">
      <c r="A317" s="3" t="s">
        <v>870</v>
      </c>
      <c r="B317" s="3">
        <v>6.6</v>
      </c>
      <c r="C317" s="3" t="s">
        <v>871</v>
      </c>
      <c r="D317" s="3">
        <v>7.0</v>
      </c>
      <c r="E317" s="3">
        <v>7.0</v>
      </c>
      <c r="F317" s="3" t="s">
        <v>109</v>
      </c>
      <c r="G317" s="3">
        <v>0.0</v>
      </c>
      <c r="H317" s="3">
        <v>671.0</v>
      </c>
      <c r="I317" s="3" t="s">
        <v>110</v>
      </c>
      <c r="J317" s="3">
        <v>0.0</v>
      </c>
      <c r="K317" s="3">
        <v>2.486</v>
      </c>
      <c r="L317" s="3">
        <v>13.0</v>
      </c>
      <c r="M317" s="3" t="s">
        <v>111</v>
      </c>
      <c r="N317" s="3">
        <v>18.0</v>
      </c>
      <c r="O317" s="3">
        <v>-0.6212</v>
      </c>
      <c r="P317" s="3">
        <v>131.262</v>
      </c>
      <c r="Q317" s="3" t="s">
        <v>872</v>
      </c>
      <c r="R317" s="4"/>
      <c r="S317" s="3" t="s">
        <v>153</v>
      </c>
      <c r="T317" s="16">
        <f t="shared" si="1"/>
        <v>42271.66181</v>
      </c>
      <c r="U317" s="4" t="b">
        <f t="shared" si="2"/>
        <v>1</v>
      </c>
      <c r="V317" s="4" t="b">
        <f t="shared" si="3"/>
        <v>0</v>
      </c>
      <c r="W317" s="4" t="str">
        <f t="shared" si="8"/>
        <v>Distance/Location</v>
      </c>
      <c r="X317" s="4" t="str">
        <f t="shared" si="4"/>
        <v>mww</v>
      </c>
      <c r="Y317" s="4">
        <f t="shared" si="5"/>
        <v>1</v>
      </c>
      <c r="Z317" s="4" t="str">
        <f t="shared" si="6"/>
        <v>Unique</v>
      </c>
      <c r="AA317" s="4" t="str">
        <f t="shared" si="7"/>
        <v>Valid</v>
      </c>
    </row>
    <row r="318">
      <c r="A318" s="3" t="s">
        <v>873</v>
      </c>
      <c r="B318" s="3">
        <v>6.6</v>
      </c>
      <c r="C318" s="3" t="s">
        <v>874</v>
      </c>
      <c r="D318" s="3">
        <v>5.0</v>
      </c>
      <c r="E318" s="3">
        <v>7.0</v>
      </c>
      <c r="F318" s="3" t="s">
        <v>109</v>
      </c>
      <c r="G318" s="3">
        <v>1.0</v>
      </c>
      <c r="H318" s="3">
        <v>820.0</v>
      </c>
      <c r="I318" s="3" t="s">
        <v>110</v>
      </c>
      <c r="J318" s="3">
        <v>0.0</v>
      </c>
      <c r="K318" s="3">
        <v>1.064</v>
      </c>
      <c r="L318" s="3">
        <v>14.0</v>
      </c>
      <c r="M318" s="3" t="s">
        <v>111</v>
      </c>
      <c r="N318" s="3">
        <v>35.0</v>
      </c>
      <c r="O318" s="3">
        <v>-31.7275</v>
      </c>
      <c r="P318" s="3">
        <v>-71.3792</v>
      </c>
      <c r="Q318" s="3" t="s">
        <v>875</v>
      </c>
      <c r="R318" s="3" t="s">
        <v>121</v>
      </c>
      <c r="S318" s="3" t="s">
        <v>414</v>
      </c>
      <c r="T318" s="16">
        <f t="shared" si="1"/>
        <v>42268.73611</v>
      </c>
      <c r="U318" s="4" t="b">
        <f t="shared" si="2"/>
        <v>1</v>
      </c>
      <c r="V318" s="4" t="b">
        <f t="shared" si="3"/>
        <v>0</v>
      </c>
      <c r="W318" s="4" t="str">
        <f t="shared" si="8"/>
        <v>Distance/Location</v>
      </c>
      <c r="X318" s="4" t="str">
        <f t="shared" si="4"/>
        <v>mww</v>
      </c>
      <c r="Y318" s="4">
        <f t="shared" si="5"/>
        <v>1</v>
      </c>
      <c r="Z318" s="4" t="str">
        <f t="shared" si="6"/>
        <v>Unique</v>
      </c>
      <c r="AA318" s="4" t="str">
        <f t="shared" si="7"/>
        <v>Valid</v>
      </c>
    </row>
    <row r="319">
      <c r="A319" s="3" t="s">
        <v>876</v>
      </c>
      <c r="B319" s="3">
        <v>6.7</v>
      </c>
      <c r="C319" s="3" t="s">
        <v>877</v>
      </c>
      <c r="D319" s="3">
        <v>5.0</v>
      </c>
      <c r="E319" s="3">
        <v>7.0</v>
      </c>
      <c r="F319" s="3" t="s">
        <v>109</v>
      </c>
      <c r="G319" s="3">
        <v>0.0</v>
      </c>
      <c r="H319" s="3">
        <v>718.0</v>
      </c>
      <c r="I319" s="3" t="s">
        <v>110</v>
      </c>
      <c r="J319" s="3">
        <v>0.0</v>
      </c>
      <c r="K319" s="3">
        <v>0.853</v>
      </c>
      <c r="L319" s="3">
        <v>35.0</v>
      </c>
      <c r="M319" s="3" t="s">
        <v>111</v>
      </c>
      <c r="N319" s="3">
        <v>23.0</v>
      </c>
      <c r="O319" s="3">
        <v>-31.5173</v>
      </c>
      <c r="P319" s="3">
        <v>-71.804</v>
      </c>
      <c r="Q319" s="3" t="s">
        <v>875</v>
      </c>
      <c r="R319" s="4"/>
      <c r="S319" s="3" t="s">
        <v>414</v>
      </c>
      <c r="T319" s="16">
        <f t="shared" si="1"/>
        <v>42264.17361</v>
      </c>
      <c r="U319" s="4" t="b">
        <f t="shared" si="2"/>
        <v>1</v>
      </c>
      <c r="V319" s="4" t="b">
        <f t="shared" si="3"/>
        <v>0</v>
      </c>
      <c r="W319" s="4" t="str">
        <f t="shared" si="8"/>
        <v>Distance/Location</v>
      </c>
      <c r="X319" s="4" t="str">
        <f t="shared" si="4"/>
        <v>mww</v>
      </c>
      <c r="Y319" s="4">
        <f t="shared" si="5"/>
        <v>1</v>
      </c>
      <c r="Z319" s="4" t="str">
        <f t="shared" si="6"/>
        <v>Unique</v>
      </c>
      <c r="AA319" s="4" t="str">
        <f t="shared" si="7"/>
        <v>Valid</v>
      </c>
    </row>
    <row r="320">
      <c r="A320" s="3" t="s">
        <v>878</v>
      </c>
      <c r="B320" s="3">
        <v>6.5</v>
      </c>
      <c r="C320" s="3" t="s">
        <v>879</v>
      </c>
      <c r="D320" s="3">
        <v>6.0</v>
      </c>
      <c r="E320" s="3">
        <v>7.0</v>
      </c>
      <c r="F320" s="3" t="s">
        <v>109</v>
      </c>
      <c r="G320" s="3">
        <v>0.0</v>
      </c>
      <c r="H320" s="3">
        <v>657.0</v>
      </c>
      <c r="I320" s="3" t="s">
        <v>110</v>
      </c>
      <c r="J320" s="3">
        <v>0.0</v>
      </c>
      <c r="K320" s="3">
        <v>0.749</v>
      </c>
      <c r="L320" s="3">
        <v>62.0</v>
      </c>
      <c r="M320" s="3" t="s">
        <v>111</v>
      </c>
      <c r="N320" s="3">
        <v>27.0</v>
      </c>
      <c r="O320" s="3">
        <v>-31.4244</v>
      </c>
      <c r="P320" s="3">
        <v>-71.6876</v>
      </c>
      <c r="Q320" s="3" t="s">
        <v>875</v>
      </c>
      <c r="R320" s="4"/>
      <c r="S320" s="3" t="s">
        <v>414</v>
      </c>
      <c r="T320" s="16">
        <f t="shared" si="1"/>
        <v>42264.16319</v>
      </c>
      <c r="U320" s="4" t="b">
        <f t="shared" si="2"/>
        <v>1</v>
      </c>
      <c r="V320" s="4" t="b">
        <f t="shared" si="3"/>
        <v>0</v>
      </c>
      <c r="W320" s="4" t="str">
        <f t="shared" si="8"/>
        <v>Distance/Location</v>
      </c>
      <c r="X320" s="4" t="str">
        <f t="shared" si="4"/>
        <v>mww</v>
      </c>
      <c r="Y320" s="4">
        <f t="shared" si="5"/>
        <v>1</v>
      </c>
      <c r="Z320" s="4" t="str">
        <f t="shared" si="6"/>
        <v>Unique</v>
      </c>
      <c r="AA320" s="4" t="str">
        <f t="shared" si="7"/>
        <v>Valid</v>
      </c>
    </row>
    <row r="321">
      <c r="A321" s="3" t="s">
        <v>880</v>
      </c>
      <c r="B321" s="3">
        <v>7.0</v>
      </c>
      <c r="C321" s="3" t="s">
        <v>881</v>
      </c>
      <c r="D321" s="3">
        <v>8.0</v>
      </c>
      <c r="E321" s="3">
        <v>7.0</v>
      </c>
      <c r="F321" s="3" t="s">
        <v>109</v>
      </c>
      <c r="G321" s="3">
        <v>0.0</v>
      </c>
      <c r="H321" s="3">
        <v>799.0</v>
      </c>
      <c r="I321" s="3" t="s">
        <v>110</v>
      </c>
      <c r="J321" s="3">
        <v>0.0</v>
      </c>
      <c r="K321" s="3">
        <v>0.903</v>
      </c>
      <c r="L321" s="3">
        <v>13.0</v>
      </c>
      <c r="M321" s="3" t="s">
        <v>111</v>
      </c>
      <c r="N321" s="3">
        <v>28.41</v>
      </c>
      <c r="O321" s="3">
        <v>-31.5622</v>
      </c>
      <c r="P321" s="3">
        <v>-71.4262</v>
      </c>
      <c r="Q321" s="3" t="s">
        <v>875</v>
      </c>
      <c r="R321" s="3" t="s">
        <v>121</v>
      </c>
      <c r="S321" s="3" t="s">
        <v>414</v>
      </c>
      <c r="T321" s="16">
        <f t="shared" si="1"/>
        <v>42263.97083</v>
      </c>
      <c r="U321" s="4" t="b">
        <f t="shared" si="2"/>
        <v>1</v>
      </c>
      <c r="V321" s="4" t="b">
        <f t="shared" si="3"/>
        <v>0</v>
      </c>
      <c r="W321" s="4" t="str">
        <f t="shared" si="8"/>
        <v>Distance/Location</v>
      </c>
      <c r="X321" s="4" t="str">
        <f t="shared" si="4"/>
        <v>mww</v>
      </c>
      <c r="Y321" s="4">
        <f t="shared" si="5"/>
        <v>1</v>
      </c>
      <c r="Z321" s="4" t="str">
        <f t="shared" si="6"/>
        <v>Unique</v>
      </c>
      <c r="AA321" s="4" t="str">
        <f t="shared" si="7"/>
        <v>Valid</v>
      </c>
    </row>
    <row r="322">
      <c r="A322" s="3" t="s">
        <v>882</v>
      </c>
      <c r="B322" s="3">
        <v>8.3</v>
      </c>
      <c r="C322" s="3" t="s">
        <v>883</v>
      </c>
      <c r="D322" s="3">
        <v>9.0</v>
      </c>
      <c r="E322" s="3">
        <v>8.0</v>
      </c>
      <c r="F322" s="3" t="s">
        <v>178</v>
      </c>
      <c r="G322" s="3">
        <v>1.0</v>
      </c>
      <c r="H322" s="3">
        <v>1960.0</v>
      </c>
      <c r="I322" s="3" t="s">
        <v>110</v>
      </c>
      <c r="J322" s="3">
        <v>0.0</v>
      </c>
      <c r="K322" s="3">
        <v>0.684</v>
      </c>
      <c r="L322" s="3">
        <v>19.0</v>
      </c>
      <c r="M322" s="3" t="s">
        <v>111</v>
      </c>
      <c r="N322" s="3">
        <v>22.44</v>
      </c>
      <c r="O322" s="3">
        <v>-31.5729</v>
      </c>
      <c r="P322" s="3">
        <v>-71.6744</v>
      </c>
      <c r="Q322" s="3" t="s">
        <v>875</v>
      </c>
      <c r="R322" s="4"/>
      <c r="S322" s="3" t="s">
        <v>414</v>
      </c>
      <c r="T322" s="16">
        <f t="shared" si="1"/>
        <v>42263.95417</v>
      </c>
      <c r="U322" s="4" t="b">
        <f t="shared" si="2"/>
        <v>1</v>
      </c>
      <c r="V322" s="4" t="b">
        <f t="shared" si="3"/>
        <v>0</v>
      </c>
      <c r="W322" s="4" t="str">
        <f t="shared" si="8"/>
        <v>Distance/Location</v>
      </c>
      <c r="X322" s="4" t="str">
        <f t="shared" si="4"/>
        <v>mww</v>
      </c>
      <c r="Y322" s="4">
        <f t="shared" si="5"/>
        <v>1</v>
      </c>
      <c r="Z322" s="4" t="str">
        <f t="shared" si="6"/>
        <v>Unique</v>
      </c>
      <c r="AA322" s="4" t="str">
        <f t="shared" si="7"/>
        <v>Valid</v>
      </c>
    </row>
    <row r="323">
      <c r="A323" s="3" t="s">
        <v>884</v>
      </c>
      <c r="B323" s="3">
        <v>6.7</v>
      </c>
      <c r="C323" s="3" t="s">
        <v>885</v>
      </c>
      <c r="D323" s="3">
        <v>5.0</v>
      </c>
      <c r="E323" s="3">
        <v>5.0</v>
      </c>
      <c r="F323" s="3" t="s">
        <v>109</v>
      </c>
      <c r="G323" s="3">
        <v>1.0</v>
      </c>
      <c r="H323" s="3">
        <v>708.0</v>
      </c>
      <c r="I323" s="3" t="s">
        <v>110</v>
      </c>
      <c r="J323" s="3">
        <v>0.0</v>
      </c>
      <c r="K323" s="3">
        <v>1.256</v>
      </c>
      <c r="L323" s="3">
        <v>123.0</v>
      </c>
      <c r="M323" s="3" t="s">
        <v>111</v>
      </c>
      <c r="N323" s="3">
        <v>10.0</v>
      </c>
      <c r="O323" s="3">
        <v>24.913</v>
      </c>
      <c r="P323" s="3">
        <v>-109.623</v>
      </c>
      <c r="Q323" s="3" t="s">
        <v>886</v>
      </c>
      <c r="R323" s="4"/>
      <c r="S323" s="4"/>
      <c r="T323" s="16">
        <f t="shared" si="1"/>
        <v>42260.34306</v>
      </c>
      <c r="U323" s="4" t="b">
        <f t="shared" si="2"/>
        <v>1</v>
      </c>
      <c r="V323" s="4" t="b">
        <f t="shared" si="3"/>
        <v>0</v>
      </c>
      <c r="W323" s="4" t="str">
        <f t="shared" si="8"/>
        <v>Distance/Location</v>
      </c>
      <c r="X323" s="4" t="str">
        <f t="shared" si="4"/>
        <v>mww</v>
      </c>
      <c r="Y323" s="4">
        <f t="shared" si="5"/>
        <v>1</v>
      </c>
      <c r="Z323" s="4" t="str">
        <f t="shared" si="6"/>
        <v>Unique</v>
      </c>
      <c r="AA323" s="4" t="str">
        <f t="shared" si="7"/>
        <v>Valid</v>
      </c>
    </row>
    <row r="324">
      <c r="A324" s="3" t="s">
        <v>887</v>
      </c>
      <c r="B324" s="3">
        <v>6.5</v>
      </c>
      <c r="C324" s="17">
        <v>42346.78402777778</v>
      </c>
      <c r="D324" s="3">
        <v>0.0</v>
      </c>
      <c r="E324" s="3">
        <v>5.0</v>
      </c>
      <c r="F324" s="3" t="s">
        <v>109</v>
      </c>
      <c r="G324" s="3">
        <v>1.0</v>
      </c>
      <c r="H324" s="3">
        <v>650.0</v>
      </c>
      <c r="I324" s="3" t="s">
        <v>110</v>
      </c>
      <c r="J324" s="3">
        <v>0.0</v>
      </c>
      <c r="K324" s="3">
        <v>2.045</v>
      </c>
      <c r="L324" s="3">
        <v>16.0</v>
      </c>
      <c r="M324" s="3" t="s">
        <v>111</v>
      </c>
      <c r="N324" s="3">
        <v>6.43</v>
      </c>
      <c r="O324" s="3">
        <v>-9.3293</v>
      </c>
      <c r="P324" s="3">
        <v>157.877</v>
      </c>
      <c r="Q324" s="3" t="s">
        <v>888</v>
      </c>
      <c r="R324" s="4"/>
      <c r="S324" s="4"/>
      <c r="T324" s="16">
        <f t="shared" si="1"/>
        <v>42228.78403</v>
      </c>
      <c r="U324" s="4" t="b">
        <f t="shared" si="2"/>
        <v>1</v>
      </c>
      <c r="V324" s="4" t="b">
        <f t="shared" si="3"/>
        <v>1</v>
      </c>
      <c r="W324" s="4" t="str">
        <f t="shared" si="8"/>
        <v>Distance/Location</v>
      </c>
      <c r="X324" s="4" t="str">
        <f t="shared" si="4"/>
        <v>mww</v>
      </c>
      <c r="Y324" s="4">
        <f t="shared" si="5"/>
        <v>1</v>
      </c>
      <c r="Z324" s="4" t="str">
        <f t="shared" si="6"/>
        <v>Unique</v>
      </c>
      <c r="AA324" s="4" t="str">
        <f t="shared" si="7"/>
        <v>Valid</v>
      </c>
    </row>
    <row r="325">
      <c r="A325" s="3" t="s">
        <v>889</v>
      </c>
      <c r="B325" s="3">
        <v>6.6</v>
      </c>
      <c r="C325" s="17">
        <v>42285.175</v>
      </c>
      <c r="D325" s="3">
        <v>3.0</v>
      </c>
      <c r="E325" s="3">
        <v>5.0</v>
      </c>
      <c r="F325" s="3" t="s">
        <v>109</v>
      </c>
      <c r="G325" s="3">
        <v>1.0</v>
      </c>
      <c r="H325" s="3">
        <v>671.0</v>
      </c>
      <c r="I325" s="3" t="s">
        <v>110</v>
      </c>
      <c r="J325" s="3">
        <v>0.0</v>
      </c>
      <c r="K325" s="3">
        <v>1.872</v>
      </c>
      <c r="L325" s="3">
        <v>20.0</v>
      </c>
      <c r="M325" s="3" t="s">
        <v>111</v>
      </c>
      <c r="N325" s="3">
        <v>22.0</v>
      </c>
      <c r="O325" s="3">
        <v>-9.3438</v>
      </c>
      <c r="P325" s="3">
        <v>158.053</v>
      </c>
      <c r="Q325" s="3" t="s">
        <v>212</v>
      </c>
      <c r="R325" s="4"/>
      <c r="S325" s="4"/>
      <c r="T325" s="16">
        <f t="shared" si="1"/>
        <v>42226.175</v>
      </c>
      <c r="U325" s="4" t="b">
        <f t="shared" si="2"/>
        <v>1</v>
      </c>
      <c r="V325" s="4" t="b">
        <f t="shared" si="3"/>
        <v>1</v>
      </c>
      <c r="W325" s="4" t="str">
        <f t="shared" si="8"/>
        <v>Distance/Location</v>
      </c>
      <c r="X325" s="4" t="str">
        <f t="shared" si="4"/>
        <v>mww</v>
      </c>
      <c r="Y325" s="4">
        <f t="shared" si="5"/>
        <v>1</v>
      </c>
      <c r="Z325" s="4" t="str">
        <f t="shared" si="6"/>
        <v>Unique</v>
      </c>
      <c r="AA325" s="4" t="str">
        <f t="shared" si="7"/>
        <v>Valid</v>
      </c>
    </row>
    <row r="326">
      <c r="A326" s="3" t="s">
        <v>890</v>
      </c>
      <c r="B326" s="3">
        <v>7.0</v>
      </c>
      <c r="C326" s="3" t="s">
        <v>891</v>
      </c>
      <c r="D326" s="3">
        <v>9.0</v>
      </c>
      <c r="E326" s="3">
        <v>7.0</v>
      </c>
      <c r="F326" s="3" t="s">
        <v>109</v>
      </c>
      <c r="G326" s="3">
        <v>1.0</v>
      </c>
      <c r="H326" s="3">
        <v>762.0</v>
      </c>
      <c r="I326" s="3" t="s">
        <v>110</v>
      </c>
      <c r="J326" s="3">
        <v>0.0</v>
      </c>
      <c r="K326" s="3">
        <v>6.278</v>
      </c>
      <c r="L326" s="3">
        <v>12.0</v>
      </c>
      <c r="M326" s="3" t="s">
        <v>111</v>
      </c>
      <c r="N326" s="3">
        <v>48.0</v>
      </c>
      <c r="O326" s="3">
        <v>-2.6286</v>
      </c>
      <c r="P326" s="3">
        <v>138.528</v>
      </c>
      <c r="Q326" s="3" t="s">
        <v>892</v>
      </c>
      <c r="R326" s="4"/>
      <c r="S326" s="3" t="s">
        <v>153</v>
      </c>
      <c r="T326" s="16">
        <f t="shared" si="1"/>
        <v>42212.90347</v>
      </c>
      <c r="U326" s="4" t="b">
        <f t="shared" si="2"/>
        <v>1</v>
      </c>
      <c r="V326" s="4" t="b">
        <f t="shared" si="3"/>
        <v>0</v>
      </c>
      <c r="W326" s="4" t="str">
        <f t="shared" si="8"/>
        <v>Distance/Location</v>
      </c>
      <c r="X326" s="4" t="str">
        <f t="shared" si="4"/>
        <v>mww</v>
      </c>
      <c r="Y326" s="4">
        <f t="shared" si="5"/>
        <v>1</v>
      </c>
      <c r="Z326" s="4" t="str">
        <f t="shared" si="6"/>
        <v>Unique</v>
      </c>
      <c r="AA326" s="4" t="str">
        <f t="shared" si="7"/>
        <v>Valid</v>
      </c>
    </row>
    <row r="327">
      <c r="A327" s="3" t="s">
        <v>893</v>
      </c>
      <c r="B327" s="3">
        <v>6.9</v>
      </c>
      <c r="C327" s="3" t="s">
        <v>894</v>
      </c>
      <c r="D327" s="3">
        <v>4.0</v>
      </c>
      <c r="E327" s="3">
        <v>7.0</v>
      </c>
      <c r="F327" s="3" t="s">
        <v>109</v>
      </c>
      <c r="G327" s="3">
        <v>1.0</v>
      </c>
      <c r="H327" s="3">
        <v>734.0</v>
      </c>
      <c r="I327" s="3" t="s">
        <v>110</v>
      </c>
      <c r="J327" s="3">
        <v>0.0</v>
      </c>
      <c r="K327" s="3">
        <v>0.444</v>
      </c>
      <c r="L327" s="3">
        <v>39.0</v>
      </c>
      <c r="M327" s="3" t="s">
        <v>111</v>
      </c>
      <c r="N327" s="3">
        <v>29.0</v>
      </c>
      <c r="O327" s="3">
        <v>52.376</v>
      </c>
      <c r="P327" s="3">
        <v>-169.446</v>
      </c>
      <c r="Q327" s="3" t="s">
        <v>895</v>
      </c>
      <c r="R327" s="4"/>
      <c r="S327" s="4"/>
      <c r="T327" s="16">
        <f t="shared" si="1"/>
        <v>42212.20069</v>
      </c>
      <c r="U327" s="4" t="b">
        <f t="shared" si="2"/>
        <v>1</v>
      </c>
      <c r="V327" s="4" t="b">
        <f t="shared" si="3"/>
        <v>0</v>
      </c>
      <c r="W327" s="4" t="str">
        <f t="shared" si="8"/>
        <v>Named Region</v>
      </c>
      <c r="X327" s="4" t="str">
        <f t="shared" si="4"/>
        <v>mww</v>
      </c>
      <c r="Y327" s="4">
        <f t="shared" si="5"/>
        <v>1</v>
      </c>
      <c r="Z327" s="4" t="str">
        <f t="shared" si="6"/>
        <v>Unique</v>
      </c>
      <c r="AA327" s="4" t="str">
        <f t="shared" si="7"/>
        <v>Valid</v>
      </c>
    </row>
    <row r="328">
      <c r="A328" s="3" t="s">
        <v>896</v>
      </c>
      <c r="B328" s="3">
        <v>7.0</v>
      </c>
      <c r="C328" s="3" t="s">
        <v>897</v>
      </c>
      <c r="D328" s="3">
        <v>8.0</v>
      </c>
      <c r="E328" s="3">
        <v>6.0</v>
      </c>
      <c r="F328" s="3" t="s">
        <v>109</v>
      </c>
      <c r="G328" s="3">
        <v>1.0</v>
      </c>
      <c r="H328" s="3">
        <v>759.0</v>
      </c>
      <c r="I328" s="3" t="s">
        <v>110</v>
      </c>
      <c r="J328" s="3">
        <v>0.0</v>
      </c>
      <c r="K328" s="3">
        <v>5.205</v>
      </c>
      <c r="L328" s="3">
        <v>22.0</v>
      </c>
      <c r="M328" s="3" t="s">
        <v>111</v>
      </c>
      <c r="N328" s="3">
        <v>11.0</v>
      </c>
      <c r="O328" s="3">
        <v>-10.4012</v>
      </c>
      <c r="P328" s="3">
        <v>165.141</v>
      </c>
      <c r="Q328" s="3" t="s">
        <v>450</v>
      </c>
      <c r="R328" s="4"/>
      <c r="S328" s="4"/>
      <c r="T328" s="16">
        <f t="shared" si="1"/>
        <v>42203.10208</v>
      </c>
      <c r="U328" s="4" t="b">
        <f t="shared" si="2"/>
        <v>1</v>
      </c>
      <c r="V328" s="4" t="b">
        <f t="shared" si="3"/>
        <v>0</v>
      </c>
      <c r="W328" s="4" t="str">
        <f t="shared" si="8"/>
        <v>Distance/Location</v>
      </c>
      <c r="X328" s="4" t="str">
        <f t="shared" si="4"/>
        <v>mww</v>
      </c>
      <c r="Y328" s="4">
        <f t="shared" si="5"/>
        <v>1</v>
      </c>
      <c r="Z328" s="4" t="str">
        <f t="shared" si="6"/>
        <v>Unique</v>
      </c>
      <c r="AA328" s="4" t="str">
        <f t="shared" si="7"/>
        <v>Valid</v>
      </c>
    </row>
    <row r="329">
      <c r="A329" s="3" t="s">
        <v>898</v>
      </c>
      <c r="B329" s="3">
        <v>6.5</v>
      </c>
      <c r="C329" s="3" t="s">
        <v>899</v>
      </c>
      <c r="D329" s="3">
        <v>4.0</v>
      </c>
      <c r="E329" s="3">
        <v>4.0</v>
      </c>
      <c r="F329" s="3" t="s">
        <v>109</v>
      </c>
      <c r="G329" s="3">
        <v>1.0</v>
      </c>
      <c r="H329" s="3">
        <v>686.0</v>
      </c>
      <c r="I329" s="3" t="s">
        <v>110</v>
      </c>
      <c r="J329" s="3">
        <v>0.0</v>
      </c>
      <c r="K329" s="3">
        <v>1.218</v>
      </c>
      <c r="L329" s="3">
        <v>20.0</v>
      </c>
      <c r="M329" s="3" t="s">
        <v>111</v>
      </c>
      <c r="N329" s="3">
        <v>20.0</v>
      </c>
      <c r="O329" s="3">
        <v>13.8672</v>
      </c>
      <c r="P329" s="3">
        <v>-58.5479</v>
      </c>
      <c r="Q329" s="3" t="s">
        <v>900</v>
      </c>
      <c r="R329" s="4"/>
      <c r="S329" s="4"/>
      <c r="T329" s="16">
        <f t="shared" si="1"/>
        <v>42201.63611</v>
      </c>
      <c r="U329" s="4" t="b">
        <f t="shared" si="2"/>
        <v>1</v>
      </c>
      <c r="V329" s="4" t="b">
        <f t="shared" si="3"/>
        <v>0</v>
      </c>
      <c r="W329" s="4" t="str">
        <f t="shared" si="8"/>
        <v>Distance/Location</v>
      </c>
      <c r="X329" s="4" t="str">
        <f t="shared" si="4"/>
        <v>mww</v>
      </c>
      <c r="Y329" s="4">
        <f t="shared" si="5"/>
        <v>1</v>
      </c>
      <c r="Z329" s="4" t="str">
        <f t="shared" si="6"/>
        <v>Unique</v>
      </c>
      <c r="AA329" s="4" t="str">
        <f t="shared" si="7"/>
        <v>Valid</v>
      </c>
    </row>
    <row r="330">
      <c r="A330" s="3" t="s">
        <v>901</v>
      </c>
      <c r="B330" s="3">
        <v>6.7</v>
      </c>
      <c r="C330" s="17">
        <v>42284.175</v>
      </c>
      <c r="D330" s="3">
        <v>4.0</v>
      </c>
      <c r="E330" s="3">
        <v>5.0</v>
      </c>
      <c r="F330" s="3" t="s">
        <v>109</v>
      </c>
      <c r="G330" s="3">
        <v>1.0</v>
      </c>
      <c r="H330" s="3">
        <v>691.0</v>
      </c>
      <c r="I330" s="3" t="s">
        <v>110</v>
      </c>
      <c r="J330" s="3">
        <v>0.0</v>
      </c>
      <c r="K330" s="3">
        <v>1.529</v>
      </c>
      <c r="L330" s="3">
        <v>11.0</v>
      </c>
      <c r="M330" s="3" t="s">
        <v>111</v>
      </c>
      <c r="N330" s="3">
        <v>12.0</v>
      </c>
      <c r="O330" s="3">
        <v>-9.307</v>
      </c>
      <c r="P330" s="3">
        <v>158.403</v>
      </c>
      <c r="Q330" s="3" t="s">
        <v>212</v>
      </c>
      <c r="R330" s="4"/>
      <c r="S330" s="3" t="s">
        <v>214</v>
      </c>
      <c r="T330" s="16">
        <f t="shared" si="1"/>
        <v>42195.175</v>
      </c>
      <c r="U330" s="4" t="b">
        <f t="shared" si="2"/>
        <v>1</v>
      </c>
      <c r="V330" s="4" t="b">
        <f t="shared" si="3"/>
        <v>1</v>
      </c>
      <c r="W330" s="4" t="str">
        <f t="shared" si="8"/>
        <v>Distance/Location</v>
      </c>
      <c r="X330" s="4" t="str">
        <f t="shared" si="4"/>
        <v>mww</v>
      </c>
      <c r="Y330" s="4">
        <f t="shared" si="5"/>
        <v>1</v>
      </c>
      <c r="Z330" s="4" t="str">
        <f t="shared" si="6"/>
        <v>Unique</v>
      </c>
      <c r="AA330" s="4" t="str">
        <f t="shared" si="7"/>
        <v>Valid</v>
      </c>
    </row>
    <row r="331">
      <c r="A331" s="3" t="s">
        <v>902</v>
      </c>
      <c r="B331" s="3">
        <v>6.5</v>
      </c>
      <c r="C331" s="3" t="s">
        <v>903</v>
      </c>
      <c r="D331" s="3">
        <v>3.0</v>
      </c>
      <c r="E331" s="3">
        <v>4.0</v>
      </c>
      <c r="F331" s="3" t="s">
        <v>109</v>
      </c>
      <c r="G331" s="3">
        <v>0.0</v>
      </c>
      <c r="H331" s="3">
        <v>652.0</v>
      </c>
      <c r="I331" s="3" t="s">
        <v>110</v>
      </c>
      <c r="J331" s="3">
        <v>0.0</v>
      </c>
      <c r="K331" s="3">
        <v>2.277</v>
      </c>
      <c r="L331" s="3">
        <v>11.0</v>
      </c>
      <c r="M331" s="3" t="s">
        <v>111</v>
      </c>
      <c r="N331" s="3">
        <v>460.0</v>
      </c>
      <c r="O331" s="3">
        <v>27.7375</v>
      </c>
      <c r="P331" s="3">
        <v>139.725</v>
      </c>
      <c r="Q331" s="3" t="s">
        <v>904</v>
      </c>
      <c r="R331" s="4"/>
      <c r="S331" s="4"/>
      <c r="T331" s="16">
        <f t="shared" si="1"/>
        <v>42178.5125</v>
      </c>
      <c r="U331" s="4" t="b">
        <f t="shared" si="2"/>
        <v>1</v>
      </c>
      <c r="V331" s="4" t="b">
        <f t="shared" si="3"/>
        <v>0</v>
      </c>
      <c r="W331" s="4" t="str">
        <f t="shared" si="8"/>
        <v>Named Region</v>
      </c>
      <c r="X331" s="4" t="str">
        <f t="shared" si="4"/>
        <v>mww</v>
      </c>
      <c r="Y331" s="4">
        <f t="shared" si="5"/>
        <v>1</v>
      </c>
      <c r="Z331" s="4" t="str">
        <f t="shared" si="6"/>
        <v>Unique</v>
      </c>
      <c r="AA331" s="4" t="str">
        <f t="shared" si="7"/>
        <v>Valid</v>
      </c>
    </row>
    <row r="332">
      <c r="A332" s="3" t="s">
        <v>905</v>
      </c>
      <c r="B332" s="3">
        <v>7.8</v>
      </c>
      <c r="C332" s="3" t="s">
        <v>906</v>
      </c>
      <c r="D332" s="3">
        <v>6.0</v>
      </c>
      <c r="E332" s="3">
        <v>3.0</v>
      </c>
      <c r="F332" s="3" t="s">
        <v>109</v>
      </c>
      <c r="G332" s="3">
        <v>1.0</v>
      </c>
      <c r="H332" s="3">
        <v>1151.0</v>
      </c>
      <c r="I332" s="3" t="s">
        <v>110</v>
      </c>
      <c r="J332" s="3">
        <v>0.0</v>
      </c>
      <c r="K332" s="3">
        <v>1.675</v>
      </c>
      <c r="L332" s="3">
        <v>12.0</v>
      </c>
      <c r="M332" s="3" t="s">
        <v>111</v>
      </c>
      <c r="N332" s="3">
        <v>664.0</v>
      </c>
      <c r="O332" s="3">
        <v>27.8386</v>
      </c>
      <c r="P332" s="3">
        <v>140.493</v>
      </c>
      <c r="Q332" s="3" t="s">
        <v>904</v>
      </c>
      <c r="R332" s="4"/>
      <c r="S332" s="4"/>
      <c r="T332" s="16">
        <f t="shared" si="1"/>
        <v>42154.47431</v>
      </c>
      <c r="U332" s="4" t="b">
        <f t="shared" si="2"/>
        <v>1</v>
      </c>
      <c r="V332" s="4" t="b">
        <f t="shared" si="3"/>
        <v>0</v>
      </c>
      <c r="W332" s="4" t="str">
        <f t="shared" si="8"/>
        <v>Named Region</v>
      </c>
      <c r="X332" s="4" t="str">
        <f t="shared" si="4"/>
        <v>mww</v>
      </c>
      <c r="Y332" s="4">
        <f t="shared" si="5"/>
        <v>1</v>
      </c>
      <c r="Z332" s="4" t="str">
        <f t="shared" si="6"/>
        <v>Unique</v>
      </c>
      <c r="AA332" s="4" t="str">
        <f t="shared" si="7"/>
        <v>Valid</v>
      </c>
    </row>
    <row r="333">
      <c r="A333" s="3" t="s">
        <v>907</v>
      </c>
      <c r="B333" s="3">
        <v>6.8</v>
      </c>
      <c r="C333" s="3" t="s">
        <v>908</v>
      </c>
      <c r="D333" s="3">
        <v>5.0</v>
      </c>
      <c r="E333" s="3">
        <v>6.0</v>
      </c>
      <c r="F333" s="3" t="s">
        <v>109</v>
      </c>
      <c r="G333" s="3">
        <v>1.0</v>
      </c>
      <c r="H333" s="3">
        <v>762.0</v>
      </c>
      <c r="I333" s="3" t="s">
        <v>316</v>
      </c>
      <c r="J333" s="3">
        <v>0.0</v>
      </c>
      <c r="K333" s="3">
        <v>0.0</v>
      </c>
      <c r="L333" s="3">
        <v>0.0</v>
      </c>
      <c r="M333" s="3" t="s">
        <v>514</v>
      </c>
      <c r="N333" s="3">
        <v>72.6</v>
      </c>
      <c r="O333" s="3">
        <v>56.594</v>
      </c>
      <c r="P333" s="3">
        <v>-156.43</v>
      </c>
      <c r="Q333" s="3" t="s">
        <v>909</v>
      </c>
      <c r="R333" s="4"/>
      <c r="S333" s="4"/>
      <c r="T333" s="16">
        <f t="shared" si="1"/>
        <v>42153.29167</v>
      </c>
      <c r="U333" s="4" t="b">
        <f t="shared" si="2"/>
        <v>1</v>
      </c>
      <c r="V333" s="4" t="b">
        <f t="shared" si="3"/>
        <v>0</v>
      </c>
      <c r="W333" s="4" t="str">
        <f t="shared" si="8"/>
        <v>Distance/Location</v>
      </c>
      <c r="X333" s="4" t="str">
        <f t="shared" si="4"/>
        <v>mw</v>
      </c>
      <c r="Y333" s="4">
        <f t="shared" si="5"/>
        <v>1</v>
      </c>
      <c r="Z333" s="4" t="str">
        <f t="shared" si="6"/>
        <v>Unique</v>
      </c>
      <c r="AA333" s="4" t="str">
        <f t="shared" si="7"/>
        <v>Valid</v>
      </c>
    </row>
    <row r="334">
      <c r="A334" s="3" t="s">
        <v>910</v>
      </c>
      <c r="B334" s="3">
        <v>6.8</v>
      </c>
      <c r="C334" s="3" t="s">
        <v>911</v>
      </c>
      <c r="D334" s="3">
        <v>1.0</v>
      </c>
      <c r="E334" s="3">
        <v>5.0</v>
      </c>
      <c r="F334" s="3" t="s">
        <v>109</v>
      </c>
      <c r="G334" s="3">
        <v>1.0</v>
      </c>
      <c r="H334" s="3">
        <v>711.0</v>
      </c>
      <c r="I334" s="3" t="s">
        <v>110</v>
      </c>
      <c r="J334" s="3">
        <v>0.0</v>
      </c>
      <c r="K334" s="3">
        <v>3.619</v>
      </c>
      <c r="L334" s="3">
        <v>18.0</v>
      </c>
      <c r="M334" s="3" t="s">
        <v>111</v>
      </c>
      <c r="N334" s="3">
        <v>10.0</v>
      </c>
      <c r="O334" s="3">
        <v>-11.1093</v>
      </c>
      <c r="P334" s="3">
        <v>163.215</v>
      </c>
      <c r="Q334" s="3" t="s">
        <v>595</v>
      </c>
      <c r="R334" s="4"/>
      <c r="S334" s="4"/>
      <c r="T334" s="16">
        <f t="shared" si="1"/>
        <v>42146.99931</v>
      </c>
      <c r="U334" s="4" t="b">
        <f t="shared" si="2"/>
        <v>1</v>
      </c>
      <c r="V334" s="4" t="b">
        <f t="shared" si="3"/>
        <v>0</v>
      </c>
      <c r="W334" s="4" t="str">
        <f t="shared" si="8"/>
        <v>Distance/Location</v>
      </c>
      <c r="X334" s="4" t="str">
        <f t="shared" si="4"/>
        <v>mww</v>
      </c>
      <c r="Y334" s="4">
        <f t="shared" si="5"/>
        <v>1</v>
      </c>
      <c r="Z334" s="4" t="str">
        <f t="shared" si="6"/>
        <v>Unique</v>
      </c>
      <c r="AA334" s="4" t="str">
        <f t="shared" si="7"/>
        <v>Valid</v>
      </c>
    </row>
    <row r="335">
      <c r="A335" s="3" t="s">
        <v>912</v>
      </c>
      <c r="B335" s="3">
        <v>6.9</v>
      </c>
      <c r="C335" s="3" t="s">
        <v>913</v>
      </c>
      <c r="D335" s="3">
        <v>1.0</v>
      </c>
      <c r="E335" s="3">
        <v>4.0</v>
      </c>
      <c r="F335" s="3" t="s">
        <v>109</v>
      </c>
      <c r="G335" s="3">
        <v>1.0</v>
      </c>
      <c r="H335" s="3">
        <v>732.0</v>
      </c>
      <c r="I335" s="3" t="s">
        <v>110</v>
      </c>
      <c r="J335" s="3">
        <v>0.0</v>
      </c>
      <c r="K335" s="3">
        <v>4.024</v>
      </c>
      <c r="L335" s="3">
        <v>22.0</v>
      </c>
      <c r="M335" s="3" t="s">
        <v>111</v>
      </c>
      <c r="N335" s="3">
        <v>11.19</v>
      </c>
      <c r="O335" s="3">
        <v>-11.0559</v>
      </c>
      <c r="P335" s="3">
        <v>163.696</v>
      </c>
      <c r="Q335" s="3" t="s">
        <v>595</v>
      </c>
      <c r="R335" s="4"/>
      <c r="S335" s="4"/>
      <c r="T335" s="16">
        <f t="shared" si="1"/>
        <v>42146.90625</v>
      </c>
      <c r="U335" s="4" t="b">
        <f t="shared" si="2"/>
        <v>1</v>
      </c>
      <c r="V335" s="4" t="b">
        <f t="shared" si="3"/>
        <v>0</v>
      </c>
      <c r="W335" s="4" t="str">
        <f t="shared" si="8"/>
        <v>Distance/Location</v>
      </c>
      <c r="X335" s="4" t="str">
        <f t="shared" si="4"/>
        <v>mww</v>
      </c>
      <c r="Y335" s="4">
        <f t="shared" si="5"/>
        <v>1</v>
      </c>
      <c r="Z335" s="4" t="str">
        <f t="shared" si="6"/>
        <v>Unique</v>
      </c>
      <c r="AA335" s="4" t="str">
        <f t="shared" si="7"/>
        <v>Valid</v>
      </c>
    </row>
    <row r="336">
      <c r="A336" s="3" t="s">
        <v>914</v>
      </c>
      <c r="B336" s="3">
        <v>6.8</v>
      </c>
      <c r="C336" s="3" t="s">
        <v>915</v>
      </c>
      <c r="D336" s="3">
        <v>1.0</v>
      </c>
      <c r="E336" s="3">
        <v>4.0</v>
      </c>
      <c r="F336" s="3" t="s">
        <v>109</v>
      </c>
      <c r="G336" s="3">
        <v>1.0</v>
      </c>
      <c r="H336" s="3">
        <v>711.0</v>
      </c>
      <c r="I336" s="3" t="s">
        <v>110</v>
      </c>
      <c r="J336" s="3">
        <v>0.0</v>
      </c>
      <c r="K336" s="3">
        <v>4.395</v>
      </c>
      <c r="L336" s="3">
        <v>15.0</v>
      </c>
      <c r="M336" s="3" t="s">
        <v>111</v>
      </c>
      <c r="N336" s="3">
        <v>11.0</v>
      </c>
      <c r="O336" s="3">
        <v>-10.8759</v>
      </c>
      <c r="P336" s="3">
        <v>164.169</v>
      </c>
      <c r="Q336" s="3" t="s">
        <v>450</v>
      </c>
      <c r="R336" s="4"/>
      <c r="S336" s="4"/>
      <c r="T336" s="16">
        <f t="shared" si="1"/>
        <v>42144.95</v>
      </c>
      <c r="U336" s="4" t="b">
        <f t="shared" si="2"/>
        <v>1</v>
      </c>
      <c r="V336" s="4" t="b">
        <f t="shared" si="3"/>
        <v>0</v>
      </c>
      <c r="W336" s="4" t="str">
        <f t="shared" si="8"/>
        <v>Distance/Location</v>
      </c>
      <c r="X336" s="4" t="str">
        <f t="shared" si="4"/>
        <v>mww</v>
      </c>
      <c r="Y336" s="4">
        <f t="shared" si="5"/>
        <v>1</v>
      </c>
      <c r="Z336" s="4" t="str">
        <f t="shared" si="6"/>
        <v>Unique</v>
      </c>
      <c r="AA336" s="4" t="str">
        <f t="shared" si="7"/>
        <v>Valid</v>
      </c>
    </row>
    <row r="337">
      <c r="A337" s="3" t="s">
        <v>916</v>
      </c>
      <c r="B337" s="3">
        <v>6.8</v>
      </c>
      <c r="C337" s="17">
        <v>42343.88333333333</v>
      </c>
      <c r="D337" s="3">
        <v>8.0</v>
      </c>
      <c r="E337" s="3">
        <v>6.0</v>
      </c>
      <c r="F337" s="3" t="s">
        <v>109</v>
      </c>
      <c r="G337" s="3">
        <v>1.0</v>
      </c>
      <c r="H337" s="3">
        <v>831.0</v>
      </c>
      <c r="I337" s="3" t="s">
        <v>110</v>
      </c>
      <c r="J337" s="3">
        <v>0.0</v>
      </c>
      <c r="K337" s="3">
        <v>1.422</v>
      </c>
      <c r="L337" s="3">
        <v>8.0</v>
      </c>
      <c r="M337" s="3" t="s">
        <v>111</v>
      </c>
      <c r="N337" s="3">
        <v>35.0</v>
      </c>
      <c r="O337" s="3">
        <v>38.9056</v>
      </c>
      <c r="P337" s="3">
        <v>142.032</v>
      </c>
      <c r="Q337" s="3" t="s">
        <v>917</v>
      </c>
      <c r="R337" s="3" t="s">
        <v>164</v>
      </c>
      <c r="S337" s="3" t="s">
        <v>371</v>
      </c>
      <c r="T337" s="16">
        <f t="shared" si="1"/>
        <v>42136.88333</v>
      </c>
      <c r="U337" s="4" t="b">
        <f t="shared" si="2"/>
        <v>1</v>
      </c>
      <c r="V337" s="4" t="b">
        <f t="shared" si="3"/>
        <v>1</v>
      </c>
      <c r="W337" s="4" t="str">
        <f t="shared" si="8"/>
        <v>Distance/Location</v>
      </c>
      <c r="X337" s="4" t="str">
        <f t="shared" si="4"/>
        <v>mww</v>
      </c>
      <c r="Y337" s="4">
        <f t="shared" si="5"/>
        <v>1</v>
      </c>
      <c r="Z337" s="4" t="str">
        <f t="shared" si="6"/>
        <v>Unique</v>
      </c>
      <c r="AA337" s="4" t="str">
        <f t="shared" si="7"/>
        <v>Valid</v>
      </c>
    </row>
    <row r="338">
      <c r="A338" s="3" t="s">
        <v>918</v>
      </c>
      <c r="B338" s="3">
        <v>7.3</v>
      </c>
      <c r="C338" s="17">
        <v>42343.29513888889</v>
      </c>
      <c r="D338" s="3">
        <v>8.0</v>
      </c>
      <c r="E338" s="3">
        <v>7.0</v>
      </c>
      <c r="F338" s="3" t="s">
        <v>178</v>
      </c>
      <c r="G338" s="3">
        <v>0.0</v>
      </c>
      <c r="H338" s="3">
        <v>1563.0</v>
      </c>
      <c r="I338" s="3" t="s">
        <v>110</v>
      </c>
      <c r="J338" s="3">
        <v>0.0</v>
      </c>
      <c r="K338" s="3">
        <v>0.677</v>
      </c>
      <c r="L338" s="3">
        <v>11.0</v>
      </c>
      <c r="M338" s="3" t="s">
        <v>111</v>
      </c>
      <c r="N338" s="3">
        <v>15.0</v>
      </c>
      <c r="O338" s="3">
        <v>27.8087</v>
      </c>
      <c r="P338" s="3">
        <v>86.0655</v>
      </c>
      <c r="Q338" s="3" t="s">
        <v>919</v>
      </c>
      <c r="R338" s="3" t="s">
        <v>164</v>
      </c>
      <c r="S338" s="3" t="s">
        <v>919</v>
      </c>
      <c r="T338" s="16">
        <f t="shared" si="1"/>
        <v>42136.29514</v>
      </c>
      <c r="U338" s="4" t="b">
        <f t="shared" si="2"/>
        <v>1</v>
      </c>
      <c r="V338" s="4" t="b">
        <f t="shared" si="3"/>
        <v>1</v>
      </c>
      <c r="W338" s="4" t="str">
        <f t="shared" si="8"/>
        <v>Named Region</v>
      </c>
      <c r="X338" s="4" t="str">
        <f t="shared" si="4"/>
        <v>mww</v>
      </c>
      <c r="Y338" s="4">
        <f t="shared" si="5"/>
        <v>1</v>
      </c>
      <c r="Z338" s="4" t="str">
        <f t="shared" si="6"/>
        <v>Unique</v>
      </c>
      <c r="AA338" s="4" t="str">
        <f t="shared" si="7"/>
        <v>Valid</v>
      </c>
    </row>
    <row r="339">
      <c r="A339" s="3" t="s">
        <v>920</v>
      </c>
      <c r="B339" s="3">
        <v>7.1</v>
      </c>
      <c r="C339" s="17">
        <v>42190.29861111111</v>
      </c>
      <c r="D339" s="3">
        <v>1.0</v>
      </c>
      <c r="E339" s="3">
        <v>6.0</v>
      </c>
      <c r="F339" s="3" t="s">
        <v>109</v>
      </c>
      <c r="G339" s="3">
        <v>1.0</v>
      </c>
      <c r="H339" s="3">
        <v>776.0</v>
      </c>
      <c r="I339" s="3" t="s">
        <v>110</v>
      </c>
      <c r="J339" s="3">
        <v>0.0</v>
      </c>
      <c r="K339" s="3">
        <v>3.835</v>
      </c>
      <c r="L339" s="3">
        <v>11.0</v>
      </c>
      <c r="M339" s="3" t="s">
        <v>111</v>
      </c>
      <c r="N339" s="3">
        <v>10.0</v>
      </c>
      <c r="O339" s="3">
        <v>-7.2175</v>
      </c>
      <c r="P339" s="3">
        <v>154.557</v>
      </c>
      <c r="Q339" s="3" t="s">
        <v>728</v>
      </c>
      <c r="R339" s="4"/>
      <c r="S339" s="4"/>
      <c r="T339" s="16">
        <f t="shared" si="1"/>
        <v>42131.29861</v>
      </c>
      <c r="U339" s="4" t="b">
        <f t="shared" si="2"/>
        <v>1</v>
      </c>
      <c r="V339" s="4" t="b">
        <f t="shared" si="3"/>
        <v>1</v>
      </c>
      <c r="W339" s="4" t="str">
        <f t="shared" si="8"/>
        <v>Distance/Location</v>
      </c>
      <c r="X339" s="4" t="str">
        <f t="shared" si="4"/>
        <v>mww</v>
      </c>
      <c r="Y339" s="4">
        <f t="shared" si="5"/>
        <v>1</v>
      </c>
      <c r="Z339" s="4" t="str">
        <f t="shared" si="6"/>
        <v>Unique</v>
      </c>
      <c r="AA339" s="4" t="str">
        <f t="shared" si="7"/>
        <v>Valid</v>
      </c>
    </row>
    <row r="340">
      <c r="A340" s="3" t="s">
        <v>921</v>
      </c>
      <c r="B340" s="3">
        <v>7.5</v>
      </c>
      <c r="C340" s="17">
        <v>42129.072222222225</v>
      </c>
      <c r="D340" s="3">
        <v>7.0</v>
      </c>
      <c r="E340" s="3">
        <v>8.0</v>
      </c>
      <c r="F340" s="3" t="s">
        <v>109</v>
      </c>
      <c r="G340" s="3">
        <v>1.0</v>
      </c>
      <c r="H340" s="3">
        <v>869.0</v>
      </c>
      <c r="I340" s="3" t="s">
        <v>110</v>
      </c>
      <c r="J340" s="3">
        <v>0.0</v>
      </c>
      <c r="K340" s="3">
        <v>1.295</v>
      </c>
      <c r="L340" s="3">
        <v>22.0</v>
      </c>
      <c r="M340" s="3" t="s">
        <v>111</v>
      </c>
      <c r="N340" s="3">
        <v>55.0</v>
      </c>
      <c r="O340" s="3">
        <v>-5.4624</v>
      </c>
      <c r="P340" s="3">
        <v>151.875</v>
      </c>
      <c r="Q340" s="3" t="s">
        <v>633</v>
      </c>
      <c r="R340" s="4"/>
      <c r="S340" s="3" t="s">
        <v>168</v>
      </c>
      <c r="T340" s="16">
        <f t="shared" si="1"/>
        <v>42129.07222</v>
      </c>
      <c r="U340" s="4" t="b">
        <f t="shared" si="2"/>
        <v>1</v>
      </c>
      <c r="V340" s="4" t="b">
        <f t="shared" si="3"/>
        <v>1</v>
      </c>
      <c r="W340" s="4" t="str">
        <f t="shared" si="8"/>
        <v>Distance/Location</v>
      </c>
      <c r="X340" s="4" t="str">
        <f t="shared" si="4"/>
        <v>mww</v>
      </c>
      <c r="Y340" s="4">
        <f t="shared" si="5"/>
        <v>1</v>
      </c>
      <c r="Z340" s="4" t="str">
        <f t="shared" si="6"/>
        <v>Unique</v>
      </c>
      <c r="AA340" s="4" t="str">
        <f t="shared" si="7"/>
        <v>Valid</v>
      </c>
    </row>
    <row r="341">
      <c r="A341" s="3" t="s">
        <v>922</v>
      </c>
      <c r="B341" s="3">
        <v>6.8</v>
      </c>
      <c r="C341" s="17">
        <v>42009.3375</v>
      </c>
      <c r="D341" s="3">
        <v>5.0</v>
      </c>
      <c r="E341" s="3">
        <v>6.0</v>
      </c>
      <c r="F341" s="3" t="s">
        <v>109</v>
      </c>
      <c r="G341" s="3">
        <v>1.0</v>
      </c>
      <c r="H341" s="3">
        <v>714.0</v>
      </c>
      <c r="I341" s="3" t="s">
        <v>110</v>
      </c>
      <c r="J341" s="3">
        <v>0.0</v>
      </c>
      <c r="K341" s="3">
        <v>1.074</v>
      </c>
      <c r="L341" s="3">
        <v>23.0</v>
      </c>
      <c r="M341" s="3" t="s">
        <v>111</v>
      </c>
      <c r="N341" s="3">
        <v>44.0</v>
      </c>
      <c r="O341" s="3">
        <v>-5.2005</v>
      </c>
      <c r="P341" s="3">
        <v>151.777</v>
      </c>
      <c r="Q341" s="3" t="s">
        <v>633</v>
      </c>
      <c r="R341" s="4"/>
      <c r="S341" s="3" t="s">
        <v>168</v>
      </c>
      <c r="T341" s="16">
        <f t="shared" si="1"/>
        <v>42125.3375</v>
      </c>
      <c r="U341" s="4" t="b">
        <f t="shared" si="2"/>
        <v>1</v>
      </c>
      <c r="V341" s="4" t="b">
        <f t="shared" si="3"/>
        <v>1</v>
      </c>
      <c r="W341" s="4" t="str">
        <f t="shared" si="8"/>
        <v>Distance/Location</v>
      </c>
      <c r="X341" s="4" t="str">
        <f t="shared" si="4"/>
        <v>mww</v>
      </c>
      <c r="Y341" s="4">
        <f t="shared" si="5"/>
        <v>1</v>
      </c>
      <c r="Z341" s="4" t="str">
        <f t="shared" si="6"/>
        <v>Unique</v>
      </c>
      <c r="AA341" s="4" t="str">
        <f t="shared" si="7"/>
        <v>Valid</v>
      </c>
    </row>
    <row r="342">
      <c r="A342" s="3" t="s">
        <v>923</v>
      </c>
      <c r="B342" s="3">
        <v>6.7</v>
      </c>
      <c r="C342" s="3" t="s">
        <v>924</v>
      </c>
      <c r="D342" s="3">
        <v>5.0</v>
      </c>
      <c r="E342" s="3">
        <v>6.0</v>
      </c>
      <c r="F342" s="3" t="s">
        <v>109</v>
      </c>
      <c r="G342" s="3">
        <v>1.0</v>
      </c>
      <c r="H342" s="3">
        <v>692.0</v>
      </c>
      <c r="I342" s="3" t="s">
        <v>110</v>
      </c>
      <c r="J342" s="3">
        <v>0.0</v>
      </c>
      <c r="K342" s="3">
        <v>1.239</v>
      </c>
      <c r="L342" s="3">
        <v>12.0</v>
      </c>
      <c r="M342" s="3" t="s">
        <v>111</v>
      </c>
      <c r="N342" s="3">
        <v>31.0</v>
      </c>
      <c r="O342" s="3">
        <v>-5.375</v>
      </c>
      <c r="P342" s="3">
        <v>151.771</v>
      </c>
      <c r="Q342" s="3" t="s">
        <v>633</v>
      </c>
      <c r="R342" s="4"/>
      <c r="S342" s="3" t="s">
        <v>168</v>
      </c>
      <c r="T342" s="16">
        <f t="shared" si="1"/>
        <v>42124.44792</v>
      </c>
      <c r="U342" s="4" t="b">
        <f t="shared" si="2"/>
        <v>1</v>
      </c>
      <c r="V342" s="4" t="b">
        <f t="shared" si="3"/>
        <v>0</v>
      </c>
      <c r="W342" s="4" t="str">
        <f t="shared" si="8"/>
        <v>Distance/Location</v>
      </c>
      <c r="X342" s="4" t="str">
        <f t="shared" si="4"/>
        <v>mww</v>
      </c>
      <c r="Y342" s="4">
        <f t="shared" si="5"/>
        <v>1</v>
      </c>
      <c r="Z342" s="4" t="str">
        <f t="shared" si="6"/>
        <v>Unique</v>
      </c>
      <c r="AA342" s="4" t="str">
        <f t="shared" si="7"/>
        <v>Valid</v>
      </c>
    </row>
    <row r="343">
      <c r="A343" s="3" t="s">
        <v>925</v>
      </c>
      <c r="B343" s="3">
        <v>6.7</v>
      </c>
      <c r="C343" s="3" t="s">
        <v>926</v>
      </c>
      <c r="D343" s="3">
        <v>7.0</v>
      </c>
      <c r="E343" s="3">
        <v>7.0</v>
      </c>
      <c r="F343" s="3" t="s">
        <v>116</v>
      </c>
      <c r="G343" s="3">
        <v>0.0</v>
      </c>
      <c r="H343" s="3">
        <v>1016.0</v>
      </c>
      <c r="I343" s="3" t="s">
        <v>110</v>
      </c>
      <c r="J343" s="3">
        <v>0.0</v>
      </c>
      <c r="K343" s="3">
        <v>0.727</v>
      </c>
      <c r="L343" s="3">
        <v>13.0</v>
      </c>
      <c r="M343" s="3" t="s">
        <v>111</v>
      </c>
      <c r="N343" s="3">
        <v>22.91</v>
      </c>
      <c r="O343" s="3">
        <v>27.7711</v>
      </c>
      <c r="P343" s="3">
        <v>86.0173</v>
      </c>
      <c r="Q343" s="3" t="s">
        <v>927</v>
      </c>
      <c r="R343" s="3" t="s">
        <v>164</v>
      </c>
      <c r="S343" s="3" t="s">
        <v>919</v>
      </c>
      <c r="T343" s="16">
        <f t="shared" si="1"/>
        <v>42120.29792</v>
      </c>
      <c r="U343" s="4" t="b">
        <f t="shared" si="2"/>
        <v>1</v>
      </c>
      <c r="V343" s="4" t="b">
        <f t="shared" si="3"/>
        <v>0</v>
      </c>
      <c r="W343" s="4" t="str">
        <f t="shared" si="8"/>
        <v>Distance/Location</v>
      </c>
      <c r="X343" s="4" t="str">
        <f t="shared" si="4"/>
        <v>mww</v>
      </c>
      <c r="Y343" s="4">
        <f t="shared" si="5"/>
        <v>1</v>
      </c>
      <c r="Z343" s="4" t="str">
        <f t="shared" si="6"/>
        <v>Unique</v>
      </c>
      <c r="AA343" s="4" t="str">
        <f t="shared" si="7"/>
        <v>Valid</v>
      </c>
    </row>
    <row r="344">
      <c r="A344" s="3" t="s">
        <v>928</v>
      </c>
      <c r="B344" s="3">
        <v>6.6</v>
      </c>
      <c r="C344" s="3" t="s">
        <v>929</v>
      </c>
      <c r="D344" s="3">
        <v>8.0</v>
      </c>
      <c r="E344" s="3">
        <v>7.0</v>
      </c>
      <c r="F344" s="3" t="s">
        <v>116</v>
      </c>
      <c r="G344" s="3">
        <v>0.0</v>
      </c>
      <c r="H344" s="3">
        <v>733.0</v>
      </c>
      <c r="I344" s="3" t="s">
        <v>110</v>
      </c>
      <c r="J344" s="3">
        <v>0.0</v>
      </c>
      <c r="K344" s="3">
        <v>1.778</v>
      </c>
      <c r="L344" s="3">
        <v>16.0</v>
      </c>
      <c r="M344" s="3" t="s">
        <v>111</v>
      </c>
      <c r="N344" s="3">
        <v>10.0</v>
      </c>
      <c r="O344" s="3">
        <v>28.2244</v>
      </c>
      <c r="P344" s="3">
        <v>84.8216</v>
      </c>
      <c r="Q344" s="3" t="s">
        <v>930</v>
      </c>
      <c r="R344" s="3" t="s">
        <v>164</v>
      </c>
      <c r="S344" s="3" t="s">
        <v>919</v>
      </c>
      <c r="T344" s="16">
        <f t="shared" si="1"/>
        <v>42119.28125</v>
      </c>
      <c r="U344" s="4" t="b">
        <f t="shared" si="2"/>
        <v>1</v>
      </c>
      <c r="V344" s="4" t="b">
        <f t="shared" si="3"/>
        <v>0</v>
      </c>
      <c r="W344" s="4" t="str">
        <f t="shared" si="8"/>
        <v>Distance/Location</v>
      </c>
      <c r="X344" s="4" t="str">
        <f t="shared" si="4"/>
        <v>mww</v>
      </c>
      <c r="Y344" s="4">
        <f t="shared" si="5"/>
        <v>1</v>
      </c>
      <c r="Z344" s="4" t="str">
        <f t="shared" si="6"/>
        <v>Unique</v>
      </c>
      <c r="AA344" s="4" t="str">
        <f t="shared" si="7"/>
        <v>Valid</v>
      </c>
    </row>
    <row r="345">
      <c r="A345" s="3" t="s">
        <v>931</v>
      </c>
      <c r="B345" s="3">
        <v>7.8</v>
      </c>
      <c r="C345" s="3" t="s">
        <v>932</v>
      </c>
      <c r="D345" s="3">
        <v>8.0</v>
      </c>
      <c r="E345" s="3">
        <v>9.0</v>
      </c>
      <c r="F345" s="3" t="s">
        <v>198</v>
      </c>
      <c r="G345" s="3">
        <v>0.0</v>
      </c>
      <c r="H345" s="3">
        <v>2820.0</v>
      </c>
      <c r="I345" s="3" t="s">
        <v>110</v>
      </c>
      <c r="J345" s="3">
        <v>0.0</v>
      </c>
      <c r="K345" s="3">
        <v>1.857</v>
      </c>
      <c r="L345" s="3">
        <v>12.0</v>
      </c>
      <c r="M345" s="3" t="s">
        <v>111</v>
      </c>
      <c r="N345" s="3">
        <v>8.22</v>
      </c>
      <c r="O345" s="3">
        <v>28.2305</v>
      </c>
      <c r="P345" s="3">
        <v>84.7314</v>
      </c>
      <c r="Q345" s="3" t="s">
        <v>930</v>
      </c>
      <c r="R345" s="3" t="s">
        <v>164</v>
      </c>
      <c r="S345" s="3" t="s">
        <v>919</v>
      </c>
      <c r="T345" s="16">
        <f t="shared" si="1"/>
        <v>42119.25764</v>
      </c>
      <c r="U345" s="4" t="b">
        <f t="shared" si="2"/>
        <v>1</v>
      </c>
      <c r="V345" s="4" t="b">
        <f t="shared" si="3"/>
        <v>0</v>
      </c>
      <c r="W345" s="4" t="str">
        <f t="shared" si="8"/>
        <v>Distance/Location</v>
      </c>
      <c r="X345" s="4" t="str">
        <f t="shared" si="4"/>
        <v>mww</v>
      </c>
      <c r="Y345" s="4">
        <f t="shared" si="5"/>
        <v>1</v>
      </c>
      <c r="Z345" s="4" t="str">
        <f t="shared" si="6"/>
        <v>Unique</v>
      </c>
      <c r="AA345" s="4" t="str">
        <f t="shared" si="7"/>
        <v>Valid</v>
      </c>
    </row>
    <row r="346">
      <c r="A346" s="3" t="s">
        <v>933</v>
      </c>
      <c r="B346" s="3">
        <v>6.5</v>
      </c>
      <c r="C346" s="3" t="s">
        <v>934</v>
      </c>
      <c r="D346" s="3">
        <v>0.0</v>
      </c>
      <c r="E346" s="3">
        <v>5.0</v>
      </c>
      <c r="F346" s="3" t="s">
        <v>109</v>
      </c>
      <c r="G346" s="3">
        <v>1.0</v>
      </c>
      <c r="H346" s="3">
        <v>650.0</v>
      </c>
      <c r="I346" s="3" t="s">
        <v>110</v>
      </c>
      <c r="J346" s="3">
        <v>0.0</v>
      </c>
      <c r="K346" s="3">
        <v>3.702</v>
      </c>
      <c r="L346" s="3">
        <v>42.0</v>
      </c>
      <c r="M346" s="3" t="s">
        <v>111</v>
      </c>
      <c r="N346" s="3">
        <v>10.0</v>
      </c>
      <c r="O346" s="3">
        <v>-15.8815</v>
      </c>
      <c r="P346" s="3">
        <v>-178.6</v>
      </c>
      <c r="Q346" s="3" t="s">
        <v>362</v>
      </c>
      <c r="R346" s="4"/>
      <c r="S346" s="4"/>
      <c r="T346" s="16">
        <f t="shared" si="1"/>
        <v>42111.66111</v>
      </c>
      <c r="U346" s="4" t="b">
        <f t="shared" si="2"/>
        <v>1</v>
      </c>
      <c r="V346" s="4" t="b">
        <f t="shared" si="3"/>
        <v>0</v>
      </c>
      <c r="W346" s="4" t="str">
        <f t="shared" si="8"/>
        <v>Distance/Location</v>
      </c>
      <c r="X346" s="4" t="str">
        <f t="shared" si="4"/>
        <v>mww</v>
      </c>
      <c r="Y346" s="4">
        <f t="shared" si="5"/>
        <v>1</v>
      </c>
      <c r="Z346" s="4" t="str">
        <f t="shared" si="6"/>
        <v>Unique</v>
      </c>
      <c r="AA346" s="4" t="str">
        <f t="shared" si="7"/>
        <v>Valid</v>
      </c>
    </row>
    <row r="347">
      <c r="A347" s="3" t="s">
        <v>935</v>
      </c>
      <c r="B347" s="3">
        <v>6.5</v>
      </c>
      <c r="C347" s="3" t="s">
        <v>936</v>
      </c>
      <c r="D347" s="3">
        <v>2.0</v>
      </c>
      <c r="E347" s="3">
        <v>5.0</v>
      </c>
      <c r="F347" s="3" t="s">
        <v>109</v>
      </c>
      <c r="G347" s="3">
        <v>1.0</v>
      </c>
      <c r="H347" s="3">
        <v>650.0</v>
      </c>
      <c r="I347" s="3" t="s">
        <v>110</v>
      </c>
      <c r="J347" s="3">
        <v>0.0</v>
      </c>
      <c r="K347" s="3">
        <v>4.629</v>
      </c>
      <c r="L347" s="3">
        <v>36.0</v>
      </c>
      <c r="M347" s="3" t="s">
        <v>111</v>
      </c>
      <c r="N347" s="3">
        <v>11.0</v>
      </c>
      <c r="O347" s="3">
        <v>-15.4994</v>
      </c>
      <c r="P347" s="3">
        <v>-173.029</v>
      </c>
      <c r="Q347" s="3" t="s">
        <v>147</v>
      </c>
      <c r="R347" s="4"/>
      <c r="S347" s="4"/>
      <c r="T347" s="16">
        <f t="shared" si="1"/>
        <v>42093.36667</v>
      </c>
      <c r="U347" s="4" t="b">
        <f t="shared" si="2"/>
        <v>1</v>
      </c>
      <c r="V347" s="4" t="b">
        <f t="shared" si="3"/>
        <v>0</v>
      </c>
      <c r="W347" s="4" t="str">
        <f t="shared" si="8"/>
        <v>Distance/Location</v>
      </c>
      <c r="X347" s="4" t="str">
        <f t="shared" si="4"/>
        <v>mww</v>
      </c>
      <c r="Y347" s="4">
        <f t="shared" si="5"/>
        <v>1</v>
      </c>
      <c r="Z347" s="4" t="str">
        <f t="shared" si="6"/>
        <v>Unique</v>
      </c>
      <c r="AA347" s="4" t="str">
        <f t="shared" si="7"/>
        <v>Valid</v>
      </c>
    </row>
    <row r="348">
      <c r="A348" s="3" t="s">
        <v>937</v>
      </c>
      <c r="B348" s="3">
        <v>7.5</v>
      </c>
      <c r="C348" s="3" t="s">
        <v>938</v>
      </c>
      <c r="D348" s="3">
        <v>6.0</v>
      </c>
      <c r="E348" s="3">
        <v>7.0</v>
      </c>
      <c r="F348" s="3" t="s">
        <v>109</v>
      </c>
      <c r="G348" s="3">
        <v>1.0</v>
      </c>
      <c r="H348" s="3">
        <v>872.0</v>
      </c>
      <c r="I348" s="3" t="s">
        <v>110</v>
      </c>
      <c r="J348" s="3">
        <v>0.0</v>
      </c>
      <c r="K348" s="3">
        <v>0.666</v>
      </c>
      <c r="L348" s="3">
        <v>19.0</v>
      </c>
      <c r="M348" s="3" t="s">
        <v>111</v>
      </c>
      <c r="N348" s="3">
        <v>41.0</v>
      </c>
      <c r="O348" s="3">
        <v>-4.7294</v>
      </c>
      <c r="P348" s="3">
        <v>152.562</v>
      </c>
      <c r="Q348" s="3" t="s">
        <v>633</v>
      </c>
      <c r="R348" s="4"/>
      <c r="S348" s="3" t="s">
        <v>168</v>
      </c>
      <c r="T348" s="16">
        <f t="shared" si="1"/>
        <v>42092.99167</v>
      </c>
      <c r="U348" s="4" t="b">
        <f t="shared" si="2"/>
        <v>1</v>
      </c>
      <c r="V348" s="4" t="b">
        <f t="shared" si="3"/>
        <v>0</v>
      </c>
      <c r="W348" s="4" t="str">
        <f t="shared" si="8"/>
        <v>Distance/Location</v>
      </c>
      <c r="X348" s="4" t="str">
        <f t="shared" si="4"/>
        <v>mww</v>
      </c>
      <c r="Y348" s="4">
        <f t="shared" si="5"/>
        <v>1</v>
      </c>
      <c r="Z348" s="4" t="str">
        <f t="shared" si="6"/>
        <v>Unique</v>
      </c>
      <c r="AA348" s="4" t="str">
        <f t="shared" si="7"/>
        <v>Valid</v>
      </c>
    </row>
    <row r="349">
      <c r="A349" s="3" t="s">
        <v>939</v>
      </c>
      <c r="B349" s="3">
        <v>7.0</v>
      </c>
      <c r="C349" s="3" t="s">
        <v>940</v>
      </c>
      <c r="D349" s="3">
        <v>4.0</v>
      </c>
      <c r="E349" s="3">
        <v>6.0</v>
      </c>
      <c r="F349" s="3" t="s">
        <v>109</v>
      </c>
      <c r="G349" s="3">
        <v>0.0</v>
      </c>
      <c r="H349" s="3">
        <v>760.0</v>
      </c>
      <c r="I349" s="3" t="s">
        <v>110</v>
      </c>
      <c r="J349" s="3">
        <v>0.0</v>
      </c>
      <c r="K349" s="3">
        <v>1.362</v>
      </c>
      <c r="L349" s="3">
        <v>12.0</v>
      </c>
      <c r="M349" s="3" t="s">
        <v>111</v>
      </c>
      <c r="N349" s="3">
        <v>552.06</v>
      </c>
      <c r="O349" s="3">
        <v>-7.2968</v>
      </c>
      <c r="P349" s="3">
        <v>122.535</v>
      </c>
      <c r="Q349" s="3" t="s">
        <v>674</v>
      </c>
      <c r="R349" s="4"/>
      <c r="S349" s="3" t="s">
        <v>153</v>
      </c>
      <c r="T349" s="16">
        <f t="shared" si="1"/>
        <v>42062.57292</v>
      </c>
      <c r="U349" s="4" t="b">
        <f t="shared" si="2"/>
        <v>1</v>
      </c>
      <c r="V349" s="4" t="b">
        <f t="shared" si="3"/>
        <v>0</v>
      </c>
      <c r="W349" s="4" t="str">
        <f t="shared" si="8"/>
        <v>Distance/Location</v>
      </c>
      <c r="X349" s="4" t="str">
        <f t="shared" si="4"/>
        <v>mww</v>
      </c>
      <c r="Y349" s="4">
        <f t="shared" si="5"/>
        <v>1</v>
      </c>
      <c r="Z349" s="4" t="str">
        <f t="shared" si="6"/>
        <v>Unique</v>
      </c>
      <c r="AA349" s="4" t="str">
        <f t="shared" si="7"/>
        <v>Valid</v>
      </c>
    </row>
    <row r="350">
      <c r="A350" s="3" t="s">
        <v>941</v>
      </c>
      <c r="B350" s="3">
        <v>6.7</v>
      </c>
      <c r="C350" s="3" t="s">
        <v>942</v>
      </c>
      <c r="D350" s="3">
        <v>5.0</v>
      </c>
      <c r="E350" s="3">
        <v>5.0</v>
      </c>
      <c r="F350" s="3" t="s">
        <v>109</v>
      </c>
      <c r="G350" s="3">
        <v>1.0</v>
      </c>
      <c r="H350" s="3">
        <v>714.0</v>
      </c>
      <c r="I350" s="3" t="s">
        <v>110</v>
      </c>
      <c r="J350" s="3">
        <v>0.0</v>
      </c>
      <c r="K350" s="3">
        <v>1.925</v>
      </c>
      <c r="L350" s="3">
        <v>20.0</v>
      </c>
      <c r="M350" s="3" t="s">
        <v>111</v>
      </c>
      <c r="N350" s="3">
        <v>23.0</v>
      </c>
      <c r="O350" s="3">
        <v>39.8558</v>
      </c>
      <c r="P350" s="3">
        <v>142.881</v>
      </c>
      <c r="Q350" s="3" t="s">
        <v>943</v>
      </c>
      <c r="R350" s="4"/>
      <c r="S350" s="4"/>
      <c r="T350" s="16">
        <f t="shared" si="1"/>
        <v>42051.9625</v>
      </c>
      <c r="U350" s="4" t="b">
        <f t="shared" si="2"/>
        <v>1</v>
      </c>
      <c r="V350" s="4" t="b">
        <f t="shared" si="3"/>
        <v>0</v>
      </c>
      <c r="W350" s="4" t="str">
        <f t="shared" si="8"/>
        <v>Distance/Location</v>
      </c>
      <c r="X350" s="4" t="str">
        <f t="shared" si="4"/>
        <v>mww</v>
      </c>
      <c r="Y350" s="4">
        <f t="shared" si="5"/>
        <v>1</v>
      </c>
      <c r="Z350" s="4" t="str">
        <f t="shared" si="6"/>
        <v>Unique</v>
      </c>
      <c r="AA350" s="4" t="str">
        <f t="shared" si="7"/>
        <v>Valid</v>
      </c>
    </row>
    <row r="351">
      <c r="A351" s="3" t="s">
        <v>944</v>
      </c>
      <c r="B351" s="3">
        <v>6.7</v>
      </c>
      <c r="C351" s="17">
        <v>42310.78958333333</v>
      </c>
      <c r="D351" s="3">
        <v>4.0</v>
      </c>
      <c r="E351" s="3">
        <v>6.0</v>
      </c>
      <c r="F351" s="3" t="s">
        <v>109</v>
      </c>
      <c r="G351" s="3">
        <v>1.0</v>
      </c>
      <c r="H351" s="3">
        <v>700.0</v>
      </c>
      <c r="I351" s="3" t="s">
        <v>110</v>
      </c>
      <c r="J351" s="3">
        <v>0.0</v>
      </c>
      <c r="K351" s="3">
        <v>2.11</v>
      </c>
      <c r="L351" s="3">
        <v>16.0</v>
      </c>
      <c r="M351" s="3" t="s">
        <v>111</v>
      </c>
      <c r="N351" s="3">
        <v>223.0</v>
      </c>
      <c r="O351" s="3">
        <v>-23.1125</v>
      </c>
      <c r="P351" s="3">
        <v>-66.688</v>
      </c>
      <c r="Q351" s="3" t="s">
        <v>945</v>
      </c>
      <c r="R351" s="3" t="s">
        <v>121</v>
      </c>
      <c r="S351" s="3" t="s">
        <v>122</v>
      </c>
      <c r="T351" s="16">
        <f t="shared" si="1"/>
        <v>42046.78958</v>
      </c>
      <c r="U351" s="4" t="b">
        <f t="shared" si="2"/>
        <v>1</v>
      </c>
      <c r="V351" s="4" t="b">
        <f t="shared" si="3"/>
        <v>1</v>
      </c>
      <c r="W351" s="4" t="str">
        <f t="shared" si="8"/>
        <v>Distance/Location</v>
      </c>
      <c r="X351" s="4" t="str">
        <f t="shared" si="4"/>
        <v>mww</v>
      </c>
      <c r="Y351" s="4">
        <f t="shared" si="5"/>
        <v>1</v>
      </c>
      <c r="Z351" s="4" t="str">
        <f t="shared" si="6"/>
        <v>Unique</v>
      </c>
      <c r="AA351" s="4" t="str">
        <f t="shared" si="7"/>
        <v>Valid</v>
      </c>
    </row>
    <row r="352">
      <c r="A352" s="3" t="s">
        <v>946</v>
      </c>
      <c r="B352" s="3">
        <v>6.8</v>
      </c>
      <c r="C352" s="3" t="s">
        <v>947</v>
      </c>
      <c r="D352" s="3">
        <v>1.0</v>
      </c>
      <c r="E352" s="3">
        <v>4.0</v>
      </c>
      <c r="F352" s="3" t="s">
        <v>109</v>
      </c>
      <c r="G352" s="3">
        <v>1.0</v>
      </c>
      <c r="H352" s="3">
        <v>711.0</v>
      </c>
      <c r="I352" s="3" t="s">
        <v>110</v>
      </c>
      <c r="J352" s="3">
        <v>0.0</v>
      </c>
      <c r="K352" s="3">
        <v>2.019</v>
      </c>
      <c r="L352" s="3">
        <v>13.0</v>
      </c>
      <c r="M352" s="3" t="s">
        <v>111</v>
      </c>
      <c r="N352" s="3">
        <v>219.96</v>
      </c>
      <c r="O352" s="3">
        <v>-17.0309</v>
      </c>
      <c r="P352" s="3">
        <v>168.52</v>
      </c>
      <c r="Q352" s="3" t="s">
        <v>948</v>
      </c>
      <c r="R352" s="4"/>
      <c r="S352" s="3" t="s">
        <v>113</v>
      </c>
      <c r="T352" s="16">
        <f t="shared" si="1"/>
        <v>42027.15764</v>
      </c>
      <c r="U352" s="4" t="b">
        <f t="shared" si="2"/>
        <v>1</v>
      </c>
      <c r="V352" s="4" t="b">
        <f t="shared" si="3"/>
        <v>0</v>
      </c>
      <c r="W352" s="4" t="str">
        <f t="shared" si="8"/>
        <v>Distance/Location</v>
      </c>
      <c r="X352" s="4" t="str">
        <f t="shared" si="4"/>
        <v>mww</v>
      </c>
      <c r="Y352" s="4">
        <f t="shared" si="5"/>
        <v>1</v>
      </c>
      <c r="Z352" s="4" t="str">
        <f t="shared" si="6"/>
        <v>Unique</v>
      </c>
      <c r="AA352" s="4" t="str">
        <f t="shared" si="7"/>
        <v>Valid</v>
      </c>
    </row>
    <row r="353">
      <c r="A353" s="3" t="s">
        <v>949</v>
      </c>
      <c r="B353" s="3">
        <v>6.5</v>
      </c>
      <c r="C353" s="17">
        <v>42186.21319444444</v>
      </c>
      <c r="D353" s="3">
        <v>1.0</v>
      </c>
      <c r="E353" s="3">
        <v>4.0</v>
      </c>
      <c r="F353" s="3" t="s">
        <v>109</v>
      </c>
      <c r="G353" s="3">
        <v>1.0</v>
      </c>
      <c r="H353" s="3">
        <v>650.0</v>
      </c>
      <c r="I353" s="3" t="s">
        <v>110</v>
      </c>
      <c r="J353" s="3">
        <v>0.0</v>
      </c>
      <c r="K353" s="3">
        <v>4.318</v>
      </c>
      <c r="L353" s="3">
        <v>61.0</v>
      </c>
      <c r="M353" s="3" t="s">
        <v>111</v>
      </c>
      <c r="N353" s="3">
        <v>8.0</v>
      </c>
      <c r="O353" s="3">
        <v>5.9045</v>
      </c>
      <c r="P353" s="3">
        <v>-82.6576</v>
      </c>
      <c r="Q353" s="3" t="s">
        <v>950</v>
      </c>
      <c r="R353" s="4"/>
      <c r="S353" s="4"/>
      <c r="T353" s="16">
        <f t="shared" si="1"/>
        <v>42011.21319</v>
      </c>
      <c r="U353" s="4" t="b">
        <f t="shared" si="2"/>
        <v>1</v>
      </c>
      <c r="V353" s="4" t="b">
        <f t="shared" si="3"/>
        <v>1</v>
      </c>
      <c r="W353" s="4" t="str">
        <f t="shared" si="8"/>
        <v>Distance/Location</v>
      </c>
      <c r="X353" s="4" t="str">
        <f t="shared" si="4"/>
        <v>mww</v>
      </c>
      <c r="Y353" s="4">
        <f t="shared" si="5"/>
        <v>1</v>
      </c>
      <c r="Z353" s="4" t="str">
        <f t="shared" si="6"/>
        <v>Unique</v>
      </c>
      <c r="AA353" s="4" t="str">
        <f t="shared" si="7"/>
        <v>Valid</v>
      </c>
    </row>
    <row r="354">
      <c r="A354" s="3" t="s">
        <v>951</v>
      </c>
      <c r="B354" s="3">
        <v>6.6</v>
      </c>
      <c r="C354" s="17">
        <v>41863.370833333334</v>
      </c>
      <c r="D354" s="3">
        <v>7.0</v>
      </c>
      <c r="E354" s="3">
        <v>6.0</v>
      </c>
      <c r="F354" s="3" t="s">
        <v>109</v>
      </c>
      <c r="G354" s="3">
        <v>1.0</v>
      </c>
      <c r="H354" s="3">
        <v>709.0</v>
      </c>
      <c r="I354" s="3" t="s">
        <v>110</v>
      </c>
      <c r="J354" s="3">
        <v>0.0</v>
      </c>
      <c r="K354" s="3">
        <v>2.485</v>
      </c>
      <c r="L354" s="3">
        <v>43.0</v>
      </c>
      <c r="M354" s="3" t="s">
        <v>111</v>
      </c>
      <c r="N354" s="3">
        <v>20.0</v>
      </c>
      <c r="O354" s="3">
        <v>7.9401</v>
      </c>
      <c r="P354" s="3">
        <v>-82.6865</v>
      </c>
      <c r="Q354" s="3" t="s">
        <v>950</v>
      </c>
      <c r="R354" s="4"/>
      <c r="S354" s="3" t="s">
        <v>229</v>
      </c>
      <c r="T354" s="16">
        <f t="shared" si="1"/>
        <v>41981.37083</v>
      </c>
      <c r="U354" s="4" t="b">
        <f t="shared" si="2"/>
        <v>1</v>
      </c>
      <c r="V354" s="4" t="b">
        <f t="shared" si="3"/>
        <v>1</v>
      </c>
      <c r="W354" s="4" t="str">
        <f t="shared" si="8"/>
        <v>Distance/Location</v>
      </c>
      <c r="X354" s="4" t="str">
        <f t="shared" si="4"/>
        <v>mww</v>
      </c>
      <c r="Y354" s="4">
        <f t="shared" si="5"/>
        <v>1</v>
      </c>
      <c r="Z354" s="4" t="str">
        <f t="shared" si="6"/>
        <v>Unique</v>
      </c>
      <c r="AA354" s="4" t="str">
        <f t="shared" si="7"/>
        <v>Valid</v>
      </c>
    </row>
    <row r="355">
      <c r="A355" s="3" t="s">
        <v>952</v>
      </c>
      <c r="B355" s="3">
        <v>6.6</v>
      </c>
      <c r="C355" s="17">
        <v>41832.05694444444</v>
      </c>
      <c r="D355" s="3">
        <v>1.0</v>
      </c>
      <c r="E355" s="3">
        <v>5.0</v>
      </c>
      <c r="F355" s="3" t="s">
        <v>109</v>
      </c>
      <c r="G355" s="3">
        <v>1.0</v>
      </c>
      <c r="H355" s="3">
        <v>670.0</v>
      </c>
      <c r="I355" s="3" t="s">
        <v>110</v>
      </c>
      <c r="J355" s="3">
        <v>0.0</v>
      </c>
      <c r="K355" s="3">
        <v>3.246</v>
      </c>
      <c r="L355" s="3">
        <v>12.0</v>
      </c>
      <c r="M355" s="3" t="s">
        <v>111</v>
      </c>
      <c r="N355" s="3">
        <v>23.0</v>
      </c>
      <c r="O355" s="3">
        <v>-6.5108</v>
      </c>
      <c r="P355" s="3">
        <v>154.46</v>
      </c>
      <c r="Q355" s="3" t="s">
        <v>728</v>
      </c>
      <c r="R355" s="4"/>
      <c r="S355" s="4"/>
      <c r="T355" s="16">
        <f t="shared" si="1"/>
        <v>41980.05694</v>
      </c>
      <c r="U355" s="4" t="b">
        <f t="shared" si="2"/>
        <v>1</v>
      </c>
      <c r="V355" s="4" t="b">
        <f t="shared" si="3"/>
        <v>1</v>
      </c>
      <c r="W355" s="4" t="str">
        <f t="shared" si="8"/>
        <v>Distance/Location</v>
      </c>
      <c r="X355" s="4" t="str">
        <f t="shared" si="4"/>
        <v>mww</v>
      </c>
      <c r="Y355" s="4">
        <f t="shared" si="5"/>
        <v>1</v>
      </c>
      <c r="Z355" s="4" t="str">
        <f t="shared" si="6"/>
        <v>Unique</v>
      </c>
      <c r="AA355" s="4" t="str">
        <f t="shared" si="7"/>
        <v>Valid</v>
      </c>
    </row>
    <row r="356">
      <c r="A356" s="3" t="s">
        <v>953</v>
      </c>
      <c r="B356" s="3">
        <v>6.6</v>
      </c>
      <c r="C356" s="17">
        <v>41682.21597222222</v>
      </c>
      <c r="D356" s="3">
        <v>1.0</v>
      </c>
      <c r="E356" s="3">
        <v>3.0</v>
      </c>
      <c r="F356" s="3" t="s">
        <v>109</v>
      </c>
      <c r="G356" s="3">
        <v>0.0</v>
      </c>
      <c r="H356" s="3">
        <v>670.0</v>
      </c>
      <c r="I356" s="3" t="s">
        <v>110</v>
      </c>
      <c r="J356" s="3">
        <v>0.0</v>
      </c>
      <c r="K356" s="3">
        <v>2.6</v>
      </c>
      <c r="L356" s="3">
        <v>9.0</v>
      </c>
      <c r="M356" s="3" t="s">
        <v>111</v>
      </c>
      <c r="N356" s="3">
        <v>614.0</v>
      </c>
      <c r="O356" s="3">
        <v>6.1572</v>
      </c>
      <c r="P356" s="3">
        <v>123.126</v>
      </c>
      <c r="Q356" s="3" t="s">
        <v>954</v>
      </c>
      <c r="R356" s="4"/>
      <c r="S356" s="3" t="s">
        <v>258</v>
      </c>
      <c r="T356" s="16">
        <f t="shared" si="1"/>
        <v>41975.21597</v>
      </c>
      <c r="U356" s="4" t="b">
        <f t="shared" si="2"/>
        <v>1</v>
      </c>
      <c r="V356" s="4" t="b">
        <f t="shared" si="3"/>
        <v>1</v>
      </c>
      <c r="W356" s="4" t="str">
        <f t="shared" si="8"/>
        <v>Distance/Location</v>
      </c>
      <c r="X356" s="4" t="str">
        <f t="shared" si="4"/>
        <v>mww</v>
      </c>
      <c r="Y356" s="4">
        <f t="shared" si="5"/>
        <v>1</v>
      </c>
      <c r="Z356" s="4" t="str">
        <f t="shared" si="6"/>
        <v>Unique</v>
      </c>
      <c r="AA356" s="4" t="str">
        <f t="shared" si="7"/>
        <v>Valid</v>
      </c>
    </row>
    <row r="357">
      <c r="A357" s="3" t="s">
        <v>955</v>
      </c>
      <c r="B357" s="3">
        <v>6.8</v>
      </c>
      <c r="C357" s="3" t="s">
        <v>956</v>
      </c>
      <c r="D357" s="3">
        <v>6.0</v>
      </c>
      <c r="E357" s="3">
        <v>5.0</v>
      </c>
      <c r="F357" s="3" t="s">
        <v>109</v>
      </c>
      <c r="G357" s="3">
        <v>1.0</v>
      </c>
      <c r="H357" s="3">
        <v>713.0</v>
      </c>
      <c r="I357" s="3" t="s">
        <v>110</v>
      </c>
      <c r="J357" s="3">
        <v>0.0</v>
      </c>
      <c r="K357" s="3">
        <v>1.421</v>
      </c>
      <c r="L357" s="3">
        <v>19.0</v>
      </c>
      <c r="M357" s="3" t="s">
        <v>111</v>
      </c>
      <c r="N357" s="3">
        <v>39.0</v>
      </c>
      <c r="O357" s="3">
        <v>1.9604</v>
      </c>
      <c r="P357" s="3">
        <v>126.575</v>
      </c>
      <c r="Q357" s="3" t="s">
        <v>957</v>
      </c>
      <c r="R357" s="4"/>
      <c r="S357" s="3" t="s">
        <v>153</v>
      </c>
      <c r="T357" s="16">
        <f t="shared" si="1"/>
        <v>41969.60625</v>
      </c>
      <c r="U357" s="4" t="b">
        <f t="shared" si="2"/>
        <v>1</v>
      </c>
      <c r="V357" s="4" t="b">
        <f t="shared" si="3"/>
        <v>0</v>
      </c>
      <c r="W357" s="4" t="str">
        <f t="shared" si="8"/>
        <v>Distance/Location</v>
      </c>
      <c r="X357" s="4" t="str">
        <f t="shared" si="4"/>
        <v>mww</v>
      </c>
      <c r="Y357" s="4">
        <f t="shared" si="5"/>
        <v>1</v>
      </c>
      <c r="Z357" s="4" t="str">
        <f t="shared" si="6"/>
        <v>Unique</v>
      </c>
      <c r="AA357" s="4" t="str">
        <f t="shared" si="7"/>
        <v>Valid</v>
      </c>
    </row>
    <row r="358">
      <c r="A358" s="3" t="s">
        <v>958</v>
      </c>
      <c r="B358" s="3">
        <v>6.5</v>
      </c>
      <c r="C358" s="3" t="s">
        <v>959</v>
      </c>
      <c r="D358" s="3">
        <v>5.0</v>
      </c>
      <c r="E358" s="3">
        <v>5.0</v>
      </c>
      <c r="F358" s="3" t="s">
        <v>109</v>
      </c>
      <c r="G358" s="3">
        <v>1.0</v>
      </c>
      <c r="H358" s="3">
        <v>652.0</v>
      </c>
      <c r="I358" s="3" t="s">
        <v>110</v>
      </c>
      <c r="J358" s="3">
        <v>0.0</v>
      </c>
      <c r="K358" s="3">
        <v>1.549</v>
      </c>
      <c r="L358" s="3">
        <v>9.0</v>
      </c>
      <c r="M358" s="3" t="s">
        <v>111</v>
      </c>
      <c r="N358" s="3">
        <v>35.0</v>
      </c>
      <c r="O358" s="3">
        <v>2.2999</v>
      </c>
      <c r="P358" s="3">
        <v>127.056</v>
      </c>
      <c r="Q358" s="3" t="s">
        <v>205</v>
      </c>
      <c r="R358" s="4"/>
      <c r="S358" s="3" t="s">
        <v>153</v>
      </c>
      <c r="T358" s="16">
        <f t="shared" si="1"/>
        <v>41964.42361</v>
      </c>
      <c r="U358" s="4" t="b">
        <f t="shared" si="2"/>
        <v>1</v>
      </c>
      <c r="V358" s="4" t="b">
        <f t="shared" si="3"/>
        <v>0</v>
      </c>
      <c r="W358" s="4" t="str">
        <f t="shared" si="8"/>
        <v>Distance/Location</v>
      </c>
      <c r="X358" s="4" t="str">
        <f t="shared" si="4"/>
        <v>mww</v>
      </c>
      <c r="Y358" s="4">
        <f t="shared" si="5"/>
        <v>1</v>
      </c>
      <c r="Z358" s="4" t="str">
        <f t="shared" si="6"/>
        <v>Unique</v>
      </c>
      <c r="AA358" s="4" t="str">
        <f t="shared" si="7"/>
        <v>Valid</v>
      </c>
    </row>
    <row r="359">
      <c r="A359" s="3" t="s">
        <v>960</v>
      </c>
      <c r="B359" s="3">
        <v>6.7</v>
      </c>
      <c r="C359" s="3" t="s">
        <v>961</v>
      </c>
      <c r="D359" s="3">
        <v>7.0</v>
      </c>
      <c r="E359" s="3">
        <v>4.0</v>
      </c>
      <c r="F359" s="3" t="s">
        <v>109</v>
      </c>
      <c r="G359" s="3">
        <v>1.0</v>
      </c>
      <c r="H359" s="3">
        <v>698.0</v>
      </c>
      <c r="I359" s="3" t="s">
        <v>110</v>
      </c>
      <c r="J359" s="3">
        <v>0.0</v>
      </c>
      <c r="K359" s="3">
        <v>1.079</v>
      </c>
      <c r="L359" s="3">
        <v>25.0</v>
      </c>
      <c r="M359" s="3" t="s">
        <v>111</v>
      </c>
      <c r="N359" s="3">
        <v>22.0</v>
      </c>
      <c r="O359" s="3">
        <v>-37.6478</v>
      </c>
      <c r="P359" s="3">
        <v>179.662</v>
      </c>
      <c r="Q359" s="3" t="s">
        <v>387</v>
      </c>
      <c r="R359" s="4"/>
      <c r="S359" s="4"/>
      <c r="T359" s="16">
        <f t="shared" si="1"/>
        <v>41959.93958</v>
      </c>
      <c r="U359" s="4" t="b">
        <f t="shared" si="2"/>
        <v>1</v>
      </c>
      <c r="V359" s="4" t="b">
        <f t="shared" si="3"/>
        <v>0</v>
      </c>
      <c r="W359" s="4" t="str">
        <f t="shared" si="8"/>
        <v>Distance/Location</v>
      </c>
      <c r="X359" s="4" t="str">
        <f t="shared" si="4"/>
        <v>mww</v>
      </c>
      <c r="Y359" s="4">
        <f t="shared" si="5"/>
        <v>1</v>
      </c>
      <c r="Z359" s="4" t="str">
        <f t="shared" si="6"/>
        <v>Unique</v>
      </c>
      <c r="AA359" s="4" t="str">
        <f t="shared" si="7"/>
        <v>Valid</v>
      </c>
    </row>
    <row r="360">
      <c r="A360" s="3" t="s">
        <v>962</v>
      </c>
      <c r="B360" s="3">
        <v>7.1</v>
      </c>
      <c r="C360" s="3" t="s">
        <v>963</v>
      </c>
      <c r="D360" s="3">
        <v>4.0</v>
      </c>
      <c r="E360" s="3">
        <v>6.0</v>
      </c>
      <c r="F360" s="3" t="s">
        <v>109</v>
      </c>
      <c r="G360" s="3">
        <v>1.0</v>
      </c>
      <c r="H360" s="3">
        <v>779.0</v>
      </c>
      <c r="I360" s="3" t="s">
        <v>110</v>
      </c>
      <c r="J360" s="3">
        <v>0.0</v>
      </c>
      <c r="K360" s="3">
        <v>1.397</v>
      </c>
      <c r="L360" s="3">
        <v>18.0</v>
      </c>
      <c r="M360" s="3" t="s">
        <v>111</v>
      </c>
      <c r="N360" s="3">
        <v>45.0</v>
      </c>
      <c r="O360" s="3">
        <v>1.8929</v>
      </c>
      <c r="P360" s="3">
        <v>126.522</v>
      </c>
      <c r="Q360" s="3" t="s">
        <v>957</v>
      </c>
      <c r="R360" s="4"/>
      <c r="S360" s="3" t="s">
        <v>153</v>
      </c>
      <c r="T360" s="16">
        <f t="shared" si="1"/>
        <v>41958.10486</v>
      </c>
      <c r="U360" s="4" t="b">
        <f t="shared" si="2"/>
        <v>1</v>
      </c>
      <c r="V360" s="4" t="b">
        <f t="shared" si="3"/>
        <v>0</v>
      </c>
      <c r="W360" s="4" t="str">
        <f t="shared" si="8"/>
        <v>Distance/Location</v>
      </c>
      <c r="X360" s="4" t="str">
        <f t="shared" si="4"/>
        <v>mww</v>
      </c>
      <c r="Y360" s="4">
        <f t="shared" si="5"/>
        <v>1</v>
      </c>
      <c r="Z360" s="4" t="str">
        <f t="shared" si="6"/>
        <v>Unique</v>
      </c>
      <c r="AA360" s="4" t="str">
        <f t="shared" si="7"/>
        <v>Valid</v>
      </c>
    </row>
    <row r="361">
      <c r="A361" s="3" t="s">
        <v>964</v>
      </c>
      <c r="B361" s="3">
        <v>6.6</v>
      </c>
      <c r="C361" s="17">
        <v>41831.14791666667</v>
      </c>
      <c r="D361" s="3">
        <v>2.0</v>
      </c>
      <c r="E361" s="3">
        <v>6.0</v>
      </c>
      <c r="F361" s="3" t="s">
        <v>109</v>
      </c>
      <c r="G361" s="3">
        <v>1.0</v>
      </c>
      <c r="H361" s="3">
        <v>671.0</v>
      </c>
      <c r="I361" s="3" t="s">
        <v>110</v>
      </c>
      <c r="J361" s="3">
        <v>0.0</v>
      </c>
      <c r="K361" s="3">
        <v>3.557</v>
      </c>
      <c r="L361" s="3">
        <v>13.0</v>
      </c>
      <c r="M361" s="3" t="s">
        <v>111</v>
      </c>
      <c r="N361" s="3">
        <v>53.19</v>
      </c>
      <c r="O361" s="3">
        <v>-5.9873</v>
      </c>
      <c r="P361" s="3">
        <v>148.232</v>
      </c>
      <c r="Q361" s="3" t="s">
        <v>965</v>
      </c>
      <c r="R361" s="4"/>
      <c r="S361" s="3" t="s">
        <v>168</v>
      </c>
      <c r="T361" s="16">
        <f t="shared" si="1"/>
        <v>41950.14792</v>
      </c>
      <c r="U361" s="4" t="b">
        <f t="shared" si="2"/>
        <v>1</v>
      </c>
      <c r="V361" s="4" t="b">
        <f t="shared" si="3"/>
        <v>1</v>
      </c>
      <c r="W361" s="4" t="str">
        <f t="shared" si="8"/>
        <v>Distance/Location</v>
      </c>
      <c r="X361" s="4" t="str">
        <f t="shared" si="4"/>
        <v>mww</v>
      </c>
      <c r="Y361" s="4">
        <f t="shared" si="5"/>
        <v>1</v>
      </c>
      <c r="Z361" s="4" t="str">
        <f t="shared" si="6"/>
        <v>Unique</v>
      </c>
      <c r="AA361" s="4" t="str">
        <f t="shared" si="7"/>
        <v>Valid</v>
      </c>
    </row>
    <row r="362">
      <c r="A362" s="3" t="s">
        <v>966</v>
      </c>
      <c r="B362" s="3">
        <v>7.1</v>
      </c>
      <c r="C362" s="17">
        <v>41650.78958333333</v>
      </c>
      <c r="D362" s="3">
        <v>3.0</v>
      </c>
      <c r="E362" s="3">
        <v>6.0</v>
      </c>
      <c r="F362" s="3" t="s">
        <v>109</v>
      </c>
      <c r="G362" s="3">
        <v>1.0</v>
      </c>
      <c r="H362" s="3">
        <v>776.0</v>
      </c>
      <c r="I362" s="3" t="s">
        <v>110</v>
      </c>
      <c r="J362" s="3">
        <v>0.0</v>
      </c>
      <c r="K362" s="3">
        <v>4.415</v>
      </c>
      <c r="L362" s="3">
        <v>13.0</v>
      </c>
      <c r="M362" s="3" t="s">
        <v>111</v>
      </c>
      <c r="N362" s="3">
        <v>434.0</v>
      </c>
      <c r="O362" s="3">
        <v>-19.6903</v>
      </c>
      <c r="P362" s="3">
        <v>-177.759</v>
      </c>
      <c r="Q362" s="3" t="s">
        <v>777</v>
      </c>
      <c r="R362" s="4"/>
      <c r="S362" s="4"/>
      <c r="T362" s="16">
        <f t="shared" si="1"/>
        <v>41944.78958</v>
      </c>
      <c r="U362" s="4" t="b">
        <f t="shared" si="2"/>
        <v>1</v>
      </c>
      <c r="V362" s="4" t="b">
        <f t="shared" si="3"/>
        <v>1</v>
      </c>
      <c r="W362" s="4" t="str">
        <f t="shared" si="8"/>
        <v>Named Region</v>
      </c>
      <c r="X362" s="4" t="str">
        <f t="shared" si="4"/>
        <v>mww</v>
      </c>
      <c r="Y362" s="4">
        <f t="shared" si="5"/>
        <v>1</v>
      </c>
      <c r="Z362" s="4" t="str">
        <f t="shared" si="6"/>
        <v>Unique</v>
      </c>
      <c r="AA362" s="4" t="str">
        <f t="shared" si="7"/>
        <v>Valid</v>
      </c>
    </row>
    <row r="363">
      <c r="A363" s="3" t="s">
        <v>967</v>
      </c>
      <c r="B363" s="3">
        <v>7.3</v>
      </c>
      <c r="C363" s="3" t="s">
        <v>968</v>
      </c>
      <c r="D363" s="3">
        <v>8.0</v>
      </c>
      <c r="E363" s="3">
        <v>6.0</v>
      </c>
      <c r="F363" s="3" t="s">
        <v>116</v>
      </c>
      <c r="G363" s="3">
        <v>1.0</v>
      </c>
      <c r="H363" s="3">
        <v>982.0</v>
      </c>
      <c r="I363" s="3" t="s">
        <v>110</v>
      </c>
      <c r="J363" s="3">
        <v>0.0</v>
      </c>
      <c r="K363" s="3">
        <v>1.078</v>
      </c>
      <c r="L363" s="3">
        <v>18.0</v>
      </c>
      <c r="M363" s="3" t="s">
        <v>111</v>
      </c>
      <c r="N363" s="3">
        <v>40.0</v>
      </c>
      <c r="O363" s="3">
        <v>12.5262</v>
      </c>
      <c r="P363" s="3">
        <v>-88.1225</v>
      </c>
      <c r="Q363" s="3" t="s">
        <v>117</v>
      </c>
      <c r="R363" s="4"/>
      <c r="S363" s="4"/>
      <c r="T363" s="16">
        <f t="shared" si="1"/>
        <v>41926.16042</v>
      </c>
      <c r="U363" s="4" t="b">
        <f t="shared" si="2"/>
        <v>1</v>
      </c>
      <c r="V363" s="4" t="b">
        <f t="shared" si="3"/>
        <v>0</v>
      </c>
      <c r="W363" s="4" t="str">
        <f t="shared" si="8"/>
        <v>Distance/Location</v>
      </c>
      <c r="X363" s="4" t="str">
        <f t="shared" si="4"/>
        <v>mww</v>
      </c>
      <c r="Y363" s="4">
        <f t="shared" si="5"/>
        <v>1</v>
      </c>
      <c r="Z363" s="4" t="str">
        <f t="shared" si="6"/>
        <v>Unique</v>
      </c>
      <c r="AA363" s="4" t="str">
        <f t="shared" si="7"/>
        <v>Valid</v>
      </c>
    </row>
    <row r="364">
      <c r="A364" s="3" t="s">
        <v>969</v>
      </c>
      <c r="B364" s="3">
        <v>6.7</v>
      </c>
      <c r="C364" s="3" t="s">
        <v>970</v>
      </c>
      <c r="D364" s="3">
        <v>5.0</v>
      </c>
      <c r="E364" s="3">
        <v>5.0</v>
      </c>
      <c r="F364" s="3" t="s">
        <v>109</v>
      </c>
      <c r="G364" s="3">
        <v>1.0</v>
      </c>
      <c r="H364" s="3">
        <v>724.0</v>
      </c>
      <c r="I364" s="3" t="s">
        <v>110</v>
      </c>
      <c r="J364" s="3">
        <v>0.0</v>
      </c>
      <c r="K364" s="3">
        <v>0.46</v>
      </c>
      <c r="L364" s="3">
        <v>11.0</v>
      </c>
      <c r="M364" s="3" t="s">
        <v>111</v>
      </c>
      <c r="N364" s="3">
        <v>130.0</v>
      </c>
      <c r="O364" s="3">
        <v>13.7641</v>
      </c>
      <c r="P364" s="3">
        <v>144.429</v>
      </c>
      <c r="Q364" s="3" t="s">
        <v>971</v>
      </c>
      <c r="R364" s="4"/>
      <c r="S364" s="4"/>
      <c r="T364" s="16">
        <f t="shared" si="1"/>
        <v>41899.25972</v>
      </c>
      <c r="U364" s="4" t="b">
        <f t="shared" si="2"/>
        <v>1</v>
      </c>
      <c r="V364" s="4" t="b">
        <f t="shared" si="3"/>
        <v>0</v>
      </c>
      <c r="W364" s="4" t="str">
        <f t="shared" si="8"/>
        <v>Distance/Location</v>
      </c>
      <c r="X364" s="4" t="str">
        <f t="shared" si="4"/>
        <v>mww</v>
      </c>
      <c r="Y364" s="4">
        <f t="shared" si="5"/>
        <v>1</v>
      </c>
      <c r="Z364" s="4" t="str">
        <f t="shared" si="6"/>
        <v>Unique</v>
      </c>
      <c r="AA364" s="4" t="str">
        <f t="shared" si="7"/>
        <v>Valid</v>
      </c>
    </row>
    <row r="365">
      <c r="A365" s="3" t="s">
        <v>972</v>
      </c>
      <c r="B365" s="3">
        <v>6.8</v>
      </c>
      <c r="C365" s="3" t="s">
        <v>973</v>
      </c>
      <c r="D365" s="3">
        <v>6.0</v>
      </c>
      <c r="E365" s="3">
        <v>6.0</v>
      </c>
      <c r="F365" s="3" t="s">
        <v>109</v>
      </c>
      <c r="G365" s="3">
        <v>1.0</v>
      </c>
      <c r="H365" s="3">
        <v>741.0</v>
      </c>
      <c r="I365" s="3" t="s">
        <v>110</v>
      </c>
      <c r="J365" s="3">
        <v>0.0</v>
      </c>
      <c r="K365" s="3">
        <v>4.107</v>
      </c>
      <c r="L365" s="3">
        <v>18.0</v>
      </c>
      <c r="M365" s="3" t="s">
        <v>111</v>
      </c>
      <c r="N365" s="3">
        <v>101.0</v>
      </c>
      <c r="O365" s="3">
        <v>-14.598</v>
      </c>
      <c r="P365" s="3">
        <v>-73.5714</v>
      </c>
      <c r="Q365" s="3" t="s">
        <v>974</v>
      </c>
      <c r="R365" s="3" t="s">
        <v>121</v>
      </c>
      <c r="S365" s="3" t="s">
        <v>265</v>
      </c>
      <c r="T365" s="16">
        <f t="shared" si="1"/>
        <v>41875.97292</v>
      </c>
      <c r="U365" s="4" t="b">
        <f t="shared" si="2"/>
        <v>1</v>
      </c>
      <c r="V365" s="4" t="b">
        <f t="shared" si="3"/>
        <v>0</v>
      </c>
      <c r="W365" s="4" t="str">
        <f t="shared" si="8"/>
        <v>Distance/Location</v>
      </c>
      <c r="X365" s="4" t="str">
        <f t="shared" si="4"/>
        <v>mww</v>
      </c>
      <c r="Y365" s="4">
        <f t="shared" si="5"/>
        <v>1</v>
      </c>
      <c r="Z365" s="4" t="str">
        <f t="shared" si="6"/>
        <v>Unique</v>
      </c>
      <c r="AA365" s="4" t="str">
        <f t="shared" si="7"/>
        <v>Valid</v>
      </c>
    </row>
    <row r="366">
      <c r="A366" s="3" t="s">
        <v>975</v>
      </c>
      <c r="B366" s="3">
        <v>6.9</v>
      </c>
      <c r="C366" s="17">
        <v>41706.01527777778</v>
      </c>
      <c r="D366" s="3">
        <v>0.0</v>
      </c>
      <c r="E366" s="3">
        <v>4.0</v>
      </c>
      <c r="F366" s="3" t="s">
        <v>109</v>
      </c>
      <c r="G366" s="3">
        <v>1.0</v>
      </c>
      <c r="H366" s="3">
        <v>732.0</v>
      </c>
      <c r="I366" s="3" t="s">
        <v>110</v>
      </c>
      <c r="J366" s="3">
        <v>0.0</v>
      </c>
      <c r="K366" s="3">
        <v>6.393</v>
      </c>
      <c r="L366" s="3">
        <v>12.0</v>
      </c>
      <c r="M366" s="3" t="s">
        <v>111</v>
      </c>
      <c r="N366" s="3">
        <v>13.0</v>
      </c>
      <c r="O366" s="3">
        <v>0.8295</v>
      </c>
      <c r="P366" s="3">
        <v>146.169</v>
      </c>
      <c r="Q366" s="3" t="s">
        <v>976</v>
      </c>
      <c r="R366" s="4"/>
      <c r="S366" s="4"/>
      <c r="T366" s="16">
        <f t="shared" si="1"/>
        <v>41854.01528</v>
      </c>
      <c r="U366" s="4" t="b">
        <f t="shared" si="2"/>
        <v>1</v>
      </c>
      <c r="V366" s="4" t="b">
        <f t="shared" si="3"/>
        <v>1</v>
      </c>
      <c r="W366" s="4" t="str">
        <f t="shared" si="8"/>
        <v>Named Region</v>
      </c>
      <c r="X366" s="4" t="str">
        <f t="shared" si="4"/>
        <v>mww</v>
      </c>
      <c r="Y366" s="4">
        <f t="shared" si="5"/>
        <v>1</v>
      </c>
      <c r="Z366" s="4" t="str">
        <f t="shared" si="6"/>
        <v>Unique</v>
      </c>
      <c r="AA366" s="4" t="str">
        <f t="shared" si="7"/>
        <v>Valid</v>
      </c>
    </row>
    <row r="367">
      <c r="A367" s="3" t="s">
        <v>775</v>
      </c>
      <c r="B367" s="3">
        <v>6.9</v>
      </c>
      <c r="C367" s="3" t="s">
        <v>977</v>
      </c>
      <c r="D367" s="3">
        <v>0.0</v>
      </c>
      <c r="E367" s="3">
        <v>6.0</v>
      </c>
      <c r="F367" s="3" t="s">
        <v>109</v>
      </c>
      <c r="G367" s="3">
        <v>1.0</v>
      </c>
      <c r="H367" s="3">
        <v>732.0</v>
      </c>
      <c r="I367" s="3" t="s">
        <v>110</v>
      </c>
      <c r="J367" s="3">
        <v>0.0</v>
      </c>
      <c r="K367" s="3">
        <v>3.934</v>
      </c>
      <c r="L367" s="3">
        <v>15.0</v>
      </c>
      <c r="M367" s="3" t="s">
        <v>111</v>
      </c>
      <c r="N367" s="3">
        <v>615.42</v>
      </c>
      <c r="O367" s="3">
        <v>-19.8015</v>
      </c>
      <c r="P367" s="3">
        <v>-178.4</v>
      </c>
      <c r="Q367" s="3" t="s">
        <v>777</v>
      </c>
      <c r="R367" s="4"/>
      <c r="S367" s="3" t="s">
        <v>219</v>
      </c>
      <c r="T367" s="16">
        <f t="shared" si="1"/>
        <v>41841.62083</v>
      </c>
      <c r="U367" s="4" t="b">
        <f t="shared" si="2"/>
        <v>1</v>
      </c>
      <c r="V367" s="4" t="b">
        <f t="shared" si="3"/>
        <v>0</v>
      </c>
      <c r="W367" s="4" t="str">
        <f t="shared" si="8"/>
        <v>Named Region</v>
      </c>
      <c r="X367" s="4" t="str">
        <f t="shared" si="4"/>
        <v>mww</v>
      </c>
      <c r="Y367" s="4">
        <f t="shared" si="5"/>
        <v>1</v>
      </c>
      <c r="Z367" s="4" t="str">
        <f t="shared" si="6"/>
        <v>Unique</v>
      </c>
      <c r="AA367" s="4" t="str">
        <f t="shared" si="7"/>
        <v>Valid</v>
      </c>
    </row>
    <row r="368">
      <c r="A368" s="3" t="s">
        <v>978</v>
      </c>
      <c r="B368" s="3">
        <v>6.5</v>
      </c>
      <c r="C368" s="17">
        <v>41950.80694444444</v>
      </c>
      <c r="D368" s="3">
        <v>5.0</v>
      </c>
      <c r="E368" s="3">
        <v>4.0</v>
      </c>
      <c r="F368" s="3" t="s">
        <v>109</v>
      </c>
      <c r="G368" s="3">
        <v>1.0</v>
      </c>
      <c r="H368" s="3">
        <v>706.0</v>
      </c>
      <c r="I368" s="3" t="s">
        <v>110</v>
      </c>
      <c r="J368" s="3">
        <v>0.0</v>
      </c>
      <c r="K368" s="3">
        <v>2.421</v>
      </c>
      <c r="L368" s="3">
        <v>9.0</v>
      </c>
      <c r="M368" s="3" t="s">
        <v>111</v>
      </c>
      <c r="N368" s="3">
        <v>20.0</v>
      </c>
      <c r="O368" s="3">
        <v>37.0052</v>
      </c>
      <c r="P368" s="3">
        <v>142.452</v>
      </c>
      <c r="Q368" s="3" t="s">
        <v>282</v>
      </c>
      <c r="R368" s="4"/>
      <c r="S368" s="4"/>
      <c r="T368" s="16">
        <f t="shared" si="1"/>
        <v>41831.80694</v>
      </c>
      <c r="U368" s="4" t="b">
        <f t="shared" si="2"/>
        <v>1</v>
      </c>
      <c r="V368" s="4" t="b">
        <f t="shared" si="3"/>
        <v>1</v>
      </c>
      <c r="W368" s="4" t="str">
        <f t="shared" si="8"/>
        <v>Distance/Location</v>
      </c>
      <c r="X368" s="4" t="str">
        <f t="shared" si="4"/>
        <v>mww</v>
      </c>
      <c r="Y368" s="4">
        <f t="shared" si="5"/>
        <v>1</v>
      </c>
      <c r="Z368" s="4" t="str">
        <f t="shared" si="6"/>
        <v>Unique</v>
      </c>
      <c r="AA368" s="4" t="str">
        <f t="shared" si="7"/>
        <v>Valid</v>
      </c>
    </row>
    <row r="369">
      <c r="A369" s="3" t="s">
        <v>979</v>
      </c>
      <c r="B369" s="3">
        <v>6.9</v>
      </c>
      <c r="C369" s="17">
        <v>41827.47430555556</v>
      </c>
      <c r="D369" s="3">
        <v>8.0</v>
      </c>
      <c r="E369" s="3">
        <v>7.0</v>
      </c>
      <c r="F369" s="3" t="s">
        <v>178</v>
      </c>
      <c r="G369" s="3">
        <v>1.0</v>
      </c>
      <c r="H369" s="3">
        <v>1079.0</v>
      </c>
      <c r="I369" s="3" t="s">
        <v>110</v>
      </c>
      <c r="J369" s="3">
        <v>0.0</v>
      </c>
      <c r="K369" s="3">
        <v>0.263</v>
      </c>
      <c r="L369" s="3">
        <v>51.0</v>
      </c>
      <c r="M369" s="3" t="s">
        <v>111</v>
      </c>
      <c r="N369" s="3">
        <v>53.0</v>
      </c>
      <c r="O369" s="3">
        <v>14.724</v>
      </c>
      <c r="P369" s="3">
        <v>-92.4614</v>
      </c>
      <c r="Q369" s="3" t="s">
        <v>541</v>
      </c>
      <c r="R369" s="4"/>
      <c r="S369" s="3" t="s">
        <v>234</v>
      </c>
      <c r="T369" s="16">
        <f t="shared" si="1"/>
        <v>41827.47431</v>
      </c>
      <c r="U369" s="4" t="b">
        <f t="shared" si="2"/>
        <v>1</v>
      </c>
      <c r="V369" s="4" t="b">
        <f t="shared" si="3"/>
        <v>1</v>
      </c>
      <c r="W369" s="4" t="str">
        <f t="shared" si="8"/>
        <v>Distance/Location</v>
      </c>
      <c r="X369" s="4" t="str">
        <f t="shared" si="4"/>
        <v>mww</v>
      </c>
      <c r="Y369" s="4">
        <f t="shared" si="5"/>
        <v>1</v>
      </c>
      <c r="Z369" s="4" t="str">
        <f t="shared" si="6"/>
        <v>Unique</v>
      </c>
      <c r="AA369" s="4" t="str">
        <f t="shared" si="7"/>
        <v>Valid</v>
      </c>
    </row>
    <row r="370">
      <c r="A370" s="3" t="s">
        <v>980</v>
      </c>
      <c r="B370" s="3">
        <v>6.5</v>
      </c>
      <c r="C370" s="17">
        <v>41736.625</v>
      </c>
      <c r="D370" s="3">
        <v>0.0</v>
      </c>
      <c r="E370" s="3">
        <v>4.0</v>
      </c>
      <c r="F370" s="3" t="s">
        <v>109</v>
      </c>
      <c r="G370" s="3">
        <v>1.0</v>
      </c>
      <c r="H370" s="3">
        <v>650.0</v>
      </c>
      <c r="I370" s="3" t="s">
        <v>110</v>
      </c>
      <c r="J370" s="3">
        <v>0.0</v>
      </c>
      <c r="K370" s="3">
        <v>2.124</v>
      </c>
      <c r="L370" s="3">
        <v>15.0</v>
      </c>
      <c r="M370" s="3" t="s">
        <v>111</v>
      </c>
      <c r="N370" s="3">
        <v>20.0</v>
      </c>
      <c r="O370" s="3">
        <v>-6.2304</v>
      </c>
      <c r="P370" s="3">
        <v>152.807</v>
      </c>
      <c r="Q370" s="3" t="s">
        <v>633</v>
      </c>
      <c r="R370" s="4"/>
      <c r="S370" s="4"/>
      <c r="T370" s="16">
        <f t="shared" si="1"/>
        <v>41824.625</v>
      </c>
      <c r="U370" s="4" t="b">
        <f t="shared" si="2"/>
        <v>1</v>
      </c>
      <c r="V370" s="4" t="b">
        <f t="shared" si="3"/>
        <v>1</v>
      </c>
      <c r="W370" s="4" t="str">
        <f t="shared" si="8"/>
        <v>Distance/Location</v>
      </c>
      <c r="X370" s="4" t="str">
        <f t="shared" si="4"/>
        <v>mww</v>
      </c>
      <c r="Y370" s="4">
        <f t="shared" si="5"/>
        <v>1</v>
      </c>
      <c r="Z370" s="4" t="str">
        <f t="shared" si="6"/>
        <v>Unique</v>
      </c>
      <c r="AA370" s="4" t="str">
        <f t="shared" si="7"/>
        <v>Valid</v>
      </c>
    </row>
    <row r="371">
      <c r="A371" s="3" t="s">
        <v>981</v>
      </c>
      <c r="B371" s="3">
        <v>6.7</v>
      </c>
      <c r="C371" s="3" t="s">
        <v>982</v>
      </c>
      <c r="D371" s="3">
        <v>0.0</v>
      </c>
      <c r="E371" s="3">
        <v>5.0</v>
      </c>
      <c r="F371" s="3" t="s">
        <v>109</v>
      </c>
      <c r="G371" s="3">
        <v>1.0</v>
      </c>
      <c r="H371" s="3">
        <v>691.0</v>
      </c>
      <c r="I371" s="3" t="s">
        <v>110</v>
      </c>
      <c r="J371" s="3">
        <v>0.0</v>
      </c>
      <c r="K371" s="3">
        <v>6.713</v>
      </c>
      <c r="L371" s="3">
        <v>45.0</v>
      </c>
      <c r="M371" s="3" t="s">
        <v>111</v>
      </c>
      <c r="N371" s="3">
        <v>18.0</v>
      </c>
      <c r="O371" s="3">
        <v>-14.9831</v>
      </c>
      <c r="P371" s="3">
        <v>-175.51</v>
      </c>
      <c r="Q371" s="3" t="s">
        <v>983</v>
      </c>
      <c r="R371" s="4"/>
      <c r="S371" s="4"/>
      <c r="T371" s="16">
        <f t="shared" si="1"/>
        <v>41819.71875</v>
      </c>
      <c r="U371" s="4" t="b">
        <f t="shared" si="2"/>
        <v>1</v>
      </c>
      <c r="V371" s="4" t="b">
        <f t="shared" si="3"/>
        <v>0</v>
      </c>
      <c r="W371" s="4" t="str">
        <f t="shared" si="8"/>
        <v>Distance/Location</v>
      </c>
      <c r="X371" s="4" t="str">
        <f t="shared" si="4"/>
        <v>mww</v>
      </c>
      <c r="Y371" s="4">
        <f t="shared" si="5"/>
        <v>1</v>
      </c>
      <c r="Z371" s="4" t="str">
        <f t="shared" si="6"/>
        <v>Unique</v>
      </c>
      <c r="AA371" s="4" t="str">
        <f t="shared" si="7"/>
        <v>Valid</v>
      </c>
    </row>
    <row r="372">
      <c r="A372" s="3" t="s">
        <v>335</v>
      </c>
      <c r="B372" s="3">
        <v>6.9</v>
      </c>
      <c r="C372" s="3" t="s">
        <v>984</v>
      </c>
      <c r="D372" s="3">
        <v>0.0</v>
      </c>
      <c r="E372" s="3">
        <v>5.0</v>
      </c>
      <c r="F372" s="3" t="s">
        <v>109</v>
      </c>
      <c r="G372" s="3">
        <v>1.0</v>
      </c>
      <c r="H372" s="3">
        <v>732.0</v>
      </c>
      <c r="I372" s="3" t="s">
        <v>110</v>
      </c>
      <c r="J372" s="3">
        <v>0.0</v>
      </c>
      <c r="K372" s="3">
        <v>4.838</v>
      </c>
      <c r="L372" s="3">
        <v>25.0</v>
      </c>
      <c r="M372" s="3" t="s">
        <v>111</v>
      </c>
      <c r="N372" s="3">
        <v>8.0</v>
      </c>
      <c r="O372" s="3">
        <v>-55.4703</v>
      </c>
      <c r="P372" s="3">
        <v>-28.3669</v>
      </c>
      <c r="Q372" s="3" t="s">
        <v>329</v>
      </c>
      <c r="R372" s="4"/>
      <c r="S372" s="4"/>
      <c r="T372" s="16">
        <f t="shared" si="1"/>
        <v>41819.32778</v>
      </c>
      <c r="U372" s="4" t="b">
        <f t="shared" si="2"/>
        <v>1</v>
      </c>
      <c r="V372" s="4" t="b">
        <f t="shared" si="3"/>
        <v>0</v>
      </c>
      <c r="W372" s="4" t="str">
        <f t="shared" si="8"/>
        <v>Named Region</v>
      </c>
      <c r="X372" s="4" t="str">
        <f t="shared" si="4"/>
        <v>mww</v>
      </c>
      <c r="Y372" s="4">
        <f t="shared" si="5"/>
        <v>1</v>
      </c>
      <c r="Z372" s="4" t="str">
        <f t="shared" si="6"/>
        <v>Unique</v>
      </c>
      <c r="AA372" s="4" t="str">
        <f t="shared" si="7"/>
        <v>Valid</v>
      </c>
    </row>
    <row r="373">
      <c r="A373" s="3" t="s">
        <v>985</v>
      </c>
      <c r="B373" s="3">
        <v>7.9</v>
      </c>
      <c r="C373" s="3" t="s">
        <v>986</v>
      </c>
      <c r="D373" s="3">
        <v>6.0</v>
      </c>
      <c r="E373" s="3">
        <v>8.0</v>
      </c>
      <c r="F373" s="3" t="s">
        <v>109</v>
      </c>
      <c r="G373" s="3">
        <v>1.0</v>
      </c>
      <c r="H373" s="3">
        <v>963.0</v>
      </c>
      <c r="I373" s="3" t="s">
        <v>110</v>
      </c>
      <c r="J373" s="3">
        <v>0.0</v>
      </c>
      <c r="K373" s="3">
        <v>0.133</v>
      </c>
      <c r="L373" s="3">
        <v>22.0</v>
      </c>
      <c r="M373" s="3" t="s">
        <v>111</v>
      </c>
      <c r="N373" s="3">
        <v>109.0</v>
      </c>
      <c r="O373" s="3">
        <v>51.8486</v>
      </c>
      <c r="P373" s="3">
        <v>178.735</v>
      </c>
      <c r="Q373" s="3" t="s">
        <v>987</v>
      </c>
      <c r="R373" s="3" t="s">
        <v>233</v>
      </c>
      <c r="S373" s="3" t="s">
        <v>318</v>
      </c>
      <c r="T373" s="16">
        <f t="shared" si="1"/>
        <v>41813.87014</v>
      </c>
      <c r="U373" s="4" t="b">
        <f t="shared" si="2"/>
        <v>1</v>
      </c>
      <c r="V373" s="4" t="b">
        <f t="shared" si="3"/>
        <v>0</v>
      </c>
      <c r="W373" s="4" t="str">
        <f t="shared" si="8"/>
        <v>Named Region</v>
      </c>
      <c r="X373" s="4" t="str">
        <f t="shared" si="4"/>
        <v>mww</v>
      </c>
      <c r="Y373" s="4">
        <f t="shared" si="5"/>
        <v>1</v>
      </c>
      <c r="Z373" s="4" t="str">
        <f t="shared" si="6"/>
        <v>Unique</v>
      </c>
      <c r="AA373" s="4" t="str">
        <f t="shared" si="7"/>
        <v>Valid</v>
      </c>
    </row>
    <row r="374">
      <c r="A374" s="3" t="s">
        <v>988</v>
      </c>
      <c r="B374" s="3">
        <v>6.7</v>
      </c>
      <c r="C374" s="3" t="s">
        <v>989</v>
      </c>
      <c r="D374" s="3">
        <v>0.0</v>
      </c>
      <c r="E374" s="3">
        <v>5.0</v>
      </c>
      <c r="F374" s="3" t="s">
        <v>109</v>
      </c>
      <c r="G374" s="3">
        <v>0.0</v>
      </c>
      <c r="H374" s="3">
        <v>691.0</v>
      </c>
      <c r="I374" s="3" t="s">
        <v>110</v>
      </c>
      <c r="J374" s="3">
        <v>0.0</v>
      </c>
      <c r="K374" s="3">
        <v>0.748</v>
      </c>
      <c r="L374" s="3">
        <v>43.0</v>
      </c>
      <c r="M374" s="3" t="s">
        <v>204</v>
      </c>
      <c r="N374" s="3">
        <v>26.59</v>
      </c>
      <c r="O374" s="3">
        <v>-29.9414</v>
      </c>
      <c r="P374" s="3">
        <v>-177.607</v>
      </c>
      <c r="Q374" s="3" t="s">
        <v>156</v>
      </c>
      <c r="R374" s="4"/>
      <c r="S374" s="4"/>
      <c r="T374" s="16">
        <f t="shared" si="1"/>
        <v>41813.8375</v>
      </c>
      <c r="U374" s="4" t="b">
        <f t="shared" si="2"/>
        <v>1</v>
      </c>
      <c r="V374" s="4" t="b">
        <f t="shared" si="3"/>
        <v>0</v>
      </c>
      <c r="W374" s="4" t="str">
        <f t="shared" si="8"/>
        <v>Named Region</v>
      </c>
      <c r="X374" s="4" t="str">
        <f t="shared" si="4"/>
        <v>mwc</v>
      </c>
      <c r="Y374" s="4">
        <f t="shared" si="5"/>
        <v>1</v>
      </c>
      <c r="Z374" s="4" t="str">
        <f t="shared" si="6"/>
        <v>Unique</v>
      </c>
      <c r="AA374" s="4" t="str">
        <f t="shared" si="7"/>
        <v>Valid</v>
      </c>
    </row>
    <row r="375">
      <c r="A375" s="3" t="s">
        <v>358</v>
      </c>
      <c r="B375" s="3">
        <v>6.5</v>
      </c>
      <c r="C375" s="3" t="s">
        <v>990</v>
      </c>
      <c r="D375" s="3">
        <v>0.0</v>
      </c>
      <c r="E375" s="3">
        <v>5.0</v>
      </c>
      <c r="F375" s="3" t="s">
        <v>109</v>
      </c>
      <c r="G375" s="3">
        <v>0.0</v>
      </c>
      <c r="H375" s="3">
        <v>650.0</v>
      </c>
      <c r="I375" s="3" t="s">
        <v>110</v>
      </c>
      <c r="J375" s="3">
        <v>0.0</v>
      </c>
      <c r="K375" s="3">
        <v>0.778</v>
      </c>
      <c r="L375" s="3">
        <v>30.0</v>
      </c>
      <c r="M375" s="3" t="s">
        <v>204</v>
      </c>
      <c r="N375" s="3">
        <v>10.0</v>
      </c>
      <c r="O375" s="3">
        <v>-29.9379</v>
      </c>
      <c r="P375" s="3">
        <v>-177.516</v>
      </c>
      <c r="Q375" s="3" t="s">
        <v>156</v>
      </c>
      <c r="R375" s="4"/>
      <c r="S375" s="4"/>
      <c r="T375" s="16">
        <f t="shared" si="1"/>
        <v>41813.80625</v>
      </c>
      <c r="U375" s="4" t="b">
        <f t="shared" si="2"/>
        <v>1</v>
      </c>
      <c r="V375" s="4" t="b">
        <f t="shared" si="3"/>
        <v>0</v>
      </c>
      <c r="W375" s="4" t="str">
        <f t="shared" si="8"/>
        <v>Named Region</v>
      </c>
      <c r="X375" s="4" t="str">
        <f t="shared" si="4"/>
        <v>mwc</v>
      </c>
      <c r="Y375" s="4">
        <f t="shared" si="5"/>
        <v>1</v>
      </c>
      <c r="Z375" s="4" t="str">
        <f t="shared" si="6"/>
        <v>Unique</v>
      </c>
      <c r="AA375" s="4" t="str">
        <f t="shared" si="7"/>
        <v>Valid</v>
      </c>
    </row>
    <row r="376">
      <c r="A376" s="3" t="s">
        <v>183</v>
      </c>
      <c r="B376" s="3">
        <v>6.9</v>
      </c>
      <c r="C376" s="3" t="s">
        <v>991</v>
      </c>
      <c r="D376" s="3">
        <v>0.0</v>
      </c>
      <c r="E376" s="3">
        <v>5.0</v>
      </c>
      <c r="F376" s="3" t="s">
        <v>109</v>
      </c>
      <c r="G376" s="3">
        <v>1.0</v>
      </c>
      <c r="H376" s="3">
        <v>732.0</v>
      </c>
      <c r="I376" s="3" t="s">
        <v>110</v>
      </c>
      <c r="J376" s="3">
        <v>0.0</v>
      </c>
      <c r="K376" s="3">
        <v>0.751</v>
      </c>
      <c r="L376" s="3">
        <v>35.0</v>
      </c>
      <c r="M376" s="3" t="s">
        <v>111</v>
      </c>
      <c r="N376" s="3">
        <v>20.0</v>
      </c>
      <c r="O376" s="3">
        <v>-29.9772</v>
      </c>
      <c r="P376" s="3">
        <v>-177.725</v>
      </c>
      <c r="Q376" s="3" t="s">
        <v>156</v>
      </c>
      <c r="R376" s="4"/>
      <c r="S376" s="4"/>
      <c r="T376" s="16">
        <f t="shared" si="1"/>
        <v>41813.80486</v>
      </c>
      <c r="U376" s="4" t="b">
        <f t="shared" si="2"/>
        <v>1</v>
      </c>
      <c r="V376" s="4" t="b">
        <f t="shared" si="3"/>
        <v>0</v>
      </c>
      <c r="W376" s="4" t="str">
        <f t="shared" si="8"/>
        <v>Named Region</v>
      </c>
      <c r="X376" s="4" t="str">
        <f t="shared" si="4"/>
        <v>mww</v>
      </c>
      <c r="Y376" s="4">
        <f t="shared" si="5"/>
        <v>1</v>
      </c>
      <c r="Z376" s="4" t="str">
        <f t="shared" si="6"/>
        <v>Unique</v>
      </c>
      <c r="AA376" s="4" t="str">
        <f t="shared" si="7"/>
        <v>Valid</v>
      </c>
    </row>
    <row r="377">
      <c r="A377" s="3" t="s">
        <v>992</v>
      </c>
      <c r="B377" s="3">
        <v>6.9</v>
      </c>
      <c r="C377" s="3" t="s">
        <v>993</v>
      </c>
      <c r="D377" s="3">
        <v>9.0</v>
      </c>
      <c r="E377" s="3">
        <v>7.0</v>
      </c>
      <c r="F377" s="3" t="s">
        <v>109</v>
      </c>
      <c r="G377" s="3">
        <v>0.0</v>
      </c>
      <c r="H377" s="3">
        <v>951.0</v>
      </c>
      <c r="I377" s="3" t="s">
        <v>110</v>
      </c>
      <c r="J377" s="3">
        <v>0.0</v>
      </c>
      <c r="K377" s="3">
        <v>0.402</v>
      </c>
      <c r="L377" s="3">
        <v>25.0</v>
      </c>
      <c r="M377" s="3" t="s">
        <v>111</v>
      </c>
      <c r="N377" s="3">
        <v>6.43</v>
      </c>
      <c r="O377" s="3">
        <v>40.2893</v>
      </c>
      <c r="P377" s="3">
        <v>25.3889</v>
      </c>
      <c r="Q377" s="3" t="s">
        <v>994</v>
      </c>
      <c r="R377" s="3" t="s">
        <v>404</v>
      </c>
      <c r="S377" s="3" t="s">
        <v>405</v>
      </c>
      <c r="T377" s="16">
        <f t="shared" si="1"/>
        <v>41783.39236</v>
      </c>
      <c r="U377" s="4" t="b">
        <f t="shared" si="2"/>
        <v>1</v>
      </c>
      <c r="V377" s="4" t="b">
        <f t="shared" si="3"/>
        <v>0</v>
      </c>
      <c r="W377" s="4" t="str">
        <f t="shared" si="8"/>
        <v>Distance/Location</v>
      </c>
      <c r="X377" s="4" t="str">
        <f t="shared" si="4"/>
        <v>mww</v>
      </c>
      <c r="Y377" s="4">
        <f t="shared" si="5"/>
        <v>1</v>
      </c>
      <c r="Z377" s="4" t="str">
        <f t="shared" si="6"/>
        <v>Unique</v>
      </c>
      <c r="AA377" s="4" t="str">
        <f t="shared" si="7"/>
        <v>Valid</v>
      </c>
    </row>
    <row r="378">
      <c r="A378" s="3" t="s">
        <v>995</v>
      </c>
      <c r="B378" s="3">
        <v>6.5</v>
      </c>
      <c r="C378" s="3" t="s">
        <v>996</v>
      </c>
      <c r="D378" s="3">
        <v>7.0</v>
      </c>
      <c r="E378" s="3">
        <v>5.0</v>
      </c>
      <c r="F378" s="3" t="s">
        <v>109</v>
      </c>
      <c r="G378" s="3">
        <v>1.0</v>
      </c>
      <c r="H378" s="3">
        <v>694.0</v>
      </c>
      <c r="I378" s="3" t="s">
        <v>110</v>
      </c>
      <c r="J378" s="3">
        <v>0.0</v>
      </c>
      <c r="K378" s="3">
        <v>3.121</v>
      </c>
      <c r="L378" s="3">
        <v>33.0</v>
      </c>
      <c r="M378" s="3" t="s">
        <v>111</v>
      </c>
      <c r="N378" s="3">
        <v>10.0</v>
      </c>
      <c r="O378" s="3">
        <v>7.2096</v>
      </c>
      <c r="P378" s="3">
        <v>-82.3045</v>
      </c>
      <c r="Q378" s="3" t="s">
        <v>950</v>
      </c>
      <c r="R378" s="4"/>
      <c r="S378" s="4"/>
      <c r="T378" s="16">
        <f t="shared" si="1"/>
        <v>41772.27431</v>
      </c>
      <c r="U378" s="4" t="b">
        <f t="shared" si="2"/>
        <v>1</v>
      </c>
      <c r="V378" s="4" t="b">
        <f t="shared" si="3"/>
        <v>0</v>
      </c>
      <c r="W378" s="4" t="str">
        <f t="shared" si="8"/>
        <v>Distance/Location</v>
      </c>
      <c r="X378" s="4" t="str">
        <f t="shared" si="4"/>
        <v>mww</v>
      </c>
      <c r="Y378" s="4">
        <f t="shared" si="5"/>
        <v>1</v>
      </c>
      <c r="Z378" s="4" t="str">
        <f t="shared" si="6"/>
        <v>Unique</v>
      </c>
      <c r="AA378" s="4" t="str">
        <f t="shared" si="7"/>
        <v>Valid</v>
      </c>
    </row>
    <row r="379">
      <c r="A379" s="3" t="s">
        <v>997</v>
      </c>
      <c r="B379" s="3">
        <v>6.6</v>
      </c>
      <c r="C379" s="17">
        <v>41644.275</v>
      </c>
      <c r="D379" s="3">
        <v>0.0</v>
      </c>
      <c r="E379" s="3">
        <v>5.0</v>
      </c>
      <c r="F379" s="3" t="s">
        <v>109</v>
      </c>
      <c r="G379" s="3">
        <v>1.0</v>
      </c>
      <c r="H379" s="3">
        <v>670.0</v>
      </c>
      <c r="I379" s="3" t="s">
        <v>110</v>
      </c>
      <c r="J379" s="3">
        <v>0.0</v>
      </c>
      <c r="K379" s="3">
        <v>3.34</v>
      </c>
      <c r="L379" s="3">
        <v>10.0</v>
      </c>
      <c r="M379" s="3" t="s">
        <v>111</v>
      </c>
      <c r="N379" s="3">
        <v>106.0</v>
      </c>
      <c r="O379" s="3">
        <v>-21.4542</v>
      </c>
      <c r="P379" s="3">
        <v>170.355</v>
      </c>
      <c r="Q379" s="3" t="s">
        <v>246</v>
      </c>
      <c r="R379" s="4"/>
      <c r="S379" s="4"/>
      <c r="T379" s="16">
        <f t="shared" si="1"/>
        <v>41760.275</v>
      </c>
      <c r="U379" s="4" t="b">
        <f t="shared" si="2"/>
        <v>1</v>
      </c>
      <c r="V379" s="4" t="b">
        <f t="shared" si="3"/>
        <v>1</v>
      </c>
      <c r="W379" s="4" t="str">
        <f t="shared" si="8"/>
        <v>Distance/Location</v>
      </c>
      <c r="X379" s="4" t="str">
        <f t="shared" si="4"/>
        <v>mww</v>
      </c>
      <c r="Y379" s="4">
        <f t="shared" si="5"/>
        <v>1</v>
      </c>
      <c r="Z379" s="4" t="str">
        <f t="shared" si="6"/>
        <v>Unique</v>
      </c>
      <c r="AA379" s="4" t="str">
        <f t="shared" si="7"/>
        <v>Valid</v>
      </c>
    </row>
    <row r="380">
      <c r="A380" s="3" t="s">
        <v>998</v>
      </c>
      <c r="B380" s="3">
        <v>6.5</v>
      </c>
      <c r="C380" s="3" t="s">
        <v>999</v>
      </c>
      <c r="D380" s="3">
        <v>4.0</v>
      </c>
      <c r="E380" s="3">
        <v>6.0</v>
      </c>
      <c r="F380" s="3" t="s">
        <v>109</v>
      </c>
      <c r="G380" s="3">
        <v>1.0</v>
      </c>
      <c r="H380" s="3">
        <v>838.0</v>
      </c>
      <c r="I380" s="3" t="s">
        <v>110</v>
      </c>
      <c r="J380" s="3">
        <v>0.0</v>
      </c>
      <c r="K380" s="3">
        <v>0.0</v>
      </c>
      <c r="L380" s="3">
        <v>0.0</v>
      </c>
      <c r="M380" s="3" t="s">
        <v>111</v>
      </c>
      <c r="N380" s="3">
        <v>10.0</v>
      </c>
      <c r="O380" s="3">
        <v>49.6388</v>
      </c>
      <c r="P380" s="3">
        <v>-127.732</v>
      </c>
      <c r="Q380" s="3" t="s">
        <v>1000</v>
      </c>
      <c r="R380" s="4"/>
      <c r="S380" s="4"/>
      <c r="T380" s="16">
        <f t="shared" si="1"/>
        <v>41753.13194</v>
      </c>
      <c r="U380" s="4" t="b">
        <f t="shared" si="2"/>
        <v>1</v>
      </c>
      <c r="V380" s="4" t="b">
        <f t="shared" si="3"/>
        <v>0</v>
      </c>
      <c r="W380" s="4" t="str">
        <f t="shared" si="8"/>
        <v>Distance/Location</v>
      </c>
      <c r="X380" s="4" t="str">
        <f t="shared" si="4"/>
        <v>mww</v>
      </c>
      <c r="Y380" s="4">
        <f t="shared" si="5"/>
        <v>1</v>
      </c>
      <c r="Z380" s="4" t="str">
        <f t="shared" si="6"/>
        <v>Unique</v>
      </c>
      <c r="AA380" s="4" t="str">
        <f t="shared" si="7"/>
        <v>Valid</v>
      </c>
    </row>
    <row r="381">
      <c r="A381" s="3" t="s">
        <v>1001</v>
      </c>
      <c r="B381" s="3">
        <v>7.5</v>
      </c>
      <c r="C381" s="3" t="s">
        <v>1002</v>
      </c>
      <c r="D381" s="3">
        <v>0.0</v>
      </c>
      <c r="E381" s="3">
        <v>6.0</v>
      </c>
      <c r="F381" s="3" t="s">
        <v>109</v>
      </c>
      <c r="G381" s="3">
        <v>1.0</v>
      </c>
      <c r="H381" s="3">
        <v>865.0</v>
      </c>
      <c r="I381" s="3" t="s">
        <v>110</v>
      </c>
      <c r="J381" s="3">
        <v>0.0</v>
      </c>
      <c r="K381" s="3">
        <v>3.82</v>
      </c>
      <c r="L381" s="3">
        <v>16.0</v>
      </c>
      <c r="M381" s="3" t="s">
        <v>111</v>
      </c>
      <c r="N381" s="3">
        <v>43.37</v>
      </c>
      <c r="O381" s="3">
        <v>-6.7547</v>
      </c>
      <c r="P381" s="3">
        <v>155.024</v>
      </c>
      <c r="Q381" s="3" t="s">
        <v>728</v>
      </c>
      <c r="R381" s="4"/>
      <c r="S381" s="4"/>
      <c r="T381" s="16">
        <f t="shared" si="1"/>
        <v>41748.56111</v>
      </c>
      <c r="U381" s="4" t="b">
        <f t="shared" si="2"/>
        <v>1</v>
      </c>
      <c r="V381" s="4" t="b">
        <f t="shared" si="3"/>
        <v>0</v>
      </c>
      <c r="W381" s="4" t="str">
        <f t="shared" si="8"/>
        <v>Distance/Location</v>
      </c>
      <c r="X381" s="4" t="str">
        <f t="shared" si="4"/>
        <v>mww</v>
      </c>
      <c r="Y381" s="4">
        <f t="shared" si="5"/>
        <v>1</v>
      </c>
      <c r="Z381" s="4" t="str">
        <f t="shared" si="6"/>
        <v>Unique</v>
      </c>
      <c r="AA381" s="4" t="str">
        <f t="shared" si="7"/>
        <v>Valid</v>
      </c>
    </row>
    <row r="382">
      <c r="A382" s="3" t="s">
        <v>1003</v>
      </c>
      <c r="B382" s="3">
        <v>6.6</v>
      </c>
      <c r="C382" s="3" t="s">
        <v>1004</v>
      </c>
      <c r="D382" s="3">
        <v>0.0</v>
      </c>
      <c r="E382" s="3">
        <v>6.0</v>
      </c>
      <c r="F382" s="3" t="s">
        <v>109</v>
      </c>
      <c r="G382" s="3">
        <v>1.0</v>
      </c>
      <c r="H382" s="3">
        <v>670.0</v>
      </c>
      <c r="I382" s="3" t="s">
        <v>110</v>
      </c>
      <c r="J382" s="3">
        <v>0.0</v>
      </c>
      <c r="K382" s="3">
        <v>3.803</v>
      </c>
      <c r="L382" s="3">
        <v>11.0</v>
      </c>
      <c r="M382" s="3" t="s">
        <v>111</v>
      </c>
      <c r="N382" s="3">
        <v>29.0</v>
      </c>
      <c r="O382" s="3">
        <v>-6.6558</v>
      </c>
      <c r="P382" s="3">
        <v>155.087</v>
      </c>
      <c r="Q382" s="3" t="s">
        <v>728</v>
      </c>
      <c r="R382" s="4"/>
      <c r="S382" s="3" t="s">
        <v>168</v>
      </c>
      <c r="T382" s="16">
        <f t="shared" si="1"/>
        <v>41748.04444</v>
      </c>
      <c r="U382" s="4" t="b">
        <f t="shared" si="2"/>
        <v>1</v>
      </c>
      <c r="V382" s="4" t="b">
        <f t="shared" si="3"/>
        <v>0</v>
      </c>
      <c r="W382" s="4" t="str">
        <f t="shared" si="8"/>
        <v>Distance/Location</v>
      </c>
      <c r="X382" s="4" t="str">
        <f t="shared" si="4"/>
        <v>mww</v>
      </c>
      <c r="Y382" s="4">
        <f t="shared" si="5"/>
        <v>1</v>
      </c>
      <c r="Z382" s="4" t="str">
        <f t="shared" si="6"/>
        <v>Unique</v>
      </c>
      <c r="AA382" s="4" t="str">
        <f t="shared" si="7"/>
        <v>Valid</v>
      </c>
    </row>
    <row r="383">
      <c r="A383" s="3" t="s">
        <v>1005</v>
      </c>
      <c r="B383" s="3">
        <v>7.2</v>
      </c>
      <c r="C383" s="3" t="s">
        <v>1006</v>
      </c>
      <c r="D383" s="3">
        <v>8.0</v>
      </c>
      <c r="E383" s="3">
        <v>7.0</v>
      </c>
      <c r="F383" s="3" t="s">
        <v>116</v>
      </c>
      <c r="G383" s="3">
        <v>1.0</v>
      </c>
      <c r="H383" s="3">
        <v>1017.0</v>
      </c>
      <c r="I383" s="3" t="s">
        <v>110</v>
      </c>
      <c r="J383" s="3">
        <v>0.0</v>
      </c>
      <c r="K383" s="3">
        <v>2.25</v>
      </c>
      <c r="L383" s="3">
        <v>46.0</v>
      </c>
      <c r="M383" s="3" t="s">
        <v>111</v>
      </c>
      <c r="N383" s="3">
        <v>24.0</v>
      </c>
      <c r="O383" s="3">
        <v>17.397</v>
      </c>
      <c r="P383" s="3">
        <v>-100.972</v>
      </c>
      <c r="Q383" s="3" t="s">
        <v>1007</v>
      </c>
      <c r="R383" s="3" t="s">
        <v>233</v>
      </c>
      <c r="S383" s="3" t="s">
        <v>234</v>
      </c>
      <c r="T383" s="16">
        <f t="shared" si="1"/>
        <v>41747.60208</v>
      </c>
      <c r="U383" s="4" t="b">
        <f t="shared" si="2"/>
        <v>1</v>
      </c>
      <c r="V383" s="4" t="b">
        <f t="shared" si="3"/>
        <v>0</v>
      </c>
      <c r="W383" s="4" t="str">
        <f t="shared" si="8"/>
        <v>Distance/Location</v>
      </c>
      <c r="X383" s="4" t="str">
        <f t="shared" si="4"/>
        <v>mww</v>
      </c>
      <c r="Y383" s="4">
        <f t="shared" si="5"/>
        <v>1</v>
      </c>
      <c r="Z383" s="4" t="str">
        <f t="shared" si="6"/>
        <v>Unique</v>
      </c>
      <c r="AA383" s="4" t="str">
        <f t="shared" si="7"/>
        <v>Valid</v>
      </c>
    </row>
    <row r="384">
      <c r="A384" s="3" t="s">
        <v>1008</v>
      </c>
      <c r="B384" s="3">
        <v>6.6</v>
      </c>
      <c r="C384" s="3" t="s">
        <v>1009</v>
      </c>
      <c r="D384" s="3">
        <v>0.0</v>
      </c>
      <c r="E384" s="3">
        <v>6.0</v>
      </c>
      <c r="F384" s="3" t="s">
        <v>109</v>
      </c>
      <c r="G384" s="3">
        <v>0.0</v>
      </c>
      <c r="H384" s="3">
        <v>670.0</v>
      </c>
      <c r="I384" s="3" t="s">
        <v>110</v>
      </c>
      <c r="J384" s="3">
        <v>0.0</v>
      </c>
      <c r="K384" s="3">
        <v>2.666</v>
      </c>
      <c r="L384" s="3">
        <v>22.0</v>
      </c>
      <c r="M384" s="3" t="s">
        <v>111</v>
      </c>
      <c r="N384" s="3">
        <v>10.0</v>
      </c>
      <c r="O384" s="3">
        <v>-11.1284</v>
      </c>
      <c r="P384" s="3">
        <v>162.052</v>
      </c>
      <c r="Q384" s="3" t="s">
        <v>595</v>
      </c>
      <c r="R384" s="4"/>
      <c r="S384" s="4"/>
      <c r="T384" s="16">
        <f t="shared" si="1"/>
        <v>41742.55833</v>
      </c>
      <c r="U384" s="4" t="b">
        <f t="shared" si="2"/>
        <v>1</v>
      </c>
      <c r="V384" s="4" t="b">
        <f t="shared" si="3"/>
        <v>0</v>
      </c>
      <c r="W384" s="4" t="str">
        <f t="shared" si="8"/>
        <v>Distance/Location</v>
      </c>
      <c r="X384" s="4" t="str">
        <f t="shared" si="4"/>
        <v>mww</v>
      </c>
      <c r="Y384" s="4">
        <f t="shared" si="5"/>
        <v>1</v>
      </c>
      <c r="Z384" s="4" t="str">
        <f t="shared" si="6"/>
        <v>Unique</v>
      </c>
      <c r="AA384" s="4" t="str">
        <f t="shared" si="7"/>
        <v>Valid</v>
      </c>
    </row>
    <row r="385">
      <c r="A385" s="3" t="s">
        <v>1010</v>
      </c>
      <c r="B385" s="3">
        <v>7.4</v>
      </c>
      <c r="C385" s="3" t="s">
        <v>1011</v>
      </c>
      <c r="D385" s="3">
        <v>0.0</v>
      </c>
      <c r="E385" s="3">
        <v>6.0</v>
      </c>
      <c r="F385" s="3" t="s">
        <v>109</v>
      </c>
      <c r="G385" s="3">
        <v>1.0</v>
      </c>
      <c r="H385" s="3">
        <v>842.0</v>
      </c>
      <c r="I385" s="3" t="s">
        <v>110</v>
      </c>
      <c r="J385" s="3">
        <v>0.0</v>
      </c>
      <c r="K385" s="3">
        <v>2.885</v>
      </c>
      <c r="L385" s="3">
        <v>17.0</v>
      </c>
      <c r="M385" s="3" t="s">
        <v>111</v>
      </c>
      <c r="N385" s="3">
        <v>39.0</v>
      </c>
      <c r="O385" s="3">
        <v>-11.4633</v>
      </c>
      <c r="P385" s="3">
        <v>162.051</v>
      </c>
      <c r="Q385" s="3" t="s">
        <v>595</v>
      </c>
      <c r="R385" s="4"/>
      <c r="S385" s="4"/>
      <c r="T385" s="16">
        <f t="shared" si="1"/>
        <v>41742.525</v>
      </c>
      <c r="U385" s="4" t="b">
        <f t="shared" si="2"/>
        <v>1</v>
      </c>
      <c r="V385" s="4" t="b">
        <f t="shared" si="3"/>
        <v>0</v>
      </c>
      <c r="W385" s="4" t="str">
        <f t="shared" si="8"/>
        <v>Distance/Location</v>
      </c>
      <c r="X385" s="4" t="str">
        <f t="shared" si="4"/>
        <v>mww</v>
      </c>
      <c r="Y385" s="4">
        <f t="shared" si="5"/>
        <v>1</v>
      </c>
      <c r="Z385" s="4" t="str">
        <f t="shared" si="6"/>
        <v>Unique</v>
      </c>
      <c r="AA385" s="4" t="str">
        <f t="shared" si="7"/>
        <v>Valid</v>
      </c>
    </row>
    <row r="386">
      <c r="A386" s="3" t="s">
        <v>1012</v>
      </c>
      <c r="B386" s="3">
        <v>7.6</v>
      </c>
      <c r="C386" s="17">
        <v>41977.84305555555</v>
      </c>
      <c r="D386" s="3">
        <v>0.0</v>
      </c>
      <c r="E386" s="3">
        <v>7.0</v>
      </c>
      <c r="F386" s="3" t="s">
        <v>109</v>
      </c>
      <c r="G386" s="3">
        <v>1.0</v>
      </c>
      <c r="H386" s="3">
        <v>889.0</v>
      </c>
      <c r="I386" s="3" t="s">
        <v>110</v>
      </c>
      <c r="J386" s="3">
        <v>0.0</v>
      </c>
      <c r="K386" s="3">
        <v>2.828</v>
      </c>
      <c r="L386" s="3">
        <v>13.0</v>
      </c>
      <c r="M386" s="3" t="s">
        <v>111</v>
      </c>
      <c r="N386" s="3">
        <v>22.56</v>
      </c>
      <c r="O386" s="3">
        <v>-11.2701</v>
      </c>
      <c r="P386" s="3">
        <v>162.148</v>
      </c>
      <c r="Q386" s="3" t="s">
        <v>595</v>
      </c>
      <c r="R386" s="4"/>
      <c r="S386" s="4"/>
      <c r="T386" s="16">
        <f t="shared" si="1"/>
        <v>41741.84306</v>
      </c>
      <c r="U386" s="4" t="b">
        <f t="shared" si="2"/>
        <v>1</v>
      </c>
      <c r="V386" s="4" t="b">
        <f t="shared" si="3"/>
        <v>1</v>
      </c>
      <c r="W386" s="4" t="str">
        <f t="shared" si="8"/>
        <v>Distance/Location</v>
      </c>
      <c r="X386" s="4" t="str">
        <f t="shared" si="4"/>
        <v>mww</v>
      </c>
      <c r="Y386" s="4">
        <f t="shared" si="5"/>
        <v>1</v>
      </c>
      <c r="Z386" s="4" t="str">
        <f t="shared" si="6"/>
        <v>Unique</v>
      </c>
      <c r="AA386" s="4" t="str">
        <f t="shared" si="7"/>
        <v>Valid</v>
      </c>
    </row>
    <row r="387">
      <c r="A387" s="3" t="s">
        <v>1013</v>
      </c>
      <c r="B387" s="3">
        <v>6.6</v>
      </c>
      <c r="C387" s="17">
        <v>41947.853472222225</v>
      </c>
      <c r="D387" s="3">
        <v>6.0</v>
      </c>
      <c r="E387" s="3">
        <v>5.0</v>
      </c>
      <c r="F387" s="3" t="s">
        <v>109</v>
      </c>
      <c r="G387" s="3">
        <v>1.0</v>
      </c>
      <c r="H387" s="3">
        <v>677.0</v>
      </c>
      <c r="I387" s="3" t="s">
        <v>110</v>
      </c>
      <c r="J387" s="3">
        <v>0.0</v>
      </c>
      <c r="K387" s="3">
        <v>0.761</v>
      </c>
      <c r="L387" s="3">
        <v>20.0</v>
      </c>
      <c r="M387" s="3" t="s">
        <v>111</v>
      </c>
      <c r="N387" s="3">
        <v>135.0</v>
      </c>
      <c r="O387" s="3">
        <v>11.642</v>
      </c>
      <c r="P387" s="3">
        <v>-85.8779</v>
      </c>
      <c r="Q387" s="3" t="s">
        <v>1014</v>
      </c>
      <c r="R387" s="4"/>
      <c r="S387" s="3" t="s">
        <v>1015</v>
      </c>
      <c r="T387" s="16">
        <f t="shared" si="1"/>
        <v>41740.85347</v>
      </c>
      <c r="U387" s="4" t="b">
        <f t="shared" si="2"/>
        <v>1</v>
      </c>
      <c r="V387" s="4" t="b">
        <f t="shared" si="3"/>
        <v>1</v>
      </c>
      <c r="W387" s="4" t="str">
        <f t="shared" si="8"/>
        <v>Distance/Location</v>
      </c>
      <c r="X387" s="4" t="str">
        <f t="shared" si="4"/>
        <v>mww</v>
      </c>
      <c r="Y387" s="4">
        <f t="shared" si="5"/>
        <v>1</v>
      </c>
      <c r="Z387" s="4" t="str">
        <f t="shared" si="6"/>
        <v>Unique</v>
      </c>
      <c r="AA387" s="4" t="str">
        <f t="shared" si="7"/>
        <v>Valid</v>
      </c>
    </row>
    <row r="388">
      <c r="A388" s="3" t="s">
        <v>1016</v>
      </c>
      <c r="B388" s="3">
        <v>6.5</v>
      </c>
      <c r="C388" s="17">
        <v>41947.34444444445</v>
      </c>
      <c r="D388" s="3">
        <v>0.0</v>
      </c>
      <c r="E388" s="3">
        <v>6.0</v>
      </c>
      <c r="F388" s="3" t="s">
        <v>109</v>
      </c>
      <c r="G388" s="3">
        <v>1.0</v>
      </c>
      <c r="H388" s="3">
        <v>650.0</v>
      </c>
      <c r="I388" s="3" t="s">
        <v>110</v>
      </c>
      <c r="J388" s="3">
        <v>0.0</v>
      </c>
      <c r="K388" s="3">
        <v>3.787</v>
      </c>
      <c r="L388" s="3">
        <v>16.0</v>
      </c>
      <c r="M388" s="3" t="s">
        <v>111</v>
      </c>
      <c r="N388" s="3">
        <v>20.0</v>
      </c>
      <c r="O388" s="3">
        <v>-6.7878</v>
      </c>
      <c r="P388" s="3">
        <v>154.95</v>
      </c>
      <c r="Q388" s="3" t="s">
        <v>728</v>
      </c>
      <c r="R388" s="4"/>
      <c r="S388" s="4"/>
      <c r="T388" s="16">
        <f t="shared" si="1"/>
        <v>41740.34444</v>
      </c>
      <c r="U388" s="4" t="b">
        <f t="shared" si="2"/>
        <v>1</v>
      </c>
      <c r="V388" s="4" t="b">
        <f t="shared" si="3"/>
        <v>1</v>
      </c>
      <c r="W388" s="4" t="str">
        <f t="shared" si="8"/>
        <v>Distance/Location</v>
      </c>
      <c r="X388" s="4" t="str">
        <f t="shared" si="4"/>
        <v>mww</v>
      </c>
      <c r="Y388" s="4">
        <f t="shared" si="5"/>
        <v>1</v>
      </c>
      <c r="Z388" s="4" t="str">
        <f t="shared" si="6"/>
        <v>Unique</v>
      </c>
      <c r="AA388" s="4" t="str">
        <f t="shared" si="7"/>
        <v>Valid</v>
      </c>
    </row>
    <row r="389">
      <c r="A389" s="3" t="s">
        <v>1017</v>
      </c>
      <c r="B389" s="3">
        <v>7.1</v>
      </c>
      <c r="C389" s="17">
        <v>41947.29652777778</v>
      </c>
      <c r="D389" s="3">
        <v>0.0</v>
      </c>
      <c r="E389" s="3">
        <v>7.0</v>
      </c>
      <c r="F389" s="3" t="s">
        <v>109</v>
      </c>
      <c r="G389" s="3">
        <v>1.0</v>
      </c>
      <c r="H389" s="3">
        <v>776.0</v>
      </c>
      <c r="I389" s="3" t="s">
        <v>110</v>
      </c>
      <c r="J389" s="3">
        <v>0.0</v>
      </c>
      <c r="K389" s="3">
        <v>3.729</v>
      </c>
      <c r="L389" s="3">
        <v>21.0</v>
      </c>
      <c r="M389" s="3" t="s">
        <v>111</v>
      </c>
      <c r="N389" s="3">
        <v>60.53</v>
      </c>
      <c r="O389" s="3">
        <v>-6.5858</v>
      </c>
      <c r="P389" s="3">
        <v>155.048</v>
      </c>
      <c r="Q389" s="3" t="s">
        <v>728</v>
      </c>
      <c r="R389" s="4"/>
      <c r="S389" s="3" t="s">
        <v>168</v>
      </c>
      <c r="T389" s="16">
        <f t="shared" si="1"/>
        <v>41740.29653</v>
      </c>
      <c r="U389" s="4" t="b">
        <f t="shared" si="2"/>
        <v>1</v>
      </c>
      <c r="V389" s="4" t="b">
        <f t="shared" si="3"/>
        <v>1</v>
      </c>
      <c r="W389" s="4" t="str">
        <f t="shared" si="8"/>
        <v>Distance/Location</v>
      </c>
      <c r="X389" s="4" t="str">
        <f t="shared" si="4"/>
        <v>mww</v>
      </c>
      <c r="Y389" s="4">
        <f t="shared" si="5"/>
        <v>1</v>
      </c>
      <c r="Z389" s="4" t="str">
        <f t="shared" si="6"/>
        <v>Unique</v>
      </c>
      <c r="AA389" s="4" t="str">
        <f t="shared" si="7"/>
        <v>Valid</v>
      </c>
    </row>
    <row r="390">
      <c r="A390" s="3" t="s">
        <v>1018</v>
      </c>
      <c r="B390" s="3">
        <v>7.7</v>
      </c>
      <c r="C390" s="17">
        <v>41702.11319444444</v>
      </c>
      <c r="D390" s="3">
        <v>8.0</v>
      </c>
      <c r="E390" s="3">
        <v>9.0</v>
      </c>
      <c r="F390" s="3" t="s">
        <v>116</v>
      </c>
      <c r="G390" s="3">
        <v>1.0</v>
      </c>
      <c r="H390" s="3">
        <v>1057.0</v>
      </c>
      <c r="I390" s="3" t="s">
        <v>110</v>
      </c>
      <c r="J390" s="3">
        <v>0.0</v>
      </c>
      <c r="K390" s="3">
        <v>1.029</v>
      </c>
      <c r="L390" s="3">
        <v>44.0</v>
      </c>
      <c r="M390" s="3" t="s">
        <v>111</v>
      </c>
      <c r="N390" s="3">
        <v>22.4</v>
      </c>
      <c r="O390" s="3">
        <v>-20.5709</v>
      </c>
      <c r="P390" s="3">
        <v>-70.4931</v>
      </c>
      <c r="Q390" s="3" t="s">
        <v>1019</v>
      </c>
      <c r="R390" s="4"/>
      <c r="S390" s="4"/>
      <c r="T390" s="16">
        <f t="shared" si="1"/>
        <v>41732.11319</v>
      </c>
      <c r="U390" s="4" t="b">
        <f t="shared" si="2"/>
        <v>1</v>
      </c>
      <c r="V390" s="4" t="b">
        <f t="shared" si="3"/>
        <v>1</v>
      </c>
      <c r="W390" s="4" t="str">
        <f t="shared" si="8"/>
        <v>Distance/Location</v>
      </c>
      <c r="X390" s="4" t="str">
        <f t="shared" si="4"/>
        <v>mww</v>
      </c>
      <c r="Y390" s="4">
        <f t="shared" si="5"/>
        <v>1</v>
      </c>
      <c r="Z390" s="4" t="str">
        <f t="shared" si="6"/>
        <v>Unique</v>
      </c>
      <c r="AA390" s="4" t="str">
        <f t="shared" si="7"/>
        <v>Valid</v>
      </c>
    </row>
    <row r="391">
      <c r="A391" s="3" t="s">
        <v>1020</v>
      </c>
      <c r="B391" s="3">
        <v>6.5</v>
      </c>
      <c r="C391" s="17">
        <v>41702.08194444444</v>
      </c>
      <c r="D391" s="3">
        <v>7.0</v>
      </c>
      <c r="E391" s="3">
        <v>7.0</v>
      </c>
      <c r="F391" s="3" t="s">
        <v>109</v>
      </c>
      <c r="G391" s="3">
        <v>0.0</v>
      </c>
      <c r="H391" s="3">
        <v>670.0</v>
      </c>
      <c r="I391" s="3" t="s">
        <v>110</v>
      </c>
      <c r="J391" s="3">
        <v>0.0</v>
      </c>
      <c r="K391" s="3">
        <v>0.828</v>
      </c>
      <c r="L391" s="3">
        <v>82.0</v>
      </c>
      <c r="M391" s="3" t="s">
        <v>111</v>
      </c>
      <c r="N391" s="3">
        <v>24.07</v>
      </c>
      <c r="O391" s="3">
        <v>-20.3113</v>
      </c>
      <c r="P391" s="3">
        <v>-70.5756</v>
      </c>
      <c r="Q391" s="3" t="s">
        <v>1019</v>
      </c>
      <c r="R391" s="4"/>
      <c r="S391" s="4"/>
      <c r="T391" s="16">
        <f t="shared" si="1"/>
        <v>41732.08194</v>
      </c>
      <c r="U391" s="4" t="b">
        <f t="shared" si="2"/>
        <v>1</v>
      </c>
      <c r="V391" s="4" t="b">
        <f t="shared" si="3"/>
        <v>1</v>
      </c>
      <c r="W391" s="4" t="str">
        <f t="shared" si="8"/>
        <v>Distance/Location</v>
      </c>
      <c r="X391" s="4" t="str">
        <f t="shared" si="4"/>
        <v>mww</v>
      </c>
      <c r="Y391" s="4">
        <f t="shared" si="5"/>
        <v>1</v>
      </c>
      <c r="Z391" s="4" t="str">
        <f t="shared" si="6"/>
        <v>Unique</v>
      </c>
      <c r="AA391" s="4" t="str">
        <f t="shared" si="7"/>
        <v>Valid</v>
      </c>
    </row>
    <row r="392">
      <c r="A392" s="3" t="s">
        <v>1021</v>
      </c>
      <c r="B392" s="3">
        <v>6.9</v>
      </c>
      <c r="C392" s="17">
        <v>41643.99791666667</v>
      </c>
      <c r="D392" s="3">
        <v>0.0</v>
      </c>
      <c r="E392" s="3">
        <v>5.0</v>
      </c>
      <c r="F392" s="3" t="s">
        <v>109</v>
      </c>
      <c r="G392" s="3">
        <v>0.0</v>
      </c>
      <c r="H392" s="3">
        <v>732.0</v>
      </c>
      <c r="I392" s="3" t="s">
        <v>110</v>
      </c>
      <c r="J392" s="3">
        <v>0.0</v>
      </c>
      <c r="K392" s="3">
        <v>0.828</v>
      </c>
      <c r="L392" s="3">
        <v>119.0</v>
      </c>
      <c r="M392" s="3" t="s">
        <v>111</v>
      </c>
      <c r="N392" s="3">
        <v>28.42</v>
      </c>
      <c r="O392" s="3">
        <v>-19.8927</v>
      </c>
      <c r="P392" s="3">
        <v>-70.9455</v>
      </c>
      <c r="Q392" s="3" t="s">
        <v>1019</v>
      </c>
      <c r="R392" s="4"/>
      <c r="S392" s="4"/>
      <c r="T392" s="16">
        <f t="shared" si="1"/>
        <v>41730.99792</v>
      </c>
      <c r="U392" s="4" t="b">
        <f t="shared" si="2"/>
        <v>1</v>
      </c>
      <c r="V392" s="4" t="b">
        <f t="shared" si="3"/>
        <v>1</v>
      </c>
      <c r="W392" s="4" t="str">
        <f t="shared" si="8"/>
        <v>Distance/Location</v>
      </c>
      <c r="X392" s="4" t="str">
        <f t="shared" si="4"/>
        <v>mww</v>
      </c>
      <c r="Y392" s="4">
        <f t="shared" si="5"/>
        <v>1</v>
      </c>
      <c r="Z392" s="4" t="str">
        <f t="shared" si="6"/>
        <v>Unique</v>
      </c>
      <c r="AA392" s="4" t="str">
        <f t="shared" si="7"/>
        <v>Valid</v>
      </c>
    </row>
    <row r="393">
      <c r="A393" s="3" t="s">
        <v>1022</v>
      </c>
      <c r="B393" s="3">
        <v>8.2</v>
      </c>
      <c r="C393" s="17">
        <v>41643.990277777775</v>
      </c>
      <c r="D393" s="3">
        <v>9.0</v>
      </c>
      <c r="E393" s="3">
        <v>8.0</v>
      </c>
      <c r="F393" s="3" t="s">
        <v>116</v>
      </c>
      <c r="G393" s="3">
        <v>1.0</v>
      </c>
      <c r="H393" s="3">
        <v>1332.0</v>
      </c>
      <c r="I393" s="3" t="s">
        <v>110</v>
      </c>
      <c r="J393" s="3">
        <v>0.0</v>
      </c>
      <c r="K393" s="3">
        <v>0.609</v>
      </c>
      <c r="L393" s="3">
        <v>23.0</v>
      </c>
      <c r="M393" s="3" t="s">
        <v>111</v>
      </c>
      <c r="N393" s="3">
        <v>25.0</v>
      </c>
      <c r="O393" s="3">
        <v>-19.6097</v>
      </c>
      <c r="P393" s="3">
        <v>-70.7691</v>
      </c>
      <c r="Q393" s="3" t="s">
        <v>1019</v>
      </c>
      <c r="R393" s="4"/>
      <c r="S393" s="4"/>
      <c r="T393" s="16">
        <f t="shared" si="1"/>
        <v>41730.99028</v>
      </c>
      <c r="U393" s="4" t="b">
        <f t="shared" si="2"/>
        <v>1</v>
      </c>
      <c r="V393" s="4" t="b">
        <f t="shared" si="3"/>
        <v>1</v>
      </c>
      <c r="W393" s="4" t="str">
        <f t="shared" si="8"/>
        <v>Distance/Location</v>
      </c>
      <c r="X393" s="4" t="str">
        <f t="shared" si="4"/>
        <v>mww</v>
      </c>
      <c r="Y393" s="4">
        <f t="shared" si="5"/>
        <v>1</v>
      </c>
      <c r="Z393" s="4" t="str">
        <f t="shared" si="6"/>
        <v>Unique</v>
      </c>
      <c r="AA393" s="4" t="str">
        <f t="shared" si="7"/>
        <v>Valid</v>
      </c>
    </row>
    <row r="394">
      <c r="A394" s="3" t="s">
        <v>1023</v>
      </c>
      <c r="B394" s="3">
        <v>6.7</v>
      </c>
      <c r="C394" s="3" t="s">
        <v>1024</v>
      </c>
      <c r="D394" s="3">
        <v>7.0</v>
      </c>
      <c r="E394" s="3">
        <v>7.0</v>
      </c>
      <c r="F394" s="3" t="s">
        <v>109</v>
      </c>
      <c r="G394" s="3">
        <v>1.0</v>
      </c>
      <c r="H394" s="3">
        <v>718.0</v>
      </c>
      <c r="I394" s="3" t="s">
        <v>110</v>
      </c>
      <c r="J394" s="3">
        <v>0.0</v>
      </c>
      <c r="K394" s="3">
        <v>1.008</v>
      </c>
      <c r="L394" s="3">
        <v>44.0</v>
      </c>
      <c r="M394" s="3" t="s">
        <v>111</v>
      </c>
      <c r="N394" s="3">
        <v>20.0</v>
      </c>
      <c r="O394" s="3">
        <v>-19.9807</v>
      </c>
      <c r="P394" s="3">
        <v>-70.7022</v>
      </c>
      <c r="Q394" s="3" t="s">
        <v>1019</v>
      </c>
      <c r="R394" s="4"/>
      <c r="S394" s="4"/>
      <c r="T394" s="16">
        <f t="shared" si="1"/>
        <v>41714.88611</v>
      </c>
      <c r="U394" s="4" t="b">
        <f t="shared" si="2"/>
        <v>1</v>
      </c>
      <c r="V394" s="4" t="b">
        <f t="shared" si="3"/>
        <v>0</v>
      </c>
      <c r="W394" s="4" t="str">
        <f t="shared" si="8"/>
        <v>Distance/Location</v>
      </c>
      <c r="X394" s="4" t="str">
        <f t="shared" si="4"/>
        <v>mww</v>
      </c>
      <c r="Y394" s="4">
        <f t="shared" si="5"/>
        <v>1</v>
      </c>
      <c r="Z394" s="4" t="str">
        <f t="shared" si="6"/>
        <v>Unique</v>
      </c>
      <c r="AA394" s="4" t="str">
        <f t="shared" si="7"/>
        <v>Valid</v>
      </c>
    </row>
    <row r="395">
      <c r="A395" s="3" t="s">
        <v>1025</v>
      </c>
      <c r="B395" s="3">
        <v>6.8</v>
      </c>
      <c r="C395" s="17">
        <v>41915.22083333333</v>
      </c>
      <c r="D395" s="3">
        <v>5.0</v>
      </c>
      <c r="E395" s="3">
        <v>5.0</v>
      </c>
      <c r="F395" s="3" t="s">
        <v>109</v>
      </c>
      <c r="G395" s="3">
        <v>1.0</v>
      </c>
      <c r="H395" s="3">
        <v>1211.0</v>
      </c>
      <c r="I395" s="3" t="s">
        <v>1026</v>
      </c>
      <c r="J395" s="3">
        <v>112.0</v>
      </c>
      <c r="K395" s="3">
        <v>0.6568</v>
      </c>
      <c r="L395" s="3">
        <v>229.0</v>
      </c>
      <c r="M395" s="3" t="s">
        <v>514</v>
      </c>
      <c r="N395" s="3">
        <v>16.441</v>
      </c>
      <c r="O395" s="3">
        <v>40.8287</v>
      </c>
      <c r="P395" s="3">
        <v>-125.134</v>
      </c>
      <c r="Q395" s="3" t="s">
        <v>1027</v>
      </c>
      <c r="R395" s="4"/>
      <c r="S395" s="4"/>
      <c r="T395" s="16">
        <f t="shared" si="1"/>
        <v>41708.22083</v>
      </c>
      <c r="U395" s="4" t="b">
        <f t="shared" si="2"/>
        <v>1</v>
      </c>
      <c r="V395" s="4" t="b">
        <f t="shared" si="3"/>
        <v>1</v>
      </c>
      <c r="W395" s="4" t="str">
        <f t="shared" si="8"/>
        <v>Distance/Location</v>
      </c>
      <c r="X395" s="4" t="str">
        <f t="shared" si="4"/>
        <v>mw</v>
      </c>
      <c r="Y395" s="4">
        <f t="shared" si="5"/>
        <v>1</v>
      </c>
      <c r="Z395" s="4" t="str">
        <f t="shared" si="6"/>
        <v>Unique</v>
      </c>
      <c r="AA395" s="4" t="str">
        <f t="shared" si="7"/>
        <v>Valid</v>
      </c>
    </row>
    <row r="396">
      <c r="A396" s="3" t="s">
        <v>1028</v>
      </c>
      <c r="B396" s="3">
        <v>6.5</v>
      </c>
      <c r="C396" s="17">
        <v>41673.84097222222</v>
      </c>
      <c r="D396" s="3">
        <v>4.0</v>
      </c>
      <c r="E396" s="3">
        <v>5.0</v>
      </c>
      <c r="F396" s="3" t="s">
        <v>109</v>
      </c>
      <c r="G396" s="3">
        <v>1.0</v>
      </c>
      <c r="H396" s="3">
        <v>668.0</v>
      </c>
      <c r="I396" s="3" t="s">
        <v>110</v>
      </c>
      <c r="J396" s="3">
        <v>0.0</v>
      </c>
      <c r="K396" s="3">
        <v>1.001</v>
      </c>
      <c r="L396" s="3">
        <v>17.0</v>
      </c>
      <c r="M396" s="3" t="s">
        <v>111</v>
      </c>
      <c r="N396" s="3">
        <v>119.0</v>
      </c>
      <c r="O396" s="3">
        <v>27.4312</v>
      </c>
      <c r="P396" s="3">
        <v>127.367</v>
      </c>
      <c r="Q396" s="3" t="s">
        <v>1029</v>
      </c>
      <c r="R396" s="4"/>
      <c r="S396" s="4"/>
      <c r="T396" s="16">
        <f t="shared" si="1"/>
        <v>41700.84097</v>
      </c>
      <c r="U396" s="4" t="b">
        <f t="shared" si="2"/>
        <v>1</v>
      </c>
      <c r="V396" s="4" t="b">
        <f t="shared" si="3"/>
        <v>1</v>
      </c>
      <c r="W396" s="4" t="str">
        <f t="shared" si="8"/>
        <v>Distance/Location</v>
      </c>
      <c r="X396" s="4" t="str">
        <f t="shared" si="4"/>
        <v>mww</v>
      </c>
      <c r="Y396" s="4">
        <f t="shared" si="5"/>
        <v>1</v>
      </c>
      <c r="Z396" s="4" t="str">
        <f t="shared" si="6"/>
        <v>Unique</v>
      </c>
      <c r="AA396" s="4" t="str">
        <f t="shared" si="7"/>
        <v>Valid</v>
      </c>
    </row>
    <row r="397">
      <c r="A397" s="3" t="s">
        <v>1030</v>
      </c>
      <c r="B397" s="3">
        <v>6.5</v>
      </c>
      <c r="C397" s="3" t="s">
        <v>1031</v>
      </c>
      <c r="D397" s="3">
        <v>5.0</v>
      </c>
      <c r="E397" s="3">
        <v>4.0</v>
      </c>
      <c r="F397" s="3" t="s">
        <v>109</v>
      </c>
      <c r="G397" s="3">
        <v>1.0</v>
      </c>
      <c r="H397" s="3">
        <v>681.0</v>
      </c>
      <c r="I397" s="3" t="s">
        <v>110</v>
      </c>
      <c r="J397" s="3">
        <v>0.0</v>
      </c>
      <c r="K397" s="3">
        <v>1.635</v>
      </c>
      <c r="L397" s="3">
        <v>30.0</v>
      </c>
      <c r="M397" s="3" t="s">
        <v>111</v>
      </c>
      <c r="N397" s="3">
        <v>14.83</v>
      </c>
      <c r="O397" s="3">
        <v>14.6682</v>
      </c>
      <c r="P397" s="3">
        <v>-58.9272</v>
      </c>
      <c r="Q397" s="3" t="s">
        <v>1032</v>
      </c>
      <c r="R397" s="4"/>
      <c r="S397" s="4"/>
      <c r="T397" s="16">
        <f t="shared" si="1"/>
        <v>41688.39375</v>
      </c>
      <c r="U397" s="4" t="b">
        <f t="shared" si="2"/>
        <v>1</v>
      </c>
      <c r="V397" s="4" t="b">
        <f t="shared" si="3"/>
        <v>0</v>
      </c>
      <c r="W397" s="4" t="str">
        <f t="shared" si="8"/>
        <v>Distance/Location</v>
      </c>
      <c r="X397" s="4" t="str">
        <f t="shared" si="4"/>
        <v>mww</v>
      </c>
      <c r="Y397" s="4">
        <f t="shared" si="5"/>
        <v>1</v>
      </c>
      <c r="Z397" s="4" t="str">
        <f t="shared" si="6"/>
        <v>Unique</v>
      </c>
      <c r="AA397" s="4" t="str">
        <f t="shared" si="7"/>
        <v>Valid</v>
      </c>
    </row>
    <row r="398">
      <c r="A398" s="3" t="s">
        <v>1033</v>
      </c>
      <c r="B398" s="3">
        <v>6.9</v>
      </c>
      <c r="C398" s="17">
        <v>41975.388194444444</v>
      </c>
      <c r="D398" s="3">
        <v>3.0</v>
      </c>
      <c r="E398" s="3">
        <v>8.0</v>
      </c>
      <c r="F398" s="3" t="s">
        <v>116</v>
      </c>
      <c r="G398" s="3">
        <v>0.0</v>
      </c>
      <c r="H398" s="3">
        <v>733.0</v>
      </c>
      <c r="I398" s="3" t="s">
        <v>110</v>
      </c>
      <c r="J398" s="3">
        <v>0.0</v>
      </c>
      <c r="K398" s="3">
        <v>7.496</v>
      </c>
      <c r="L398" s="3">
        <v>18.0</v>
      </c>
      <c r="M398" s="3" t="s">
        <v>111</v>
      </c>
      <c r="N398" s="3">
        <v>10.0</v>
      </c>
      <c r="O398" s="3">
        <v>35.9053</v>
      </c>
      <c r="P398" s="3">
        <v>82.5864</v>
      </c>
      <c r="Q398" s="3" t="s">
        <v>1034</v>
      </c>
      <c r="R398" s="3" t="s">
        <v>164</v>
      </c>
      <c r="S398" s="3" t="s">
        <v>251</v>
      </c>
      <c r="T398" s="16">
        <f t="shared" si="1"/>
        <v>41682.38819</v>
      </c>
      <c r="U398" s="4" t="b">
        <f t="shared" si="2"/>
        <v>1</v>
      </c>
      <c r="V398" s="4" t="b">
        <f t="shared" si="3"/>
        <v>1</v>
      </c>
      <c r="W398" s="4" t="str">
        <f t="shared" si="8"/>
        <v>Distance/Location</v>
      </c>
      <c r="X398" s="4" t="str">
        <f t="shared" si="4"/>
        <v>mww</v>
      </c>
      <c r="Y398" s="4">
        <f t="shared" si="5"/>
        <v>1</v>
      </c>
      <c r="Z398" s="4" t="str">
        <f t="shared" si="6"/>
        <v>Unique</v>
      </c>
      <c r="AA398" s="4" t="str">
        <f t="shared" si="7"/>
        <v>Valid</v>
      </c>
    </row>
    <row r="399">
      <c r="A399" s="3" t="s">
        <v>1035</v>
      </c>
      <c r="B399" s="3">
        <v>6.5</v>
      </c>
      <c r="C399" s="17">
        <v>41822.36111111111</v>
      </c>
      <c r="D399" s="3">
        <v>0.0</v>
      </c>
      <c r="E399" s="3">
        <v>5.0</v>
      </c>
      <c r="F399" s="3" t="s">
        <v>109</v>
      </c>
      <c r="G399" s="3">
        <v>1.0</v>
      </c>
      <c r="H399" s="3">
        <v>650.0</v>
      </c>
      <c r="I399" s="3" t="s">
        <v>110</v>
      </c>
      <c r="J399" s="3">
        <v>0.0</v>
      </c>
      <c r="K399" s="3">
        <v>0.409</v>
      </c>
      <c r="L399" s="3">
        <v>20.0</v>
      </c>
      <c r="M399" s="3" t="s">
        <v>111</v>
      </c>
      <c r="N399" s="3">
        <v>122.0</v>
      </c>
      <c r="O399" s="3">
        <v>-15.0691</v>
      </c>
      <c r="P399" s="3">
        <v>167.372</v>
      </c>
      <c r="Q399" s="3" t="s">
        <v>185</v>
      </c>
      <c r="R399" s="4"/>
      <c r="S399" s="3" t="s">
        <v>113</v>
      </c>
      <c r="T399" s="16">
        <f t="shared" si="1"/>
        <v>41677.36111</v>
      </c>
      <c r="U399" s="4" t="b">
        <f t="shared" si="2"/>
        <v>1</v>
      </c>
      <c r="V399" s="4" t="b">
        <f t="shared" si="3"/>
        <v>1</v>
      </c>
      <c r="W399" s="4" t="str">
        <f t="shared" si="8"/>
        <v>Distance/Location</v>
      </c>
      <c r="X399" s="4" t="str">
        <f t="shared" si="4"/>
        <v>mww</v>
      </c>
      <c r="Y399" s="4">
        <f t="shared" si="5"/>
        <v>1</v>
      </c>
      <c r="Z399" s="4" t="str">
        <f t="shared" si="6"/>
        <v>Unique</v>
      </c>
      <c r="AA399" s="4" t="str">
        <f t="shared" si="7"/>
        <v>Valid</v>
      </c>
    </row>
    <row r="400">
      <c r="A400" s="3" t="s">
        <v>1036</v>
      </c>
      <c r="B400" s="3">
        <v>6.5</v>
      </c>
      <c r="C400" s="17">
        <v>41672.393055555556</v>
      </c>
      <c r="D400" s="3">
        <v>0.0</v>
      </c>
      <c r="E400" s="3">
        <v>3.0</v>
      </c>
      <c r="F400" s="3" t="s">
        <v>109</v>
      </c>
      <c r="G400" s="3">
        <v>1.0</v>
      </c>
      <c r="H400" s="3">
        <v>650.0</v>
      </c>
      <c r="I400" s="3" t="s">
        <v>110</v>
      </c>
      <c r="J400" s="3">
        <v>0.0</v>
      </c>
      <c r="K400" s="3">
        <v>3.651</v>
      </c>
      <c r="L400" s="3">
        <v>22.0</v>
      </c>
      <c r="M400" s="3" t="s">
        <v>111</v>
      </c>
      <c r="N400" s="3">
        <v>44.26</v>
      </c>
      <c r="O400" s="3">
        <v>-32.9076</v>
      </c>
      <c r="P400" s="3">
        <v>-177.881</v>
      </c>
      <c r="Q400" s="3" t="s">
        <v>254</v>
      </c>
      <c r="R400" s="4"/>
      <c r="S400" s="4"/>
      <c r="T400" s="16">
        <f t="shared" si="1"/>
        <v>41672.39306</v>
      </c>
      <c r="U400" s="4" t="b">
        <f t="shared" si="2"/>
        <v>1</v>
      </c>
      <c r="V400" s="4" t="b">
        <f t="shared" si="3"/>
        <v>1</v>
      </c>
      <c r="W400" s="4" t="str">
        <f t="shared" si="8"/>
        <v>Named Region</v>
      </c>
      <c r="X400" s="4" t="str">
        <f t="shared" si="4"/>
        <v>mww</v>
      </c>
      <c r="Y400" s="4">
        <f t="shared" si="5"/>
        <v>1</v>
      </c>
      <c r="Z400" s="4" t="str">
        <f t="shared" si="6"/>
        <v>Unique</v>
      </c>
      <c r="AA400" s="4" t="str">
        <f t="shared" si="7"/>
        <v>Valid</v>
      </c>
    </row>
    <row r="401">
      <c r="A401" s="3" t="s">
        <v>1037</v>
      </c>
      <c r="B401" s="3">
        <v>6.5</v>
      </c>
      <c r="C401" s="17">
        <v>41640.66875</v>
      </c>
      <c r="D401" s="3">
        <v>0.0</v>
      </c>
      <c r="E401" s="3">
        <v>4.0</v>
      </c>
      <c r="F401" s="3" t="s">
        <v>109</v>
      </c>
      <c r="G401" s="3">
        <v>1.0</v>
      </c>
      <c r="H401" s="3">
        <v>650.0</v>
      </c>
      <c r="I401" s="3" t="s">
        <v>110</v>
      </c>
      <c r="J401" s="3">
        <v>0.0</v>
      </c>
      <c r="K401" s="3">
        <v>3.997</v>
      </c>
      <c r="L401" s="3">
        <v>14.0</v>
      </c>
      <c r="M401" s="3" t="s">
        <v>111</v>
      </c>
      <c r="N401" s="3">
        <v>187.0</v>
      </c>
      <c r="O401" s="3">
        <v>-13.8633</v>
      </c>
      <c r="P401" s="3">
        <v>167.249</v>
      </c>
      <c r="Q401" s="3" t="s">
        <v>112</v>
      </c>
      <c r="R401" s="4"/>
      <c r="S401" s="3" t="s">
        <v>113</v>
      </c>
      <c r="T401" s="16">
        <f t="shared" si="1"/>
        <v>41640.66875</v>
      </c>
      <c r="U401" s="4" t="b">
        <f t="shared" si="2"/>
        <v>1</v>
      </c>
      <c r="V401" s="4" t="b">
        <f t="shared" si="3"/>
        <v>1</v>
      </c>
      <c r="W401" s="4" t="str">
        <f t="shared" si="8"/>
        <v>Distance/Location</v>
      </c>
      <c r="X401" s="4" t="str">
        <f t="shared" si="4"/>
        <v>mww</v>
      </c>
      <c r="Y401" s="4">
        <f t="shared" si="5"/>
        <v>1</v>
      </c>
      <c r="Z401" s="4" t="str">
        <f t="shared" si="6"/>
        <v>Unique</v>
      </c>
      <c r="AA401" s="4" t="str">
        <f t="shared" si="7"/>
        <v>Valid</v>
      </c>
    </row>
    <row r="402">
      <c r="A402" s="3" t="s">
        <v>1038</v>
      </c>
      <c r="B402" s="3">
        <v>6.5</v>
      </c>
      <c r="C402" s="3" t="s">
        <v>1039</v>
      </c>
      <c r="D402" s="3">
        <v>3.0</v>
      </c>
      <c r="E402" s="3">
        <v>4.0</v>
      </c>
      <c r="F402" s="3" t="s">
        <v>109</v>
      </c>
      <c r="G402" s="3">
        <v>0.0</v>
      </c>
      <c r="H402" s="3">
        <v>651.0</v>
      </c>
      <c r="I402" s="3" t="s">
        <v>110</v>
      </c>
      <c r="J402" s="3">
        <v>0.0</v>
      </c>
      <c r="K402" s="3">
        <v>5.194</v>
      </c>
      <c r="L402" s="3">
        <v>22.0</v>
      </c>
      <c r="M402" s="3" t="s">
        <v>111</v>
      </c>
      <c r="N402" s="3">
        <v>371.0</v>
      </c>
      <c r="O402" s="3">
        <v>-17.1171</v>
      </c>
      <c r="P402" s="3">
        <v>-176.545</v>
      </c>
      <c r="Q402" s="3" t="s">
        <v>777</v>
      </c>
      <c r="R402" s="4"/>
      <c r="S402" s="4"/>
      <c r="T402" s="16">
        <f t="shared" si="1"/>
        <v>41601.325</v>
      </c>
      <c r="U402" s="4" t="b">
        <f t="shared" si="2"/>
        <v>1</v>
      </c>
      <c r="V402" s="4" t="b">
        <f t="shared" si="3"/>
        <v>0</v>
      </c>
      <c r="W402" s="4" t="str">
        <f t="shared" si="8"/>
        <v>Named Region</v>
      </c>
      <c r="X402" s="4" t="str">
        <f t="shared" si="4"/>
        <v>mww</v>
      </c>
      <c r="Y402" s="4">
        <f t="shared" si="5"/>
        <v>1</v>
      </c>
      <c r="Z402" s="4" t="str">
        <f t="shared" si="6"/>
        <v>Unique</v>
      </c>
      <c r="AA402" s="4" t="str">
        <f t="shared" si="7"/>
        <v>Valid</v>
      </c>
    </row>
    <row r="403">
      <c r="A403" s="3" t="s">
        <v>1040</v>
      </c>
      <c r="B403" s="3">
        <v>7.7</v>
      </c>
      <c r="C403" s="3" t="s">
        <v>1041</v>
      </c>
      <c r="D403" s="3">
        <v>1.0</v>
      </c>
      <c r="E403" s="3">
        <v>8.0</v>
      </c>
      <c r="F403" s="3" t="s">
        <v>109</v>
      </c>
      <c r="G403" s="3">
        <v>1.0</v>
      </c>
      <c r="H403" s="3">
        <v>912.0</v>
      </c>
      <c r="I403" s="3" t="s">
        <v>110</v>
      </c>
      <c r="J403" s="3">
        <v>0.0</v>
      </c>
      <c r="K403" s="3">
        <v>8.05</v>
      </c>
      <c r="L403" s="3">
        <v>23.0</v>
      </c>
      <c r="M403" s="3" t="s">
        <v>111</v>
      </c>
      <c r="N403" s="3">
        <v>10.0</v>
      </c>
      <c r="O403" s="3">
        <v>-60.2738</v>
      </c>
      <c r="P403" s="3">
        <v>-46.4011</v>
      </c>
      <c r="Q403" s="3" t="s">
        <v>1042</v>
      </c>
      <c r="R403" s="4"/>
      <c r="S403" s="3" t="s">
        <v>497</v>
      </c>
      <c r="T403" s="16">
        <f t="shared" si="1"/>
        <v>41595.37778</v>
      </c>
      <c r="U403" s="4" t="b">
        <f t="shared" si="2"/>
        <v>1</v>
      </c>
      <c r="V403" s="4" t="b">
        <f t="shared" si="3"/>
        <v>0</v>
      </c>
      <c r="W403" s="4" t="str">
        <f t="shared" si="8"/>
        <v>Named Region</v>
      </c>
      <c r="X403" s="4" t="str">
        <f t="shared" si="4"/>
        <v>mww</v>
      </c>
      <c r="Y403" s="4">
        <f t="shared" si="5"/>
        <v>1</v>
      </c>
      <c r="Z403" s="4" t="str">
        <f t="shared" si="6"/>
        <v>Unique</v>
      </c>
      <c r="AA403" s="4" t="str">
        <f t="shared" si="7"/>
        <v>Valid</v>
      </c>
    </row>
    <row r="404">
      <c r="A404" s="3" t="s">
        <v>1043</v>
      </c>
      <c r="B404" s="3">
        <v>6.9</v>
      </c>
      <c r="C404" s="3" t="s">
        <v>1044</v>
      </c>
      <c r="D404" s="3">
        <v>0.0</v>
      </c>
      <c r="E404" s="3">
        <v>5.0</v>
      </c>
      <c r="F404" s="3" t="s">
        <v>109</v>
      </c>
      <c r="G404" s="3">
        <v>1.0</v>
      </c>
      <c r="H404" s="3">
        <v>732.0</v>
      </c>
      <c r="I404" s="3" t="s">
        <v>110</v>
      </c>
      <c r="J404" s="3">
        <v>0.0</v>
      </c>
      <c r="K404" s="3">
        <v>8.284</v>
      </c>
      <c r="L404" s="3">
        <v>17.0</v>
      </c>
      <c r="M404" s="3" t="s">
        <v>111</v>
      </c>
      <c r="N404" s="3">
        <v>9.97</v>
      </c>
      <c r="O404" s="3">
        <v>-60.2627</v>
      </c>
      <c r="P404" s="3">
        <v>-47.0621</v>
      </c>
      <c r="Q404" s="3" t="s">
        <v>1042</v>
      </c>
      <c r="R404" s="4"/>
      <c r="S404" s="3" t="s">
        <v>497</v>
      </c>
      <c r="T404" s="16">
        <f t="shared" si="1"/>
        <v>41594.14861</v>
      </c>
      <c r="U404" s="4" t="b">
        <f t="shared" si="2"/>
        <v>1</v>
      </c>
      <c r="V404" s="4" t="b">
        <f t="shared" si="3"/>
        <v>0</v>
      </c>
      <c r="W404" s="4" t="str">
        <f t="shared" si="8"/>
        <v>Named Region</v>
      </c>
      <c r="X404" s="4" t="str">
        <f t="shared" si="4"/>
        <v>mww</v>
      </c>
      <c r="Y404" s="4">
        <f t="shared" si="5"/>
        <v>1</v>
      </c>
      <c r="Z404" s="4" t="str">
        <f t="shared" si="6"/>
        <v>Unique</v>
      </c>
      <c r="AA404" s="4" t="str">
        <f t="shared" si="7"/>
        <v>Valid</v>
      </c>
    </row>
    <row r="405">
      <c r="A405" s="3" t="s">
        <v>1045</v>
      </c>
      <c r="B405" s="3">
        <v>6.6</v>
      </c>
      <c r="C405" s="3" t="s">
        <v>1046</v>
      </c>
      <c r="D405" s="3">
        <v>6.0</v>
      </c>
      <c r="E405" s="3">
        <v>7.0</v>
      </c>
      <c r="F405" s="3" t="s">
        <v>109</v>
      </c>
      <c r="G405" s="3">
        <v>1.0</v>
      </c>
      <c r="H405" s="3">
        <v>723.0</v>
      </c>
      <c r="I405" s="3" t="s">
        <v>110</v>
      </c>
      <c r="J405" s="3">
        <v>0.0</v>
      </c>
      <c r="K405" s="3">
        <v>0.636</v>
      </c>
      <c r="L405" s="3">
        <v>31.0</v>
      </c>
      <c r="M405" s="3" t="s">
        <v>111</v>
      </c>
      <c r="N405" s="3">
        <v>27.0</v>
      </c>
      <c r="O405" s="3">
        <v>-30.2921</v>
      </c>
      <c r="P405" s="3">
        <v>-71.5215</v>
      </c>
      <c r="Q405" s="3" t="s">
        <v>547</v>
      </c>
      <c r="R405" s="3" t="s">
        <v>121</v>
      </c>
      <c r="S405" s="3" t="s">
        <v>414</v>
      </c>
      <c r="T405" s="16">
        <f t="shared" si="1"/>
        <v>41578.96042</v>
      </c>
      <c r="U405" s="4" t="b">
        <f t="shared" si="2"/>
        <v>1</v>
      </c>
      <c r="V405" s="4" t="b">
        <f t="shared" si="3"/>
        <v>0</v>
      </c>
      <c r="W405" s="4" t="str">
        <f t="shared" si="8"/>
        <v>Distance/Location</v>
      </c>
      <c r="X405" s="4" t="str">
        <f t="shared" si="4"/>
        <v>mww</v>
      </c>
      <c r="Y405" s="4">
        <f t="shared" si="5"/>
        <v>1</v>
      </c>
      <c r="Z405" s="4" t="str">
        <f t="shared" si="6"/>
        <v>Unique</v>
      </c>
      <c r="AA405" s="4" t="str">
        <f t="shared" si="7"/>
        <v>Valid</v>
      </c>
    </row>
    <row r="406">
      <c r="A406" s="3" t="s">
        <v>1047</v>
      </c>
      <c r="B406" s="3">
        <v>7.1</v>
      </c>
      <c r="C406" s="3" t="s">
        <v>1048</v>
      </c>
      <c r="D406" s="3">
        <v>6.0</v>
      </c>
      <c r="E406" s="3">
        <v>4.0</v>
      </c>
      <c r="F406" s="3" t="s">
        <v>109</v>
      </c>
      <c r="G406" s="3">
        <v>1.0</v>
      </c>
      <c r="H406" s="3">
        <v>872.0</v>
      </c>
      <c r="I406" s="3" t="s">
        <v>110</v>
      </c>
      <c r="J406" s="3">
        <v>0.0</v>
      </c>
      <c r="K406" s="3">
        <v>3.968</v>
      </c>
      <c r="L406" s="3">
        <v>10.0</v>
      </c>
      <c r="M406" s="3" t="s">
        <v>111</v>
      </c>
      <c r="N406" s="3">
        <v>35.0</v>
      </c>
      <c r="O406" s="3">
        <v>37.1557</v>
      </c>
      <c r="P406" s="3">
        <v>144.661</v>
      </c>
      <c r="Q406" s="3" t="s">
        <v>1049</v>
      </c>
      <c r="R406" s="4"/>
      <c r="S406" s="4"/>
      <c r="T406" s="16">
        <f t="shared" si="1"/>
        <v>41572.71528</v>
      </c>
      <c r="U406" s="4" t="b">
        <f t="shared" si="2"/>
        <v>1</v>
      </c>
      <c r="V406" s="4" t="b">
        <f t="shared" si="3"/>
        <v>0</v>
      </c>
      <c r="W406" s="4" t="str">
        <f t="shared" si="8"/>
        <v>Named Region</v>
      </c>
      <c r="X406" s="4" t="str">
        <f t="shared" si="4"/>
        <v>mww</v>
      </c>
      <c r="Y406" s="4">
        <f t="shared" si="5"/>
        <v>1</v>
      </c>
      <c r="Z406" s="4" t="str">
        <f t="shared" si="6"/>
        <v>Unique</v>
      </c>
      <c r="AA406" s="4" t="str">
        <f t="shared" si="7"/>
        <v>Valid</v>
      </c>
    </row>
    <row r="407">
      <c r="A407" s="3" t="s">
        <v>1050</v>
      </c>
      <c r="B407" s="3">
        <v>6.6</v>
      </c>
      <c r="C407" s="3" t="s">
        <v>1051</v>
      </c>
      <c r="D407" s="3">
        <v>8.0</v>
      </c>
      <c r="E407" s="3">
        <v>5.0</v>
      </c>
      <c r="F407" s="3" t="s">
        <v>109</v>
      </c>
      <c r="G407" s="3">
        <v>1.0</v>
      </c>
      <c r="H407" s="3">
        <v>692.0</v>
      </c>
      <c r="I407" s="3" t="s">
        <v>110</v>
      </c>
      <c r="J407" s="3">
        <v>0.0</v>
      </c>
      <c r="K407" s="3">
        <v>1.98</v>
      </c>
      <c r="L407" s="3">
        <v>44.0</v>
      </c>
      <c r="M407" s="3" t="s">
        <v>111</v>
      </c>
      <c r="N407" s="3">
        <v>9.45</v>
      </c>
      <c r="O407" s="3">
        <v>26.0913</v>
      </c>
      <c r="P407" s="3">
        <v>-110.321</v>
      </c>
      <c r="Q407" s="3" t="s">
        <v>1052</v>
      </c>
      <c r="R407" s="4"/>
      <c r="S407" s="4"/>
      <c r="T407" s="16">
        <f t="shared" si="1"/>
        <v>41566.74583</v>
      </c>
      <c r="U407" s="4" t="b">
        <f t="shared" si="2"/>
        <v>1</v>
      </c>
      <c r="V407" s="4" t="b">
        <f t="shared" si="3"/>
        <v>0</v>
      </c>
      <c r="W407" s="4" t="str">
        <f t="shared" si="8"/>
        <v>Distance/Location</v>
      </c>
      <c r="X407" s="4" t="str">
        <f t="shared" si="4"/>
        <v>mww</v>
      </c>
      <c r="Y407" s="4">
        <f t="shared" si="5"/>
        <v>1</v>
      </c>
      <c r="Z407" s="4" t="str">
        <f t="shared" si="6"/>
        <v>Unique</v>
      </c>
      <c r="AA407" s="4" t="str">
        <f t="shared" si="7"/>
        <v>Valid</v>
      </c>
    </row>
    <row r="408">
      <c r="A408" s="3" t="s">
        <v>1053</v>
      </c>
      <c r="B408" s="3">
        <v>6.8</v>
      </c>
      <c r="C408" s="3" t="s">
        <v>1054</v>
      </c>
      <c r="D408" s="3">
        <v>0.0</v>
      </c>
      <c r="E408" s="3">
        <v>6.0</v>
      </c>
      <c r="F408" s="3" t="s">
        <v>109</v>
      </c>
      <c r="G408" s="3">
        <v>1.0</v>
      </c>
      <c r="H408" s="3">
        <v>711.0</v>
      </c>
      <c r="I408" s="3" t="s">
        <v>110</v>
      </c>
      <c r="J408" s="3">
        <v>0.0</v>
      </c>
      <c r="K408" s="3">
        <v>5.79</v>
      </c>
      <c r="L408" s="3">
        <v>9.0</v>
      </c>
      <c r="M408" s="3" t="s">
        <v>111</v>
      </c>
      <c r="N408" s="3">
        <v>35.0</v>
      </c>
      <c r="O408" s="3">
        <v>-6.4456</v>
      </c>
      <c r="P408" s="3">
        <v>154.931</v>
      </c>
      <c r="Q408" s="3" t="s">
        <v>728</v>
      </c>
      <c r="R408" s="4"/>
      <c r="S408" s="3" t="s">
        <v>168</v>
      </c>
      <c r="T408" s="16">
        <f t="shared" si="1"/>
        <v>41563.4375</v>
      </c>
      <c r="U408" s="4" t="b">
        <f t="shared" si="2"/>
        <v>1</v>
      </c>
      <c r="V408" s="4" t="b">
        <f t="shared" si="3"/>
        <v>0</v>
      </c>
      <c r="W408" s="4" t="str">
        <f t="shared" si="8"/>
        <v>Distance/Location</v>
      </c>
      <c r="X408" s="4" t="str">
        <f t="shared" si="4"/>
        <v>mww</v>
      </c>
      <c r="Y408" s="4">
        <f t="shared" si="5"/>
        <v>1</v>
      </c>
      <c r="Z408" s="4" t="str">
        <f t="shared" si="6"/>
        <v>Unique</v>
      </c>
      <c r="AA408" s="4" t="str">
        <f t="shared" si="7"/>
        <v>Valid</v>
      </c>
    </row>
    <row r="409">
      <c r="A409" s="3" t="s">
        <v>1055</v>
      </c>
      <c r="B409" s="3">
        <v>7.1</v>
      </c>
      <c r="C409" s="3" t="s">
        <v>1056</v>
      </c>
      <c r="D409" s="3">
        <v>9.0</v>
      </c>
      <c r="E409" s="3">
        <v>8.0</v>
      </c>
      <c r="F409" s="3" t="s">
        <v>178</v>
      </c>
      <c r="G409" s="3">
        <v>1.0</v>
      </c>
      <c r="H409" s="3">
        <v>1092.0</v>
      </c>
      <c r="I409" s="3" t="s">
        <v>110</v>
      </c>
      <c r="J409" s="3">
        <v>0.0</v>
      </c>
      <c r="K409" s="3">
        <v>3.144</v>
      </c>
      <c r="L409" s="3">
        <v>12.0</v>
      </c>
      <c r="M409" s="3" t="s">
        <v>111</v>
      </c>
      <c r="N409" s="3">
        <v>19.04</v>
      </c>
      <c r="O409" s="3">
        <v>9.8796</v>
      </c>
      <c r="P409" s="3">
        <v>124.117</v>
      </c>
      <c r="Q409" s="3" t="s">
        <v>1057</v>
      </c>
      <c r="R409" s="4"/>
      <c r="S409" s="3" t="s">
        <v>258</v>
      </c>
      <c r="T409" s="16">
        <f t="shared" si="1"/>
        <v>41562.00833</v>
      </c>
      <c r="U409" s="4" t="b">
        <f t="shared" si="2"/>
        <v>1</v>
      </c>
      <c r="V409" s="4" t="b">
        <f t="shared" si="3"/>
        <v>0</v>
      </c>
      <c r="W409" s="4" t="str">
        <f t="shared" si="8"/>
        <v>Distance/Location</v>
      </c>
      <c r="X409" s="4" t="str">
        <f t="shared" si="4"/>
        <v>mww</v>
      </c>
      <c r="Y409" s="4">
        <f t="shared" si="5"/>
        <v>1</v>
      </c>
      <c r="Z409" s="4" t="str">
        <f t="shared" si="6"/>
        <v>Unique</v>
      </c>
      <c r="AA409" s="4" t="str">
        <f t="shared" si="7"/>
        <v>Valid</v>
      </c>
    </row>
    <row r="410">
      <c r="A410" s="3" t="s">
        <v>1058</v>
      </c>
      <c r="B410" s="3">
        <v>6.6</v>
      </c>
      <c r="C410" s="18">
        <v>41618.549305555556</v>
      </c>
      <c r="D410" s="3">
        <v>5.0</v>
      </c>
      <c r="E410" s="3">
        <v>6.0</v>
      </c>
      <c r="F410" s="3" t="s">
        <v>116</v>
      </c>
      <c r="G410" s="3">
        <v>0.0</v>
      </c>
      <c r="H410" s="3">
        <v>691.0</v>
      </c>
      <c r="I410" s="3" t="s">
        <v>110</v>
      </c>
      <c r="J410" s="3">
        <v>0.0</v>
      </c>
      <c r="K410" s="3">
        <v>1.984</v>
      </c>
      <c r="L410" s="3">
        <v>40.0</v>
      </c>
      <c r="M410" s="3" t="s">
        <v>111</v>
      </c>
      <c r="N410" s="3">
        <v>40.0</v>
      </c>
      <c r="O410" s="3">
        <v>35.5142</v>
      </c>
      <c r="P410" s="3">
        <v>23.2523</v>
      </c>
      <c r="Q410" s="3" t="s">
        <v>1059</v>
      </c>
      <c r="R410" s="3" t="s">
        <v>404</v>
      </c>
      <c r="S410" s="4"/>
      <c r="T410" s="16">
        <f t="shared" si="1"/>
        <v>41559.54931</v>
      </c>
      <c r="U410" s="4" t="b">
        <f t="shared" si="2"/>
        <v>1</v>
      </c>
      <c r="V410" s="4" t="b">
        <f t="shared" si="3"/>
        <v>1</v>
      </c>
      <c r="W410" s="4" t="str">
        <f t="shared" si="8"/>
        <v>Distance/Location</v>
      </c>
      <c r="X410" s="4" t="str">
        <f t="shared" si="4"/>
        <v>mww</v>
      </c>
      <c r="Y410" s="4">
        <f t="shared" si="5"/>
        <v>1</v>
      </c>
      <c r="Z410" s="4" t="str">
        <f t="shared" si="6"/>
        <v>Unique</v>
      </c>
      <c r="AA410" s="4" t="str">
        <f t="shared" si="7"/>
        <v>Valid</v>
      </c>
    </row>
    <row r="411">
      <c r="A411" s="3" t="s">
        <v>1060</v>
      </c>
      <c r="B411" s="3">
        <v>6.7</v>
      </c>
      <c r="C411" s="17">
        <v>41284.15138888889</v>
      </c>
      <c r="D411" s="3">
        <v>0.0</v>
      </c>
      <c r="E411" s="3">
        <v>3.0</v>
      </c>
      <c r="F411" s="3" t="s">
        <v>109</v>
      </c>
      <c r="G411" s="3">
        <v>0.0</v>
      </c>
      <c r="H411" s="3">
        <v>691.0</v>
      </c>
      <c r="I411" s="3" t="s">
        <v>110</v>
      </c>
      <c r="J411" s="3">
        <v>0.0</v>
      </c>
      <c r="K411" s="3">
        <v>2.958</v>
      </c>
      <c r="L411" s="3">
        <v>11.0</v>
      </c>
      <c r="M411" s="3" t="s">
        <v>111</v>
      </c>
      <c r="N411" s="3">
        <v>573.0</v>
      </c>
      <c r="O411" s="3">
        <v>53.1995</v>
      </c>
      <c r="P411" s="3">
        <v>152.786</v>
      </c>
      <c r="Q411" s="3" t="s">
        <v>1061</v>
      </c>
      <c r="R411" s="4"/>
      <c r="S411" s="4"/>
      <c r="T411" s="16">
        <f t="shared" si="1"/>
        <v>41548.15139</v>
      </c>
      <c r="U411" s="4" t="b">
        <f t="shared" si="2"/>
        <v>1</v>
      </c>
      <c r="V411" s="4" t="b">
        <f t="shared" si="3"/>
        <v>1</v>
      </c>
      <c r="W411" s="4" t="str">
        <f t="shared" si="8"/>
        <v>Named Region</v>
      </c>
      <c r="X411" s="4" t="str">
        <f t="shared" si="4"/>
        <v>mww</v>
      </c>
      <c r="Y411" s="4">
        <f t="shared" si="5"/>
        <v>1</v>
      </c>
      <c r="Z411" s="4" t="str">
        <f t="shared" si="6"/>
        <v>Unique</v>
      </c>
      <c r="AA411" s="4" t="str">
        <f t="shared" si="7"/>
        <v>Valid</v>
      </c>
    </row>
    <row r="412">
      <c r="A412" s="3" t="s">
        <v>358</v>
      </c>
      <c r="B412" s="3">
        <v>6.5</v>
      </c>
      <c r="C412" s="3" t="s">
        <v>1062</v>
      </c>
      <c r="D412" s="3">
        <v>0.0</v>
      </c>
      <c r="E412" s="3">
        <v>4.0</v>
      </c>
      <c r="F412" s="3" t="s">
        <v>109</v>
      </c>
      <c r="G412" s="3">
        <v>1.0</v>
      </c>
      <c r="H412" s="3">
        <v>650.0</v>
      </c>
      <c r="I412" s="3" t="s">
        <v>110</v>
      </c>
      <c r="J412" s="3">
        <v>0.0</v>
      </c>
      <c r="K412" s="3">
        <v>1.709</v>
      </c>
      <c r="L412" s="3">
        <v>21.0</v>
      </c>
      <c r="M412" s="3" t="s">
        <v>111</v>
      </c>
      <c r="N412" s="3">
        <v>41.54</v>
      </c>
      <c r="O412" s="3">
        <v>-30.9255</v>
      </c>
      <c r="P412" s="3">
        <v>-178.323</v>
      </c>
      <c r="Q412" s="3" t="s">
        <v>156</v>
      </c>
      <c r="R412" s="4"/>
      <c r="S412" s="4"/>
      <c r="T412" s="16">
        <f t="shared" si="1"/>
        <v>41547.24653</v>
      </c>
      <c r="U412" s="4" t="b">
        <f t="shared" si="2"/>
        <v>1</v>
      </c>
      <c r="V412" s="4" t="b">
        <f t="shared" si="3"/>
        <v>0</v>
      </c>
      <c r="W412" s="4" t="str">
        <f t="shared" si="8"/>
        <v>Named Region</v>
      </c>
      <c r="X412" s="4" t="str">
        <f t="shared" si="4"/>
        <v>mww</v>
      </c>
      <c r="Y412" s="4">
        <f t="shared" si="5"/>
        <v>1</v>
      </c>
      <c r="Z412" s="4" t="str">
        <f t="shared" si="6"/>
        <v>Unique</v>
      </c>
      <c r="AA412" s="4" t="str">
        <f t="shared" si="7"/>
        <v>Valid</v>
      </c>
    </row>
    <row r="413">
      <c r="A413" s="3" t="s">
        <v>1063</v>
      </c>
      <c r="B413" s="3">
        <v>6.8</v>
      </c>
      <c r="C413" s="3" t="s">
        <v>1064</v>
      </c>
      <c r="D413" s="3">
        <v>7.0</v>
      </c>
      <c r="E413" s="3">
        <v>7.0</v>
      </c>
      <c r="F413" s="3" t="s">
        <v>178</v>
      </c>
      <c r="G413" s="3">
        <v>0.0</v>
      </c>
      <c r="H413" s="3">
        <v>1005.0</v>
      </c>
      <c r="I413" s="3" t="s">
        <v>110</v>
      </c>
      <c r="J413" s="3">
        <v>0.0</v>
      </c>
      <c r="K413" s="3">
        <v>7.359</v>
      </c>
      <c r="L413" s="3">
        <v>17.0</v>
      </c>
      <c r="M413" s="3" t="s">
        <v>111</v>
      </c>
      <c r="N413" s="3">
        <v>12.0</v>
      </c>
      <c r="O413" s="3">
        <v>27.1825</v>
      </c>
      <c r="P413" s="3">
        <v>65.5052</v>
      </c>
      <c r="Q413" s="3" t="s">
        <v>1065</v>
      </c>
      <c r="R413" s="3" t="s">
        <v>164</v>
      </c>
      <c r="S413" s="3" t="s">
        <v>1066</v>
      </c>
      <c r="T413" s="16">
        <f t="shared" si="1"/>
        <v>41545.31528</v>
      </c>
      <c r="U413" s="4" t="b">
        <f t="shared" si="2"/>
        <v>1</v>
      </c>
      <c r="V413" s="4" t="b">
        <f t="shared" si="3"/>
        <v>0</v>
      </c>
      <c r="W413" s="4" t="str">
        <f t="shared" si="8"/>
        <v>Distance/Location</v>
      </c>
      <c r="X413" s="4" t="str">
        <f t="shared" si="4"/>
        <v>mww</v>
      </c>
      <c r="Y413" s="4">
        <f t="shared" si="5"/>
        <v>1</v>
      </c>
      <c r="Z413" s="4" t="str">
        <f t="shared" si="6"/>
        <v>Unique</v>
      </c>
      <c r="AA413" s="4" t="str">
        <f t="shared" si="7"/>
        <v>Valid</v>
      </c>
    </row>
    <row r="414">
      <c r="A414" s="3" t="s">
        <v>1067</v>
      </c>
      <c r="B414" s="3">
        <v>7.1</v>
      </c>
      <c r="C414" s="3" t="s">
        <v>1068</v>
      </c>
      <c r="D414" s="3">
        <v>8.0</v>
      </c>
      <c r="E414" s="3">
        <v>7.0</v>
      </c>
      <c r="F414" s="3" t="s">
        <v>109</v>
      </c>
      <c r="G414" s="3">
        <v>1.0</v>
      </c>
      <c r="H414" s="3">
        <v>843.0</v>
      </c>
      <c r="I414" s="3" t="s">
        <v>110</v>
      </c>
      <c r="J414" s="3">
        <v>0.0</v>
      </c>
      <c r="K414" s="3">
        <v>4.446</v>
      </c>
      <c r="L414" s="3">
        <v>17.0</v>
      </c>
      <c r="M414" s="3" t="s">
        <v>111</v>
      </c>
      <c r="N414" s="3">
        <v>40.0</v>
      </c>
      <c r="O414" s="3">
        <v>-15.8385</v>
      </c>
      <c r="P414" s="3">
        <v>-74.5112</v>
      </c>
      <c r="Q414" s="3" t="s">
        <v>646</v>
      </c>
      <c r="R414" s="4"/>
      <c r="S414" s="3" t="s">
        <v>265</v>
      </c>
      <c r="T414" s="16">
        <f t="shared" si="1"/>
        <v>41542.69583</v>
      </c>
      <c r="U414" s="4" t="b">
        <f t="shared" si="2"/>
        <v>1</v>
      </c>
      <c r="V414" s="4" t="b">
        <f t="shared" si="3"/>
        <v>0</v>
      </c>
      <c r="W414" s="4" t="str">
        <f t="shared" si="8"/>
        <v>Distance/Location</v>
      </c>
      <c r="X414" s="4" t="str">
        <f t="shared" si="4"/>
        <v>mww</v>
      </c>
      <c r="Y414" s="4">
        <f t="shared" si="5"/>
        <v>1</v>
      </c>
      <c r="Z414" s="4" t="str">
        <f t="shared" si="6"/>
        <v>Unique</v>
      </c>
      <c r="AA414" s="4" t="str">
        <f t="shared" si="7"/>
        <v>Valid</v>
      </c>
    </row>
    <row r="415">
      <c r="A415" s="3" t="s">
        <v>1069</v>
      </c>
      <c r="B415" s="3">
        <v>7.7</v>
      </c>
      <c r="C415" s="3" t="s">
        <v>1070</v>
      </c>
      <c r="D415" s="3">
        <v>5.0</v>
      </c>
      <c r="E415" s="3">
        <v>8.0</v>
      </c>
      <c r="F415" s="3" t="s">
        <v>198</v>
      </c>
      <c r="G415" s="3">
        <v>0.0</v>
      </c>
      <c r="H415" s="3">
        <v>2015.0</v>
      </c>
      <c r="I415" s="3" t="s">
        <v>110</v>
      </c>
      <c r="J415" s="3">
        <v>0.0</v>
      </c>
      <c r="K415" s="3">
        <v>7.241</v>
      </c>
      <c r="L415" s="3">
        <v>17.0</v>
      </c>
      <c r="M415" s="3" t="s">
        <v>111</v>
      </c>
      <c r="N415" s="3">
        <v>15.0</v>
      </c>
      <c r="O415" s="3">
        <v>26.951</v>
      </c>
      <c r="P415" s="3">
        <v>65.5009</v>
      </c>
      <c r="Q415" s="3" t="s">
        <v>1071</v>
      </c>
      <c r="R415" s="3" t="s">
        <v>164</v>
      </c>
      <c r="S415" s="3" t="s">
        <v>1066</v>
      </c>
      <c r="T415" s="16">
        <f t="shared" si="1"/>
        <v>41541.47847</v>
      </c>
      <c r="U415" s="4" t="b">
        <f t="shared" si="2"/>
        <v>1</v>
      </c>
      <c r="V415" s="4" t="b">
        <f t="shared" si="3"/>
        <v>0</v>
      </c>
      <c r="W415" s="4" t="str">
        <f t="shared" si="8"/>
        <v>Distance/Location</v>
      </c>
      <c r="X415" s="4" t="str">
        <f t="shared" si="4"/>
        <v>mww</v>
      </c>
      <c r="Y415" s="4">
        <f t="shared" si="5"/>
        <v>1</v>
      </c>
      <c r="Z415" s="4" t="str">
        <f t="shared" si="6"/>
        <v>Unique</v>
      </c>
      <c r="AA415" s="4" t="str">
        <f t="shared" si="7"/>
        <v>Valid</v>
      </c>
    </row>
    <row r="416">
      <c r="A416" s="3" t="s">
        <v>1072</v>
      </c>
      <c r="B416" s="3">
        <v>6.5</v>
      </c>
      <c r="C416" s="17">
        <v>41373.10555555556</v>
      </c>
      <c r="D416" s="3">
        <v>0.0</v>
      </c>
      <c r="E416" s="3">
        <v>6.0</v>
      </c>
      <c r="F416" s="3" t="s">
        <v>109</v>
      </c>
      <c r="G416" s="3">
        <v>1.0</v>
      </c>
      <c r="H416" s="3">
        <v>650.0</v>
      </c>
      <c r="I416" s="3" t="s">
        <v>110</v>
      </c>
      <c r="J416" s="3">
        <v>0.0</v>
      </c>
      <c r="K416" s="3">
        <v>0.735</v>
      </c>
      <c r="L416" s="3">
        <v>24.0</v>
      </c>
      <c r="M416" s="3" t="s">
        <v>111</v>
      </c>
      <c r="N416" s="3">
        <v>20.0</v>
      </c>
      <c r="O416" s="3">
        <v>51.5573</v>
      </c>
      <c r="P416" s="3">
        <v>-174.767</v>
      </c>
      <c r="Q416" s="3" t="s">
        <v>1073</v>
      </c>
      <c r="R416" s="4"/>
      <c r="S416" s="4"/>
      <c r="T416" s="16">
        <f t="shared" si="1"/>
        <v>41521.10556</v>
      </c>
      <c r="U416" s="4" t="b">
        <f t="shared" si="2"/>
        <v>1</v>
      </c>
      <c r="V416" s="4" t="b">
        <f t="shared" si="3"/>
        <v>1</v>
      </c>
      <c r="W416" s="4" t="str">
        <f t="shared" si="8"/>
        <v>Distance/Location</v>
      </c>
      <c r="X416" s="4" t="str">
        <f t="shared" si="4"/>
        <v>mww</v>
      </c>
      <c r="Y416" s="4">
        <f t="shared" si="5"/>
        <v>1</v>
      </c>
      <c r="Z416" s="4" t="str">
        <f t="shared" si="6"/>
        <v>Unique</v>
      </c>
      <c r="AA416" s="4" t="str">
        <f t="shared" si="7"/>
        <v>Valid</v>
      </c>
    </row>
    <row r="417">
      <c r="A417" s="3" t="s">
        <v>1074</v>
      </c>
      <c r="B417" s="3">
        <v>6.5</v>
      </c>
      <c r="C417" s="17">
        <v>41373.0125</v>
      </c>
      <c r="D417" s="3">
        <v>5.0</v>
      </c>
      <c r="E417" s="3">
        <v>3.0</v>
      </c>
      <c r="F417" s="3" t="s">
        <v>109</v>
      </c>
      <c r="G417" s="3">
        <v>0.0</v>
      </c>
      <c r="H417" s="3">
        <v>739.0</v>
      </c>
      <c r="I417" s="3" t="s">
        <v>110</v>
      </c>
      <c r="J417" s="3">
        <v>0.0</v>
      </c>
      <c r="K417" s="3">
        <v>3.276</v>
      </c>
      <c r="L417" s="3">
        <v>26.0</v>
      </c>
      <c r="M417" s="3" t="s">
        <v>111</v>
      </c>
      <c r="N417" s="3">
        <v>402.0</v>
      </c>
      <c r="O417" s="3">
        <v>29.9377</v>
      </c>
      <c r="P417" s="3">
        <v>138.833</v>
      </c>
      <c r="Q417" s="3" t="s">
        <v>1075</v>
      </c>
      <c r="R417" s="4"/>
      <c r="S417" s="4"/>
      <c r="T417" s="16">
        <f t="shared" si="1"/>
        <v>41521.0125</v>
      </c>
      <c r="U417" s="4" t="b">
        <f t="shared" si="2"/>
        <v>1</v>
      </c>
      <c r="V417" s="4" t="b">
        <f t="shared" si="3"/>
        <v>1</v>
      </c>
      <c r="W417" s="4" t="str">
        <f t="shared" si="8"/>
        <v>Named Region</v>
      </c>
      <c r="X417" s="4" t="str">
        <f t="shared" si="4"/>
        <v>mww</v>
      </c>
      <c r="Y417" s="4">
        <f t="shared" si="5"/>
        <v>1</v>
      </c>
      <c r="Z417" s="4" t="str">
        <f t="shared" si="6"/>
        <v>Unique</v>
      </c>
      <c r="AA417" s="4" t="str">
        <f t="shared" si="7"/>
        <v>Valid</v>
      </c>
    </row>
    <row r="418">
      <c r="A418" s="3" t="s">
        <v>1076</v>
      </c>
      <c r="B418" s="3">
        <v>6.5</v>
      </c>
      <c r="C418" s="17">
        <v>41283.49444444444</v>
      </c>
      <c r="D418" s="3">
        <v>4.0</v>
      </c>
      <c r="E418" s="3">
        <v>5.0</v>
      </c>
      <c r="F418" s="3" t="s">
        <v>109</v>
      </c>
      <c r="G418" s="3">
        <v>0.0</v>
      </c>
      <c r="H418" s="3">
        <v>668.0</v>
      </c>
      <c r="I418" s="3" t="s">
        <v>110</v>
      </c>
      <c r="J418" s="3">
        <v>0.0</v>
      </c>
      <c r="K418" s="3">
        <v>3.097</v>
      </c>
      <c r="L418" s="3">
        <v>11.0</v>
      </c>
      <c r="M418" s="3" t="s">
        <v>111</v>
      </c>
      <c r="N418" s="3">
        <v>112.0</v>
      </c>
      <c r="O418" s="3">
        <v>-7.44</v>
      </c>
      <c r="P418" s="3">
        <v>128.221</v>
      </c>
      <c r="Q418" s="3" t="s">
        <v>307</v>
      </c>
      <c r="R418" s="4"/>
      <c r="S418" s="3" t="s">
        <v>153</v>
      </c>
      <c r="T418" s="16">
        <f t="shared" si="1"/>
        <v>41518.49444</v>
      </c>
      <c r="U418" s="4" t="b">
        <f t="shared" si="2"/>
        <v>1</v>
      </c>
      <c r="V418" s="4" t="b">
        <f t="shared" si="3"/>
        <v>1</v>
      </c>
      <c r="W418" s="4" t="str">
        <f t="shared" si="8"/>
        <v>Distance/Location</v>
      </c>
      <c r="X418" s="4" t="str">
        <f t="shared" si="4"/>
        <v>mww</v>
      </c>
      <c r="Y418" s="4">
        <f t="shared" si="5"/>
        <v>1</v>
      </c>
      <c r="Z418" s="4" t="str">
        <f t="shared" si="6"/>
        <v>Unique</v>
      </c>
      <c r="AA418" s="4" t="str">
        <f t="shared" si="7"/>
        <v>Valid</v>
      </c>
    </row>
    <row r="419">
      <c r="A419" s="3" t="s">
        <v>1077</v>
      </c>
      <c r="B419" s="3">
        <v>7.0</v>
      </c>
      <c r="C419" s="3" t="s">
        <v>1078</v>
      </c>
      <c r="D419" s="3">
        <v>5.0</v>
      </c>
      <c r="E419" s="3">
        <v>6.0</v>
      </c>
      <c r="F419" s="3" t="s">
        <v>109</v>
      </c>
      <c r="G419" s="3">
        <v>0.0</v>
      </c>
      <c r="H419" s="3">
        <v>758.0</v>
      </c>
      <c r="I419" s="3" t="s">
        <v>110</v>
      </c>
      <c r="J419" s="3">
        <v>0.0</v>
      </c>
      <c r="K419" s="3">
        <v>0.624</v>
      </c>
      <c r="L419" s="3">
        <v>53.0</v>
      </c>
      <c r="M419" s="3" t="s">
        <v>111</v>
      </c>
      <c r="N419" s="3">
        <v>29.0</v>
      </c>
      <c r="O419" s="3">
        <v>51.537</v>
      </c>
      <c r="P419" s="3">
        <v>-175.23</v>
      </c>
      <c r="Q419" s="3" t="s">
        <v>1073</v>
      </c>
      <c r="R419" s="4"/>
      <c r="S419" s="4"/>
      <c r="T419" s="16">
        <f t="shared" si="1"/>
        <v>41516.68403</v>
      </c>
      <c r="U419" s="4" t="b">
        <f t="shared" si="2"/>
        <v>1</v>
      </c>
      <c r="V419" s="4" t="b">
        <f t="shared" si="3"/>
        <v>0</v>
      </c>
      <c r="W419" s="4" t="str">
        <f t="shared" si="8"/>
        <v>Distance/Location</v>
      </c>
      <c r="X419" s="4" t="str">
        <f t="shared" si="4"/>
        <v>mww</v>
      </c>
      <c r="Y419" s="4">
        <f t="shared" si="5"/>
        <v>1</v>
      </c>
      <c r="Z419" s="4" t="str">
        <f t="shared" si="6"/>
        <v>Unique</v>
      </c>
      <c r="AA419" s="4" t="str">
        <f t="shared" si="7"/>
        <v>Valid</v>
      </c>
    </row>
    <row r="420">
      <c r="A420" s="3" t="s">
        <v>1079</v>
      </c>
      <c r="B420" s="3">
        <v>6.5</v>
      </c>
      <c r="C420" s="3" t="s">
        <v>1080</v>
      </c>
      <c r="D420" s="3">
        <v>9.0</v>
      </c>
      <c r="E420" s="3">
        <v>7.0</v>
      </c>
      <c r="F420" s="3" t="s">
        <v>116</v>
      </c>
      <c r="G420" s="3">
        <v>1.0</v>
      </c>
      <c r="H420" s="3">
        <v>690.0</v>
      </c>
      <c r="I420" s="3" t="s">
        <v>110</v>
      </c>
      <c r="J420" s="3">
        <v>0.0</v>
      </c>
      <c r="K420" s="3">
        <v>0.0</v>
      </c>
      <c r="L420" s="3">
        <v>0.0</v>
      </c>
      <c r="M420" s="3" t="s">
        <v>111</v>
      </c>
      <c r="N420" s="3">
        <v>8.2</v>
      </c>
      <c r="O420" s="3">
        <v>-41.734</v>
      </c>
      <c r="P420" s="3">
        <v>174.152</v>
      </c>
      <c r="Q420" s="3" t="s">
        <v>762</v>
      </c>
      <c r="R420" s="4"/>
      <c r="S420" s="3" t="s">
        <v>759</v>
      </c>
      <c r="T420" s="16">
        <f t="shared" si="1"/>
        <v>41502.10486</v>
      </c>
      <c r="U420" s="4" t="b">
        <f t="shared" si="2"/>
        <v>1</v>
      </c>
      <c r="V420" s="4" t="b">
        <f t="shared" si="3"/>
        <v>0</v>
      </c>
      <c r="W420" s="4" t="str">
        <f t="shared" si="8"/>
        <v>Distance/Location</v>
      </c>
      <c r="X420" s="4" t="str">
        <f t="shared" si="4"/>
        <v>mww</v>
      </c>
      <c r="Y420" s="4">
        <f t="shared" si="5"/>
        <v>1</v>
      </c>
      <c r="Z420" s="4" t="str">
        <f t="shared" si="6"/>
        <v>Unique</v>
      </c>
      <c r="AA420" s="4" t="str">
        <f t="shared" si="7"/>
        <v>Valid</v>
      </c>
    </row>
    <row r="421">
      <c r="A421" s="3" t="s">
        <v>1081</v>
      </c>
      <c r="B421" s="3">
        <v>6.7</v>
      </c>
      <c r="C421" s="3" t="s">
        <v>1082</v>
      </c>
      <c r="D421" s="3">
        <v>4.0</v>
      </c>
      <c r="E421" s="3">
        <v>5.0</v>
      </c>
      <c r="F421" s="3" t="s">
        <v>109</v>
      </c>
      <c r="G421" s="3">
        <v>1.0</v>
      </c>
      <c r="H421" s="3">
        <v>715.0</v>
      </c>
      <c r="I421" s="3" t="s">
        <v>110</v>
      </c>
      <c r="J421" s="3">
        <v>0.0</v>
      </c>
      <c r="K421" s="3">
        <v>3.741</v>
      </c>
      <c r="L421" s="3">
        <v>22.0</v>
      </c>
      <c r="M421" s="3" t="s">
        <v>111</v>
      </c>
      <c r="N421" s="3">
        <v>12.0</v>
      </c>
      <c r="O421" s="3">
        <v>5.7732</v>
      </c>
      <c r="P421" s="3">
        <v>-78.1999</v>
      </c>
      <c r="Q421" s="3" t="s">
        <v>1083</v>
      </c>
      <c r="R421" s="4"/>
      <c r="S421" s="4"/>
      <c r="T421" s="16">
        <f t="shared" si="1"/>
        <v>41499.65486</v>
      </c>
      <c r="U421" s="4" t="b">
        <f t="shared" si="2"/>
        <v>1</v>
      </c>
      <c r="V421" s="4" t="b">
        <f t="shared" si="3"/>
        <v>0</v>
      </c>
      <c r="W421" s="4" t="str">
        <f t="shared" si="8"/>
        <v>Distance/Location</v>
      </c>
      <c r="X421" s="4" t="str">
        <f t="shared" si="4"/>
        <v>mww</v>
      </c>
      <c r="Y421" s="4">
        <f t="shared" si="5"/>
        <v>1</v>
      </c>
      <c r="Z421" s="4" t="str">
        <f t="shared" si="6"/>
        <v>Unique</v>
      </c>
      <c r="AA421" s="4" t="str">
        <f t="shared" si="7"/>
        <v>Valid</v>
      </c>
    </row>
    <row r="422">
      <c r="A422" s="3" t="s">
        <v>1084</v>
      </c>
      <c r="B422" s="3">
        <v>6.5</v>
      </c>
      <c r="C422" s="3" t="s">
        <v>1085</v>
      </c>
      <c r="D422" s="3">
        <v>6.0</v>
      </c>
      <c r="E422" s="3">
        <v>7.0</v>
      </c>
      <c r="F422" s="3" t="s">
        <v>116</v>
      </c>
      <c r="G422" s="3">
        <v>1.0</v>
      </c>
      <c r="H422" s="3">
        <v>693.0</v>
      </c>
      <c r="I422" s="3" t="s">
        <v>110</v>
      </c>
      <c r="J422" s="3">
        <v>229.0</v>
      </c>
      <c r="K422" s="3">
        <v>0.0</v>
      </c>
      <c r="L422" s="3">
        <v>20.0</v>
      </c>
      <c r="M422" s="3" t="s">
        <v>111</v>
      </c>
      <c r="N422" s="3">
        <v>17.0</v>
      </c>
      <c r="O422" s="3">
        <v>-41.704</v>
      </c>
      <c r="P422" s="3">
        <v>174.337</v>
      </c>
      <c r="Q422" s="3" t="s">
        <v>762</v>
      </c>
      <c r="R422" s="4"/>
      <c r="S422" s="3" t="s">
        <v>759</v>
      </c>
      <c r="T422" s="16">
        <f t="shared" si="1"/>
        <v>41476.21458</v>
      </c>
      <c r="U422" s="4" t="b">
        <f t="shared" si="2"/>
        <v>1</v>
      </c>
      <c r="V422" s="4" t="b">
        <f t="shared" si="3"/>
        <v>0</v>
      </c>
      <c r="W422" s="4" t="str">
        <f t="shared" si="8"/>
        <v>Distance/Location</v>
      </c>
      <c r="X422" s="4" t="str">
        <f t="shared" si="4"/>
        <v>mww</v>
      </c>
      <c r="Y422" s="4">
        <f t="shared" si="5"/>
        <v>1</v>
      </c>
      <c r="Z422" s="4" t="str">
        <f t="shared" si="6"/>
        <v>Unique</v>
      </c>
      <c r="AA422" s="4" t="str">
        <f t="shared" si="7"/>
        <v>Valid</v>
      </c>
    </row>
    <row r="423">
      <c r="A423" s="3" t="s">
        <v>1086</v>
      </c>
      <c r="B423" s="3">
        <v>7.3</v>
      </c>
      <c r="C423" s="3" t="s">
        <v>1087</v>
      </c>
      <c r="D423" s="3">
        <v>0.0</v>
      </c>
      <c r="E423" s="3">
        <v>6.0</v>
      </c>
      <c r="F423" s="3" t="s">
        <v>109</v>
      </c>
      <c r="G423" s="3">
        <v>1.0</v>
      </c>
      <c r="H423" s="3">
        <v>820.0</v>
      </c>
      <c r="I423" s="3" t="s">
        <v>110</v>
      </c>
      <c r="J423" s="3">
        <v>398.0</v>
      </c>
      <c r="K423" s="3">
        <v>0.0</v>
      </c>
      <c r="L423" s="3">
        <v>43.0</v>
      </c>
      <c r="M423" s="3" t="s">
        <v>111</v>
      </c>
      <c r="N423" s="3">
        <v>11.0</v>
      </c>
      <c r="O423" s="3">
        <v>-60.857</v>
      </c>
      <c r="P423" s="3">
        <v>-25.07</v>
      </c>
      <c r="Q423" s="3" t="s">
        <v>329</v>
      </c>
      <c r="R423" s="4"/>
      <c r="S423" s="3" t="s">
        <v>497</v>
      </c>
      <c r="T423" s="16">
        <f t="shared" si="1"/>
        <v>41470.58542</v>
      </c>
      <c r="U423" s="4" t="b">
        <f t="shared" si="2"/>
        <v>1</v>
      </c>
      <c r="V423" s="4" t="b">
        <f t="shared" si="3"/>
        <v>0</v>
      </c>
      <c r="W423" s="4" t="str">
        <f t="shared" si="8"/>
        <v>Named Region</v>
      </c>
      <c r="X423" s="4" t="str">
        <f t="shared" si="4"/>
        <v>mww</v>
      </c>
      <c r="Y423" s="4">
        <f t="shared" si="5"/>
        <v>1</v>
      </c>
      <c r="Z423" s="4" t="str">
        <f t="shared" si="6"/>
        <v>Unique</v>
      </c>
      <c r="AA423" s="4" t="str">
        <f t="shared" si="7"/>
        <v>Valid</v>
      </c>
    </row>
    <row r="424">
      <c r="A424" s="3" t="s">
        <v>1088</v>
      </c>
      <c r="B424" s="3">
        <v>6.6</v>
      </c>
      <c r="C424" s="17">
        <v>41462.854166666664</v>
      </c>
      <c r="D424" s="3">
        <v>4.0</v>
      </c>
      <c r="E424" s="3">
        <v>6.0</v>
      </c>
      <c r="F424" s="3" t="s">
        <v>109</v>
      </c>
      <c r="G424" s="3">
        <v>0.0</v>
      </c>
      <c r="H424" s="3">
        <v>674.0</v>
      </c>
      <c r="I424" s="3" t="s">
        <v>110</v>
      </c>
      <c r="J424" s="3">
        <v>139.0</v>
      </c>
      <c r="K424" s="3">
        <v>0.0</v>
      </c>
      <c r="L424" s="3">
        <v>14.0</v>
      </c>
      <c r="M424" s="3" t="s">
        <v>111</v>
      </c>
      <c r="N424" s="3">
        <v>56.0</v>
      </c>
      <c r="O424" s="3">
        <v>-6.029</v>
      </c>
      <c r="P424" s="3">
        <v>149.706</v>
      </c>
      <c r="Q424" s="3" t="s">
        <v>774</v>
      </c>
      <c r="R424" s="4"/>
      <c r="S424" s="3" t="s">
        <v>168</v>
      </c>
      <c r="T424" s="16">
        <f t="shared" si="1"/>
        <v>41462.85417</v>
      </c>
      <c r="U424" s="4" t="b">
        <f t="shared" si="2"/>
        <v>1</v>
      </c>
      <c r="V424" s="4" t="b">
        <f t="shared" si="3"/>
        <v>1</v>
      </c>
      <c r="W424" s="4" t="str">
        <f t="shared" si="8"/>
        <v>Distance/Location</v>
      </c>
      <c r="X424" s="4" t="str">
        <f t="shared" si="4"/>
        <v>mww</v>
      </c>
      <c r="Y424" s="4">
        <f t="shared" si="5"/>
        <v>1</v>
      </c>
      <c r="Z424" s="4" t="str">
        <f t="shared" si="6"/>
        <v>Unique</v>
      </c>
      <c r="AA424" s="4" t="str">
        <f t="shared" si="7"/>
        <v>Valid</v>
      </c>
    </row>
    <row r="425">
      <c r="A425" s="3" t="s">
        <v>1089</v>
      </c>
      <c r="B425" s="3">
        <v>7.3</v>
      </c>
      <c r="C425" s="17">
        <v>41462.774305555555</v>
      </c>
      <c r="D425" s="3">
        <v>0.0</v>
      </c>
      <c r="E425" s="3">
        <v>4.0</v>
      </c>
      <c r="F425" s="3" t="s">
        <v>109</v>
      </c>
      <c r="G425" s="3">
        <v>1.0</v>
      </c>
      <c r="H425" s="3">
        <v>820.0</v>
      </c>
      <c r="I425" s="3" t="s">
        <v>110</v>
      </c>
      <c r="J425" s="3">
        <v>117.0</v>
      </c>
      <c r="K425" s="3">
        <v>0.0</v>
      </c>
      <c r="L425" s="3">
        <v>24.0</v>
      </c>
      <c r="M425" s="3" t="s">
        <v>111</v>
      </c>
      <c r="N425" s="3">
        <v>385.5</v>
      </c>
      <c r="O425" s="3">
        <v>-3.917</v>
      </c>
      <c r="P425" s="3">
        <v>153.927</v>
      </c>
      <c r="Q425" s="3" t="s">
        <v>633</v>
      </c>
      <c r="R425" s="4"/>
      <c r="S425" s="3" t="s">
        <v>168</v>
      </c>
      <c r="T425" s="16">
        <f t="shared" si="1"/>
        <v>41462.77431</v>
      </c>
      <c r="U425" s="4" t="b">
        <f t="shared" si="2"/>
        <v>1</v>
      </c>
      <c r="V425" s="4" t="b">
        <f t="shared" si="3"/>
        <v>1</v>
      </c>
      <c r="W425" s="4" t="str">
        <f t="shared" si="8"/>
        <v>Distance/Location</v>
      </c>
      <c r="X425" s="4" t="str">
        <f t="shared" si="4"/>
        <v>mww</v>
      </c>
      <c r="Y425" s="4">
        <f t="shared" si="5"/>
        <v>1</v>
      </c>
      <c r="Z425" s="4" t="str">
        <f t="shared" si="6"/>
        <v>Unique</v>
      </c>
      <c r="AA425" s="4" t="str">
        <f t="shared" si="7"/>
        <v>Valid</v>
      </c>
    </row>
    <row r="426">
      <c r="A426" s="3" t="s">
        <v>1090</v>
      </c>
      <c r="B426" s="3">
        <v>6.6</v>
      </c>
      <c r="C426" s="3" t="s">
        <v>1091</v>
      </c>
      <c r="D426" s="3">
        <v>0.0</v>
      </c>
      <c r="E426" s="3">
        <v>7.0</v>
      </c>
      <c r="F426" s="3" t="s">
        <v>109</v>
      </c>
      <c r="G426" s="3">
        <v>1.0</v>
      </c>
      <c r="H426" s="3">
        <v>670.0</v>
      </c>
      <c r="I426" s="3" t="s">
        <v>110</v>
      </c>
      <c r="J426" s="3">
        <v>111.0</v>
      </c>
      <c r="K426" s="3">
        <v>0.0</v>
      </c>
      <c r="L426" s="3">
        <v>16.0</v>
      </c>
      <c r="M426" s="3" t="s">
        <v>111</v>
      </c>
      <c r="N426" s="3">
        <v>10.0</v>
      </c>
      <c r="O426" s="3">
        <v>10.701</v>
      </c>
      <c r="P426" s="3">
        <v>-42.594</v>
      </c>
      <c r="Q426" s="3" t="s">
        <v>1092</v>
      </c>
      <c r="R426" s="4"/>
      <c r="S426" s="4"/>
      <c r="T426" s="16">
        <f t="shared" si="1"/>
        <v>41449.91944</v>
      </c>
      <c r="U426" s="4" t="b">
        <f t="shared" si="2"/>
        <v>1</v>
      </c>
      <c r="V426" s="4" t="b">
        <f t="shared" si="3"/>
        <v>0</v>
      </c>
      <c r="W426" s="4" t="str">
        <f t="shared" si="8"/>
        <v>Named Region</v>
      </c>
      <c r="X426" s="4" t="str">
        <f t="shared" si="4"/>
        <v>mww</v>
      </c>
      <c r="Y426" s="4">
        <f t="shared" si="5"/>
        <v>1</v>
      </c>
      <c r="Z426" s="4" t="str">
        <f t="shared" si="6"/>
        <v>Unique</v>
      </c>
      <c r="AA426" s="4" t="str">
        <f t="shared" si="7"/>
        <v>Valid</v>
      </c>
    </row>
    <row r="427">
      <c r="A427" s="3" t="s">
        <v>1093</v>
      </c>
      <c r="B427" s="3">
        <v>6.5</v>
      </c>
      <c r="C427" s="3" t="s">
        <v>1094</v>
      </c>
      <c r="D427" s="3">
        <v>5.0</v>
      </c>
      <c r="E427" s="3">
        <v>6.0</v>
      </c>
      <c r="F427" s="3" t="s">
        <v>109</v>
      </c>
      <c r="G427" s="3">
        <v>1.0</v>
      </c>
      <c r="H427" s="3">
        <v>679.0</v>
      </c>
      <c r="I427" s="3" t="s">
        <v>110</v>
      </c>
      <c r="J427" s="3">
        <v>698.0</v>
      </c>
      <c r="K427" s="3">
        <v>0.0</v>
      </c>
      <c r="L427" s="3">
        <v>27.0</v>
      </c>
      <c r="M427" s="3" t="s">
        <v>111</v>
      </c>
      <c r="N427" s="3">
        <v>30.0</v>
      </c>
      <c r="O427" s="3">
        <v>11.763</v>
      </c>
      <c r="P427" s="3">
        <v>-86.926</v>
      </c>
      <c r="Q427" s="3" t="s">
        <v>271</v>
      </c>
      <c r="R427" s="4"/>
      <c r="S427" s="4"/>
      <c r="T427" s="16">
        <f t="shared" si="1"/>
        <v>41440.73194</v>
      </c>
      <c r="U427" s="4" t="b">
        <f t="shared" si="2"/>
        <v>1</v>
      </c>
      <c r="V427" s="4" t="b">
        <f t="shared" si="3"/>
        <v>0</v>
      </c>
      <c r="W427" s="4" t="str">
        <f t="shared" si="8"/>
        <v>Distance/Location</v>
      </c>
      <c r="X427" s="4" t="str">
        <f t="shared" si="4"/>
        <v>mww</v>
      </c>
      <c r="Y427" s="4">
        <f t="shared" si="5"/>
        <v>1</v>
      </c>
      <c r="Z427" s="4" t="str">
        <f t="shared" si="6"/>
        <v>Unique</v>
      </c>
      <c r="AA427" s="4" t="str">
        <f t="shared" si="7"/>
        <v>Valid</v>
      </c>
    </row>
    <row r="428">
      <c r="A428" s="3" t="s">
        <v>1095</v>
      </c>
      <c r="B428" s="3">
        <v>6.7</v>
      </c>
      <c r="C428" s="3" t="s">
        <v>1096</v>
      </c>
      <c r="D428" s="3">
        <v>5.0</v>
      </c>
      <c r="E428" s="3">
        <v>4.0</v>
      </c>
      <c r="F428" s="3" t="s">
        <v>109</v>
      </c>
      <c r="G428" s="3">
        <v>0.0</v>
      </c>
      <c r="H428" s="3">
        <v>710.0</v>
      </c>
      <c r="I428" s="3" t="s">
        <v>110</v>
      </c>
      <c r="J428" s="3">
        <v>515.0</v>
      </c>
      <c r="K428" s="3">
        <v>0.0</v>
      </c>
      <c r="L428" s="3">
        <v>24.0</v>
      </c>
      <c r="M428" s="3" t="s">
        <v>111</v>
      </c>
      <c r="N428" s="3">
        <v>9.0</v>
      </c>
      <c r="O428" s="3">
        <v>-10.004</v>
      </c>
      <c r="P428" s="3">
        <v>107.236</v>
      </c>
      <c r="Q428" s="3" t="s">
        <v>1097</v>
      </c>
      <c r="R428" s="4"/>
      <c r="S428" s="4"/>
      <c r="T428" s="16">
        <f t="shared" si="1"/>
        <v>41438.69931</v>
      </c>
      <c r="U428" s="4" t="b">
        <f t="shared" si="2"/>
        <v>1</v>
      </c>
      <c r="V428" s="4" t="b">
        <f t="shared" si="3"/>
        <v>0</v>
      </c>
      <c r="W428" s="4" t="str">
        <f t="shared" si="8"/>
        <v>Named Region</v>
      </c>
      <c r="X428" s="4" t="str">
        <f t="shared" si="4"/>
        <v>mww</v>
      </c>
      <c r="Y428" s="4">
        <f t="shared" si="5"/>
        <v>1</v>
      </c>
      <c r="Z428" s="4" t="str">
        <f t="shared" si="6"/>
        <v>Unique</v>
      </c>
      <c r="AA428" s="4" t="str">
        <f t="shared" si="7"/>
        <v>Valid</v>
      </c>
    </row>
    <row r="429">
      <c r="A429" s="3" t="s">
        <v>1060</v>
      </c>
      <c r="B429" s="3">
        <v>6.7</v>
      </c>
      <c r="C429" s="3" t="s">
        <v>1098</v>
      </c>
      <c r="D429" s="3">
        <v>0.0</v>
      </c>
      <c r="E429" s="3">
        <v>3.0</v>
      </c>
      <c r="F429" s="3" t="s">
        <v>109</v>
      </c>
      <c r="G429" s="3">
        <v>1.0</v>
      </c>
      <c r="H429" s="3">
        <v>691.0</v>
      </c>
      <c r="I429" s="3" t="s">
        <v>110</v>
      </c>
      <c r="J429" s="3">
        <v>217.0</v>
      </c>
      <c r="K429" s="3">
        <v>0.0</v>
      </c>
      <c r="L429" s="3">
        <v>25.2</v>
      </c>
      <c r="M429" s="3" t="s">
        <v>224</v>
      </c>
      <c r="N429" s="3">
        <v>624.0</v>
      </c>
      <c r="O429" s="3">
        <v>52.235</v>
      </c>
      <c r="P429" s="3">
        <v>151.444</v>
      </c>
      <c r="Q429" s="3" t="s">
        <v>1061</v>
      </c>
      <c r="R429" s="4"/>
      <c r="S429" s="4"/>
      <c r="T429" s="16">
        <f t="shared" si="1"/>
        <v>41418.62222</v>
      </c>
      <c r="U429" s="4" t="b">
        <f t="shared" si="2"/>
        <v>1</v>
      </c>
      <c r="V429" s="4" t="b">
        <f t="shared" si="3"/>
        <v>0</v>
      </c>
      <c r="W429" s="4" t="str">
        <f t="shared" si="8"/>
        <v>Named Region</v>
      </c>
      <c r="X429" s="4" t="str">
        <f t="shared" si="4"/>
        <v>mwb</v>
      </c>
      <c r="Y429" s="4">
        <f t="shared" si="5"/>
        <v>1</v>
      </c>
      <c r="Z429" s="4" t="str">
        <f t="shared" si="6"/>
        <v>Unique</v>
      </c>
      <c r="AA429" s="4" t="str">
        <f t="shared" si="7"/>
        <v>Valid</v>
      </c>
    </row>
    <row r="430">
      <c r="A430" s="3" t="s">
        <v>1099</v>
      </c>
      <c r="B430" s="3">
        <v>8.3</v>
      </c>
      <c r="C430" s="3" t="s">
        <v>1100</v>
      </c>
      <c r="D430" s="3">
        <v>5.0</v>
      </c>
      <c r="E430" s="3">
        <v>5.0</v>
      </c>
      <c r="F430" s="3" t="s">
        <v>109</v>
      </c>
      <c r="G430" s="3">
        <v>1.0</v>
      </c>
      <c r="H430" s="3">
        <v>1115.0</v>
      </c>
      <c r="I430" s="3" t="s">
        <v>110</v>
      </c>
      <c r="J430" s="3">
        <v>385.0</v>
      </c>
      <c r="K430" s="3">
        <v>0.0</v>
      </c>
      <c r="L430" s="3">
        <v>10.0</v>
      </c>
      <c r="M430" s="3" t="s">
        <v>111</v>
      </c>
      <c r="N430" s="3">
        <v>598.1</v>
      </c>
      <c r="O430" s="3">
        <v>54.892</v>
      </c>
      <c r="P430" s="3">
        <v>153.221</v>
      </c>
      <c r="Q430" s="3" t="s">
        <v>1061</v>
      </c>
      <c r="R430" s="4"/>
      <c r="S430" s="4"/>
      <c r="T430" s="16">
        <f t="shared" si="1"/>
        <v>41418.23889</v>
      </c>
      <c r="U430" s="4" t="b">
        <f t="shared" si="2"/>
        <v>1</v>
      </c>
      <c r="V430" s="4" t="b">
        <f t="shared" si="3"/>
        <v>0</v>
      </c>
      <c r="W430" s="4" t="str">
        <f t="shared" si="8"/>
        <v>Named Region</v>
      </c>
      <c r="X430" s="4" t="str">
        <f t="shared" si="4"/>
        <v>mww</v>
      </c>
      <c r="Y430" s="4">
        <f t="shared" si="5"/>
        <v>1</v>
      </c>
      <c r="Z430" s="4" t="str">
        <f t="shared" si="6"/>
        <v>Unique</v>
      </c>
      <c r="AA430" s="4" t="str">
        <f t="shared" si="7"/>
        <v>Valid</v>
      </c>
    </row>
    <row r="431">
      <c r="A431" s="3" t="s">
        <v>1101</v>
      </c>
      <c r="B431" s="3">
        <v>7.4</v>
      </c>
      <c r="C431" s="3" t="s">
        <v>1102</v>
      </c>
      <c r="D431" s="3">
        <v>0.0</v>
      </c>
      <c r="E431" s="3">
        <v>6.0</v>
      </c>
      <c r="F431" s="3" t="s">
        <v>109</v>
      </c>
      <c r="G431" s="3">
        <v>1.0</v>
      </c>
      <c r="H431" s="3">
        <v>842.0</v>
      </c>
      <c r="I431" s="3" t="s">
        <v>110</v>
      </c>
      <c r="J431" s="3">
        <v>626.0</v>
      </c>
      <c r="K431" s="3">
        <v>0.0</v>
      </c>
      <c r="L431" s="3">
        <v>16.0</v>
      </c>
      <c r="M431" s="3" t="s">
        <v>111</v>
      </c>
      <c r="N431" s="3">
        <v>173.7</v>
      </c>
      <c r="O431" s="3">
        <v>-23.009</v>
      </c>
      <c r="P431" s="3">
        <v>-177.232</v>
      </c>
      <c r="Q431" s="3" t="s">
        <v>1103</v>
      </c>
      <c r="R431" s="4"/>
      <c r="S431" s="4"/>
      <c r="T431" s="16">
        <f t="shared" si="1"/>
        <v>41417.72153</v>
      </c>
      <c r="U431" s="4" t="b">
        <f t="shared" si="2"/>
        <v>1</v>
      </c>
      <c r="V431" s="4" t="b">
        <f t="shared" si="3"/>
        <v>0</v>
      </c>
      <c r="W431" s="4" t="str">
        <f t="shared" si="8"/>
        <v>Distance/Location</v>
      </c>
      <c r="X431" s="4" t="str">
        <f t="shared" si="4"/>
        <v>mww</v>
      </c>
      <c r="Y431" s="4">
        <f t="shared" si="5"/>
        <v>1</v>
      </c>
      <c r="Z431" s="4" t="str">
        <f t="shared" si="6"/>
        <v>Unique</v>
      </c>
      <c r="AA431" s="4" t="str">
        <f t="shared" si="7"/>
        <v>Valid</v>
      </c>
    </row>
    <row r="432">
      <c r="A432" s="3" t="s">
        <v>1104</v>
      </c>
      <c r="B432" s="3">
        <v>6.8</v>
      </c>
      <c r="C432" s="3" t="s">
        <v>1105</v>
      </c>
      <c r="D432" s="3">
        <v>0.0</v>
      </c>
      <c r="E432" s="3">
        <v>3.0</v>
      </c>
      <c r="F432" s="3" t="s">
        <v>109</v>
      </c>
      <c r="G432" s="3">
        <v>0.0</v>
      </c>
      <c r="H432" s="3">
        <v>711.0</v>
      </c>
      <c r="I432" s="3" t="s">
        <v>110</v>
      </c>
      <c r="J432" s="3">
        <v>131.0</v>
      </c>
      <c r="K432" s="3">
        <v>0.0</v>
      </c>
      <c r="L432" s="3">
        <v>18.0</v>
      </c>
      <c r="M432" s="3" t="s">
        <v>111</v>
      </c>
      <c r="N432" s="3">
        <v>602.2</v>
      </c>
      <c r="O432" s="3">
        <v>18.728</v>
      </c>
      <c r="P432" s="3">
        <v>145.288</v>
      </c>
      <c r="Q432" s="3" t="s">
        <v>789</v>
      </c>
      <c r="R432" s="4"/>
      <c r="S432" s="4"/>
      <c r="T432" s="16">
        <f t="shared" si="1"/>
        <v>41408.02222</v>
      </c>
      <c r="U432" s="4" t="b">
        <f t="shared" si="2"/>
        <v>1</v>
      </c>
      <c r="V432" s="4" t="b">
        <f t="shared" si="3"/>
        <v>0</v>
      </c>
      <c r="W432" s="4" t="str">
        <f t="shared" si="8"/>
        <v>Named Region</v>
      </c>
      <c r="X432" s="4" t="str">
        <f t="shared" si="4"/>
        <v>mww</v>
      </c>
      <c r="Y432" s="4">
        <f t="shared" si="5"/>
        <v>1</v>
      </c>
      <c r="Z432" s="4" t="str">
        <f t="shared" si="6"/>
        <v>Unique</v>
      </c>
      <c r="AA432" s="4" t="str">
        <f t="shared" si="7"/>
        <v>Valid</v>
      </c>
    </row>
    <row r="433">
      <c r="A433" s="3" t="s">
        <v>1106</v>
      </c>
      <c r="B433" s="3">
        <v>6.5</v>
      </c>
      <c r="C433" s="3" t="s">
        <v>1107</v>
      </c>
      <c r="D433" s="3">
        <v>0.0</v>
      </c>
      <c r="E433" s="3">
        <v>6.0</v>
      </c>
      <c r="F433" s="3" t="s">
        <v>109</v>
      </c>
      <c r="G433" s="3">
        <v>1.0</v>
      </c>
      <c r="H433" s="3">
        <v>650.0</v>
      </c>
      <c r="I433" s="3" t="s">
        <v>110</v>
      </c>
      <c r="J433" s="3">
        <v>264.0</v>
      </c>
      <c r="K433" s="3">
        <v>0.0</v>
      </c>
      <c r="L433" s="3">
        <v>16.6</v>
      </c>
      <c r="M433" s="3" t="s">
        <v>111</v>
      </c>
      <c r="N433" s="3">
        <v>10.0</v>
      </c>
      <c r="O433" s="3">
        <v>-3.898</v>
      </c>
      <c r="P433" s="3">
        <v>152.127</v>
      </c>
      <c r="Q433" s="3" t="s">
        <v>781</v>
      </c>
      <c r="R433" s="4"/>
      <c r="S433" s="3" t="s">
        <v>168</v>
      </c>
      <c r="T433" s="16">
        <f t="shared" si="1"/>
        <v>41387.96806</v>
      </c>
      <c r="U433" s="4" t="b">
        <f t="shared" si="2"/>
        <v>1</v>
      </c>
      <c r="V433" s="4" t="b">
        <f t="shared" si="3"/>
        <v>0</v>
      </c>
      <c r="W433" s="4" t="str">
        <f t="shared" si="8"/>
        <v>Distance/Location</v>
      </c>
      <c r="X433" s="4" t="str">
        <f t="shared" si="4"/>
        <v>mww</v>
      </c>
      <c r="Y433" s="4">
        <f t="shared" si="5"/>
        <v>1</v>
      </c>
      <c r="Z433" s="4" t="str">
        <f t="shared" si="6"/>
        <v>Unique</v>
      </c>
      <c r="AA433" s="4" t="str">
        <f t="shared" si="7"/>
        <v>Valid</v>
      </c>
    </row>
    <row r="434">
      <c r="A434" s="3" t="s">
        <v>1108</v>
      </c>
      <c r="B434" s="3">
        <v>6.6</v>
      </c>
      <c r="C434" s="3" t="s">
        <v>1109</v>
      </c>
      <c r="D434" s="3">
        <v>8.0</v>
      </c>
      <c r="E434" s="3">
        <v>8.0</v>
      </c>
      <c r="F434" s="3" t="s">
        <v>198</v>
      </c>
      <c r="G434" s="3">
        <v>0.0</v>
      </c>
      <c r="H434" s="3">
        <v>2083.0</v>
      </c>
      <c r="I434" s="3" t="s">
        <v>110</v>
      </c>
      <c r="J434" s="3">
        <v>548.0</v>
      </c>
      <c r="K434" s="3">
        <v>0.0</v>
      </c>
      <c r="L434" s="3">
        <v>12.6</v>
      </c>
      <c r="M434" s="3" t="s">
        <v>111</v>
      </c>
      <c r="N434" s="3">
        <v>14.0</v>
      </c>
      <c r="O434" s="3">
        <v>30.308</v>
      </c>
      <c r="P434" s="3">
        <v>102.888</v>
      </c>
      <c r="Q434" s="3" t="s">
        <v>1110</v>
      </c>
      <c r="R434" s="3" t="s">
        <v>164</v>
      </c>
      <c r="S434" s="3" t="s">
        <v>251</v>
      </c>
      <c r="T434" s="16">
        <f t="shared" si="1"/>
        <v>41384.00139</v>
      </c>
      <c r="U434" s="4" t="b">
        <f t="shared" si="2"/>
        <v>1</v>
      </c>
      <c r="V434" s="4" t="b">
        <f t="shared" si="3"/>
        <v>0</v>
      </c>
      <c r="W434" s="4" t="str">
        <f t="shared" si="8"/>
        <v>Distance/Location</v>
      </c>
      <c r="X434" s="4" t="str">
        <f t="shared" si="4"/>
        <v>mww</v>
      </c>
      <c r="Y434" s="4">
        <f t="shared" si="5"/>
        <v>1</v>
      </c>
      <c r="Z434" s="4" t="str">
        <f t="shared" si="6"/>
        <v>Unique</v>
      </c>
      <c r="AA434" s="4" t="str">
        <f t="shared" si="7"/>
        <v>Valid</v>
      </c>
    </row>
    <row r="435">
      <c r="A435" s="3" t="s">
        <v>1111</v>
      </c>
      <c r="B435" s="3">
        <v>7.2</v>
      </c>
      <c r="C435" s="3" t="s">
        <v>1112</v>
      </c>
      <c r="D435" s="3">
        <v>5.0</v>
      </c>
      <c r="E435" s="3">
        <v>7.0</v>
      </c>
      <c r="F435" s="3" t="s">
        <v>109</v>
      </c>
      <c r="G435" s="3">
        <v>1.0</v>
      </c>
      <c r="H435" s="3">
        <v>804.0</v>
      </c>
      <c r="I435" s="3" t="s">
        <v>110</v>
      </c>
      <c r="J435" s="3">
        <v>770.0</v>
      </c>
      <c r="K435" s="3">
        <v>0.0</v>
      </c>
      <c r="L435" s="3">
        <v>10.1</v>
      </c>
      <c r="M435" s="3" t="s">
        <v>111</v>
      </c>
      <c r="N435" s="3">
        <v>110.0</v>
      </c>
      <c r="O435" s="3">
        <v>46.221</v>
      </c>
      <c r="P435" s="3">
        <v>150.788</v>
      </c>
      <c r="Q435" s="3" t="s">
        <v>463</v>
      </c>
      <c r="R435" s="3" t="s">
        <v>164</v>
      </c>
      <c r="S435" s="3" t="s">
        <v>464</v>
      </c>
      <c r="T435" s="16">
        <f t="shared" si="1"/>
        <v>41383.12847</v>
      </c>
      <c r="U435" s="4" t="b">
        <f t="shared" si="2"/>
        <v>1</v>
      </c>
      <c r="V435" s="4" t="b">
        <f t="shared" si="3"/>
        <v>0</v>
      </c>
      <c r="W435" s="4" t="str">
        <f t="shared" si="8"/>
        <v>Distance/Location</v>
      </c>
      <c r="X435" s="4" t="str">
        <f t="shared" si="4"/>
        <v>mww</v>
      </c>
      <c r="Y435" s="4">
        <f t="shared" si="5"/>
        <v>1</v>
      </c>
      <c r="Z435" s="4" t="str">
        <f t="shared" si="6"/>
        <v>Unique</v>
      </c>
      <c r="AA435" s="4" t="str">
        <f t="shared" si="7"/>
        <v>Valid</v>
      </c>
    </row>
    <row r="436">
      <c r="A436" s="3" t="s">
        <v>1113</v>
      </c>
      <c r="B436" s="3">
        <v>6.6</v>
      </c>
      <c r="C436" s="3" t="s">
        <v>1114</v>
      </c>
      <c r="D436" s="3">
        <v>7.0</v>
      </c>
      <c r="E436" s="3">
        <v>7.0</v>
      </c>
      <c r="F436" s="3" t="s">
        <v>109</v>
      </c>
      <c r="G436" s="3">
        <v>1.0</v>
      </c>
      <c r="H436" s="3">
        <v>672.0</v>
      </c>
      <c r="I436" s="3" t="s">
        <v>110</v>
      </c>
      <c r="J436" s="3">
        <v>445.0</v>
      </c>
      <c r="K436" s="3">
        <v>0.0</v>
      </c>
      <c r="L436" s="3">
        <v>11.0</v>
      </c>
      <c r="M436" s="3" t="s">
        <v>111</v>
      </c>
      <c r="N436" s="3">
        <v>13.0</v>
      </c>
      <c r="O436" s="3">
        <v>-3.214</v>
      </c>
      <c r="P436" s="3">
        <v>142.542</v>
      </c>
      <c r="Q436" s="3" t="s">
        <v>1115</v>
      </c>
      <c r="R436" s="4"/>
      <c r="S436" s="3" t="s">
        <v>168</v>
      </c>
      <c r="T436" s="16">
        <f t="shared" si="1"/>
        <v>41380.95486</v>
      </c>
      <c r="U436" s="4" t="b">
        <f t="shared" si="2"/>
        <v>1</v>
      </c>
      <c r="V436" s="4" t="b">
        <f t="shared" si="3"/>
        <v>0</v>
      </c>
      <c r="W436" s="4" t="str">
        <f t="shared" si="8"/>
        <v>Distance/Location</v>
      </c>
      <c r="X436" s="4" t="str">
        <f t="shared" si="4"/>
        <v>mww</v>
      </c>
      <c r="Y436" s="4">
        <f t="shared" si="5"/>
        <v>1</v>
      </c>
      <c r="Z436" s="4" t="str">
        <f t="shared" si="6"/>
        <v>Unique</v>
      </c>
      <c r="AA436" s="4" t="str">
        <f t="shared" si="7"/>
        <v>Valid</v>
      </c>
    </row>
    <row r="437">
      <c r="A437" s="3" t="s">
        <v>1116</v>
      </c>
      <c r="B437" s="3">
        <v>7.7</v>
      </c>
      <c r="C437" s="3" t="s">
        <v>1117</v>
      </c>
      <c r="D437" s="3">
        <v>8.0</v>
      </c>
      <c r="E437" s="3">
        <v>8.0</v>
      </c>
      <c r="F437" s="3" t="s">
        <v>116</v>
      </c>
      <c r="G437" s="3">
        <v>0.0</v>
      </c>
      <c r="H437" s="3">
        <v>1421.0</v>
      </c>
      <c r="I437" s="3" t="s">
        <v>110</v>
      </c>
      <c r="J437" s="3">
        <v>506.0</v>
      </c>
      <c r="K437" s="3">
        <v>0.0</v>
      </c>
      <c r="L437" s="3">
        <v>26.6</v>
      </c>
      <c r="M437" s="3" t="s">
        <v>111</v>
      </c>
      <c r="N437" s="3">
        <v>80.0</v>
      </c>
      <c r="O437" s="3">
        <v>28.033</v>
      </c>
      <c r="P437" s="3">
        <v>61.996</v>
      </c>
      <c r="Q437" s="3" t="s">
        <v>1118</v>
      </c>
      <c r="R437" s="3" t="s">
        <v>164</v>
      </c>
      <c r="S437" s="3" t="s">
        <v>665</v>
      </c>
      <c r="T437" s="16">
        <f t="shared" si="1"/>
        <v>41380.44722</v>
      </c>
      <c r="U437" s="4" t="b">
        <f t="shared" si="2"/>
        <v>1</v>
      </c>
      <c r="V437" s="4" t="b">
        <f t="shared" si="3"/>
        <v>0</v>
      </c>
      <c r="W437" s="4" t="str">
        <f t="shared" si="8"/>
        <v>Distance/Location</v>
      </c>
      <c r="X437" s="4" t="str">
        <f t="shared" si="4"/>
        <v>mww</v>
      </c>
      <c r="Y437" s="4">
        <f t="shared" si="5"/>
        <v>1</v>
      </c>
      <c r="Z437" s="4" t="str">
        <f t="shared" si="6"/>
        <v>Unique</v>
      </c>
      <c r="AA437" s="4" t="str">
        <f t="shared" si="7"/>
        <v>Valid</v>
      </c>
    </row>
    <row r="438">
      <c r="A438" s="3" t="s">
        <v>1119</v>
      </c>
      <c r="B438" s="3">
        <v>6.6</v>
      </c>
      <c r="C438" s="3" t="s">
        <v>1120</v>
      </c>
      <c r="D438" s="3">
        <v>0.0</v>
      </c>
      <c r="E438" s="3">
        <v>5.0</v>
      </c>
      <c r="F438" s="3" t="s">
        <v>109</v>
      </c>
      <c r="G438" s="3">
        <v>1.0</v>
      </c>
      <c r="H438" s="3">
        <v>670.0</v>
      </c>
      <c r="I438" s="3" t="s">
        <v>110</v>
      </c>
      <c r="J438" s="3">
        <v>491.0</v>
      </c>
      <c r="K438" s="3">
        <v>0.0</v>
      </c>
      <c r="L438" s="3">
        <v>11.5</v>
      </c>
      <c r="M438" s="3" t="s">
        <v>111</v>
      </c>
      <c r="N438" s="3">
        <v>31.0</v>
      </c>
      <c r="O438" s="3">
        <v>-6.475</v>
      </c>
      <c r="P438" s="3">
        <v>154.607</v>
      </c>
      <c r="Q438" s="3" t="s">
        <v>728</v>
      </c>
      <c r="R438" s="4"/>
      <c r="S438" s="4"/>
      <c r="T438" s="16">
        <f t="shared" si="1"/>
        <v>41378.06389</v>
      </c>
      <c r="U438" s="4" t="b">
        <f t="shared" si="2"/>
        <v>1</v>
      </c>
      <c r="V438" s="4" t="b">
        <f t="shared" si="3"/>
        <v>0</v>
      </c>
      <c r="W438" s="4" t="str">
        <f t="shared" si="8"/>
        <v>Distance/Location</v>
      </c>
      <c r="X438" s="4" t="str">
        <f t="shared" si="4"/>
        <v>mww</v>
      </c>
      <c r="Y438" s="4">
        <f t="shared" si="5"/>
        <v>1</v>
      </c>
      <c r="Z438" s="4" t="str">
        <f t="shared" si="6"/>
        <v>Unique</v>
      </c>
      <c r="AA438" s="4" t="str">
        <f t="shared" si="7"/>
        <v>Valid</v>
      </c>
    </row>
    <row r="439">
      <c r="A439" s="3" t="s">
        <v>1121</v>
      </c>
      <c r="B439" s="3">
        <v>7.0</v>
      </c>
      <c r="C439" s="17">
        <v>41429.19583333333</v>
      </c>
      <c r="D439" s="3">
        <v>3.0</v>
      </c>
      <c r="E439" s="3">
        <v>7.0</v>
      </c>
      <c r="F439" s="3" t="s">
        <v>109</v>
      </c>
      <c r="G439" s="3">
        <v>1.0</v>
      </c>
      <c r="H439" s="3">
        <v>755.0</v>
      </c>
      <c r="I439" s="3" t="s">
        <v>110</v>
      </c>
      <c r="J439" s="3">
        <v>640.0</v>
      </c>
      <c r="K439" s="3">
        <v>0.0</v>
      </c>
      <c r="L439" s="3">
        <v>11.4</v>
      </c>
      <c r="M439" s="3" t="s">
        <v>111</v>
      </c>
      <c r="N439" s="3">
        <v>66.0</v>
      </c>
      <c r="O439" s="3">
        <v>-3.517</v>
      </c>
      <c r="P439" s="3">
        <v>138.476</v>
      </c>
      <c r="Q439" s="3" t="s">
        <v>892</v>
      </c>
      <c r="R439" s="4"/>
      <c r="S439" s="3" t="s">
        <v>153</v>
      </c>
      <c r="T439" s="16">
        <f t="shared" si="1"/>
        <v>41370.19583</v>
      </c>
      <c r="U439" s="4" t="b">
        <f t="shared" si="2"/>
        <v>1</v>
      </c>
      <c r="V439" s="4" t="b">
        <f t="shared" si="3"/>
        <v>1</v>
      </c>
      <c r="W439" s="4" t="str">
        <f t="shared" si="8"/>
        <v>Distance/Location</v>
      </c>
      <c r="X439" s="4" t="str">
        <f t="shared" si="4"/>
        <v>mww</v>
      </c>
      <c r="Y439" s="4">
        <f t="shared" si="5"/>
        <v>1</v>
      </c>
      <c r="Z439" s="4" t="str">
        <f t="shared" si="6"/>
        <v>Unique</v>
      </c>
      <c r="AA439" s="4" t="str">
        <f t="shared" si="7"/>
        <v>Valid</v>
      </c>
    </row>
    <row r="440">
      <c r="A440" s="3" t="s">
        <v>1122</v>
      </c>
      <c r="B440" s="3">
        <v>6.5</v>
      </c>
      <c r="C440" s="17">
        <v>41550.95208333333</v>
      </c>
      <c r="D440" s="3">
        <v>0.0</v>
      </c>
      <c r="E440" s="3">
        <v>6.0</v>
      </c>
      <c r="F440" s="3" t="s">
        <v>109</v>
      </c>
      <c r="G440" s="3">
        <v>1.0</v>
      </c>
      <c r="H440" s="3">
        <v>650.0</v>
      </c>
      <c r="I440" s="3" t="s">
        <v>110</v>
      </c>
      <c r="J440" s="3">
        <v>317.0</v>
      </c>
      <c r="K440" s="3">
        <v>0.0</v>
      </c>
      <c r="L440" s="3">
        <v>14.2</v>
      </c>
      <c r="M440" s="3" t="s">
        <v>111</v>
      </c>
      <c r="N440" s="3">
        <v>28.0</v>
      </c>
      <c r="O440" s="3">
        <v>-6.598</v>
      </c>
      <c r="P440" s="3">
        <v>148.174</v>
      </c>
      <c r="Q440" s="3" t="s">
        <v>965</v>
      </c>
      <c r="R440" s="4"/>
      <c r="S440" s="3" t="s">
        <v>168</v>
      </c>
      <c r="T440" s="16">
        <f t="shared" si="1"/>
        <v>41343.95208</v>
      </c>
      <c r="U440" s="4" t="b">
        <f t="shared" si="2"/>
        <v>1</v>
      </c>
      <c r="V440" s="4" t="b">
        <f t="shared" si="3"/>
        <v>1</v>
      </c>
      <c r="W440" s="4" t="str">
        <f t="shared" si="8"/>
        <v>Distance/Location</v>
      </c>
      <c r="X440" s="4" t="str">
        <f t="shared" si="4"/>
        <v>mww</v>
      </c>
      <c r="Y440" s="4">
        <f t="shared" si="5"/>
        <v>1</v>
      </c>
      <c r="Z440" s="4" t="str">
        <f t="shared" si="6"/>
        <v>Unique</v>
      </c>
      <c r="AA440" s="4" t="str">
        <f t="shared" si="7"/>
        <v>Valid</v>
      </c>
    </row>
    <row r="441">
      <c r="A441" s="3" t="s">
        <v>1123</v>
      </c>
      <c r="B441" s="3">
        <v>6.5</v>
      </c>
      <c r="C441" s="17">
        <v>41277.555555555555</v>
      </c>
      <c r="D441" s="3">
        <v>3.0</v>
      </c>
      <c r="E441" s="3">
        <v>6.0</v>
      </c>
      <c r="F441" s="3" t="s">
        <v>109</v>
      </c>
      <c r="G441" s="3">
        <v>0.0</v>
      </c>
      <c r="H441" s="3">
        <v>651.0</v>
      </c>
      <c r="I441" s="3" t="s">
        <v>110</v>
      </c>
      <c r="J441" s="3">
        <v>480.0</v>
      </c>
      <c r="K441" s="3">
        <v>0.0</v>
      </c>
      <c r="L441" s="3">
        <v>20.7</v>
      </c>
      <c r="M441" s="3" t="s">
        <v>111</v>
      </c>
      <c r="N441" s="3">
        <v>29.0</v>
      </c>
      <c r="O441" s="3">
        <v>50.958</v>
      </c>
      <c r="P441" s="3">
        <v>157.408</v>
      </c>
      <c r="Q441" s="3" t="s">
        <v>583</v>
      </c>
      <c r="R441" s="3" t="s">
        <v>164</v>
      </c>
      <c r="S441" s="4"/>
      <c r="T441" s="16">
        <f t="shared" si="1"/>
        <v>41334.55556</v>
      </c>
      <c r="U441" s="4" t="b">
        <f t="shared" si="2"/>
        <v>1</v>
      </c>
      <c r="V441" s="4" t="b">
        <f t="shared" si="3"/>
        <v>1</v>
      </c>
      <c r="W441" s="4" t="str">
        <f t="shared" si="8"/>
        <v>Distance/Location</v>
      </c>
      <c r="X441" s="4" t="str">
        <f t="shared" si="4"/>
        <v>mww</v>
      </c>
      <c r="Y441" s="4">
        <f t="shared" si="5"/>
        <v>1</v>
      </c>
      <c r="Z441" s="4" t="str">
        <f t="shared" si="6"/>
        <v>Unique</v>
      </c>
      <c r="AA441" s="4" t="str">
        <f t="shared" si="7"/>
        <v>Valid</v>
      </c>
    </row>
    <row r="442">
      <c r="A442" s="3" t="s">
        <v>1124</v>
      </c>
      <c r="B442" s="3">
        <v>6.9</v>
      </c>
      <c r="C442" s="3" t="s">
        <v>1125</v>
      </c>
      <c r="D442" s="3">
        <v>5.0</v>
      </c>
      <c r="E442" s="3">
        <v>6.0</v>
      </c>
      <c r="F442" s="3" t="s">
        <v>109</v>
      </c>
      <c r="G442" s="3">
        <v>1.0</v>
      </c>
      <c r="H442" s="3">
        <v>736.0</v>
      </c>
      <c r="I442" s="3" t="s">
        <v>110</v>
      </c>
      <c r="J442" s="3">
        <v>531.0</v>
      </c>
      <c r="K442" s="3">
        <v>0.0</v>
      </c>
      <c r="L442" s="3">
        <v>20.7</v>
      </c>
      <c r="M442" s="3" t="s">
        <v>111</v>
      </c>
      <c r="N442" s="3">
        <v>41.0</v>
      </c>
      <c r="O442" s="3">
        <v>50.954</v>
      </c>
      <c r="P442" s="3">
        <v>157.283</v>
      </c>
      <c r="Q442" s="3" t="s">
        <v>583</v>
      </c>
      <c r="R442" s="3" t="s">
        <v>164</v>
      </c>
      <c r="S442" s="4"/>
      <c r="T442" s="16">
        <f t="shared" si="1"/>
        <v>41333.58681</v>
      </c>
      <c r="U442" s="4" t="b">
        <f t="shared" si="2"/>
        <v>1</v>
      </c>
      <c r="V442" s="4" t="b">
        <f t="shared" si="3"/>
        <v>0</v>
      </c>
      <c r="W442" s="4" t="str">
        <f t="shared" si="8"/>
        <v>Distance/Location</v>
      </c>
      <c r="X442" s="4" t="str">
        <f t="shared" si="4"/>
        <v>mww</v>
      </c>
      <c r="Y442" s="4">
        <f t="shared" si="5"/>
        <v>1</v>
      </c>
      <c r="Z442" s="4" t="str">
        <f t="shared" si="6"/>
        <v>Unique</v>
      </c>
      <c r="AA442" s="4" t="str">
        <f t="shared" si="7"/>
        <v>Valid</v>
      </c>
    </row>
    <row r="443">
      <c r="A443" s="3" t="s">
        <v>1126</v>
      </c>
      <c r="B443" s="3">
        <v>6.6</v>
      </c>
      <c r="C443" s="3" t="s">
        <v>1127</v>
      </c>
      <c r="D443" s="3">
        <v>0.0</v>
      </c>
      <c r="E443" s="3">
        <v>7.0</v>
      </c>
      <c r="F443" s="3" t="s">
        <v>109</v>
      </c>
      <c r="G443" s="3">
        <v>1.0</v>
      </c>
      <c r="H443" s="3">
        <v>670.0</v>
      </c>
      <c r="I443" s="3" t="s">
        <v>110</v>
      </c>
      <c r="J443" s="3">
        <v>697.0</v>
      </c>
      <c r="K443" s="3">
        <v>0.0</v>
      </c>
      <c r="L443" s="3">
        <v>15.3</v>
      </c>
      <c r="M443" s="3" t="s">
        <v>111</v>
      </c>
      <c r="N443" s="3">
        <v>11.0</v>
      </c>
      <c r="O443" s="3">
        <v>67.631</v>
      </c>
      <c r="P443" s="3">
        <v>142.508</v>
      </c>
      <c r="Q443" s="3" t="s">
        <v>1128</v>
      </c>
      <c r="R443" s="3" t="s">
        <v>164</v>
      </c>
      <c r="S443" s="3" t="s">
        <v>464</v>
      </c>
      <c r="T443" s="16">
        <f t="shared" si="1"/>
        <v>41319.55069</v>
      </c>
      <c r="U443" s="4" t="b">
        <f t="shared" si="2"/>
        <v>1</v>
      </c>
      <c r="V443" s="4" t="b">
        <f t="shared" si="3"/>
        <v>0</v>
      </c>
      <c r="W443" s="4" t="str">
        <f t="shared" si="8"/>
        <v>Distance/Location</v>
      </c>
      <c r="X443" s="4" t="str">
        <f t="shared" si="4"/>
        <v>mww</v>
      </c>
      <c r="Y443" s="4">
        <f t="shared" si="5"/>
        <v>1</v>
      </c>
      <c r="Z443" s="4" t="str">
        <f t="shared" si="6"/>
        <v>Unique</v>
      </c>
      <c r="AA443" s="4" t="str">
        <f t="shared" si="7"/>
        <v>Valid</v>
      </c>
    </row>
    <row r="444">
      <c r="A444" s="3" t="s">
        <v>1129</v>
      </c>
      <c r="B444" s="3">
        <v>6.6</v>
      </c>
      <c r="C444" s="17">
        <v>41519.876388888886</v>
      </c>
      <c r="D444" s="3">
        <v>0.0</v>
      </c>
      <c r="E444" s="3">
        <v>6.0</v>
      </c>
      <c r="F444" s="3" t="s">
        <v>109</v>
      </c>
      <c r="G444" s="3">
        <v>1.0</v>
      </c>
      <c r="H444" s="3">
        <v>670.0</v>
      </c>
      <c r="I444" s="3" t="s">
        <v>110</v>
      </c>
      <c r="J444" s="3">
        <v>421.0</v>
      </c>
      <c r="K444" s="3">
        <v>0.0</v>
      </c>
      <c r="L444" s="3">
        <v>16.6</v>
      </c>
      <c r="M444" s="3" t="s">
        <v>111</v>
      </c>
      <c r="N444" s="3">
        <v>18.0</v>
      </c>
      <c r="O444" s="3">
        <v>-10.994</v>
      </c>
      <c r="P444" s="3">
        <v>165.741</v>
      </c>
      <c r="Q444" s="3" t="s">
        <v>450</v>
      </c>
      <c r="R444" s="4"/>
      <c r="S444" s="3" t="s">
        <v>214</v>
      </c>
      <c r="T444" s="16">
        <f t="shared" si="1"/>
        <v>41314.87639</v>
      </c>
      <c r="U444" s="4" t="b">
        <f t="shared" si="2"/>
        <v>1</v>
      </c>
      <c r="V444" s="4" t="b">
        <f t="shared" si="3"/>
        <v>1</v>
      </c>
      <c r="W444" s="4" t="str">
        <f t="shared" si="8"/>
        <v>Distance/Location</v>
      </c>
      <c r="X444" s="4" t="str">
        <f t="shared" si="4"/>
        <v>mww</v>
      </c>
      <c r="Y444" s="4">
        <f t="shared" si="5"/>
        <v>1</v>
      </c>
      <c r="Z444" s="4" t="str">
        <f t="shared" si="6"/>
        <v>Unique</v>
      </c>
      <c r="AA444" s="4" t="str">
        <f t="shared" si="7"/>
        <v>Valid</v>
      </c>
    </row>
    <row r="445">
      <c r="A445" s="3" t="s">
        <v>1130</v>
      </c>
      <c r="B445" s="3">
        <v>6.9</v>
      </c>
      <c r="C445" s="17">
        <v>41519.59444444445</v>
      </c>
      <c r="D445" s="3">
        <v>5.0</v>
      </c>
      <c r="E445" s="3">
        <v>5.0</v>
      </c>
      <c r="F445" s="3" t="s">
        <v>109</v>
      </c>
      <c r="G445" s="3">
        <v>1.0</v>
      </c>
      <c r="H445" s="3">
        <v>904.0</v>
      </c>
      <c r="I445" s="3" t="s">
        <v>110</v>
      </c>
      <c r="J445" s="3">
        <v>562.0</v>
      </c>
      <c r="K445" s="3">
        <v>0.0</v>
      </c>
      <c r="L445" s="3">
        <v>23.7</v>
      </c>
      <c r="M445" s="3" t="s">
        <v>111</v>
      </c>
      <c r="N445" s="3">
        <v>145.0</v>
      </c>
      <c r="O445" s="3">
        <v>1.135</v>
      </c>
      <c r="P445" s="3">
        <v>-77.393</v>
      </c>
      <c r="Q445" s="3" t="s">
        <v>1131</v>
      </c>
      <c r="R445" s="3" t="s">
        <v>121</v>
      </c>
      <c r="S445" s="3" t="s">
        <v>140</v>
      </c>
      <c r="T445" s="16">
        <f t="shared" si="1"/>
        <v>41314.59444</v>
      </c>
      <c r="U445" s="4" t="b">
        <f t="shared" si="2"/>
        <v>1</v>
      </c>
      <c r="V445" s="4" t="b">
        <f t="shared" si="3"/>
        <v>1</v>
      </c>
      <c r="W445" s="4" t="str">
        <f t="shared" si="8"/>
        <v>Distance/Location</v>
      </c>
      <c r="X445" s="4" t="str">
        <f t="shared" si="4"/>
        <v>mww</v>
      </c>
      <c r="Y445" s="4">
        <f t="shared" si="5"/>
        <v>1</v>
      </c>
      <c r="Z445" s="4" t="str">
        <f t="shared" si="6"/>
        <v>Unique</v>
      </c>
      <c r="AA445" s="4" t="str">
        <f t="shared" si="7"/>
        <v>Valid</v>
      </c>
    </row>
    <row r="446">
      <c r="A446" s="3" t="s">
        <v>1132</v>
      </c>
      <c r="B446" s="3">
        <v>7.1</v>
      </c>
      <c r="C446" s="17">
        <v>41488.643055555556</v>
      </c>
      <c r="D446" s="3">
        <v>9.0</v>
      </c>
      <c r="E446" s="3">
        <v>6.0</v>
      </c>
      <c r="F446" s="3" t="s">
        <v>109</v>
      </c>
      <c r="G446" s="3">
        <v>1.0</v>
      </c>
      <c r="H446" s="3">
        <v>780.0</v>
      </c>
      <c r="I446" s="3" t="s">
        <v>110</v>
      </c>
      <c r="J446" s="3">
        <v>334.0</v>
      </c>
      <c r="K446" s="3">
        <v>0.0</v>
      </c>
      <c r="L446" s="3">
        <v>16.5</v>
      </c>
      <c r="M446" s="3" t="s">
        <v>111</v>
      </c>
      <c r="N446" s="3">
        <v>21.0</v>
      </c>
      <c r="O446" s="3">
        <v>-10.928</v>
      </c>
      <c r="P446" s="3">
        <v>166.018</v>
      </c>
      <c r="Q446" s="3" t="s">
        <v>450</v>
      </c>
      <c r="R446" s="4"/>
      <c r="S446" s="3" t="s">
        <v>214</v>
      </c>
      <c r="T446" s="16">
        <f t="shared" si="1"/>
        <v>41313.64306</v>
      </c>
      <c r="U446" s="4" t="b">
        <f t="shared" si="2"/>
        <v>1</v>
      </c>
      <c r="V446" s="4" t="b">
        <f t="shared" si="3"/>
        <v>1</v>
      </c>
      <c r="W446" s="4" t="str">
        <f t="shared" si="8"/>
        <v>Distance/Location</v>
      </c>
      <c r="X446" s="4" t="str">
        <f t="shared" si="4"/>
        <v>mww</v>
      </c>
      <c r="Y446" s="4">
        <f t="shared" si="5"/>
        <v>1</v>
      </c>
      <c r="Z446" s="4" t="str">
        <f t="shared" si="6"/>
        <v>Unique</v>
      </c>
      <c r="AA446" s="4" t="str">
        <f t="shared" si="7"/>
        <v>Valid</v>
      </c>
    </row>
    <row r="447">
      <c r="A447" s="3" t="s">
        <v>1133</v>
      </c>
      <c r="B447" s="3">
        <v>6.8</v>
      </c>
      <c r="C447" s="17">
        <v>41488.46666666667</v>
      </c>
      <c r="D447" s="3">
        <v>0.0</v>
      </c>
      <c r="E447" s="3">
        <v>7.0</v>
      </c>
      <c r="F447" s="3" t="s">
        <v>109</v>
      </c>
      <c r="G447" s="3">
        <v>1.0</v>
      </c>
      <c r="H447" s="3">
        <v>711.0</v>
      </c>
      <c r="I447" s="3" t="s">
        <v>110</v>
      </c>
      <c r="J447" s="3">
        <v>400.0</v>
      </c>
      <c r="K447" s="3">
        <v>0.0</v>
      </c>
      <c r="L447" s="3">
        <v>17.5</v>
      </c>
      <c r="M447" s="3" t="s">
        <v>111</v>
      </c>
      <c r="N447" s="3">
        <v>12.0</v>
      </c>
      <c r="O447" s="3">
        <v>-10.838</v>
      </c>
      <c r="P447" s="3">
        <v>165.969</v>
      </c>
      <c r="Q447" s="3" t="s">
        <v>450</v>
      </c>
      <c r="R447" s="4"/>
      <c r="S447" s="3" t="s">
        <v>214</v>
      </c>
      <c r="T447" s="16">
        <f t="shared" si="1"/>
        <v>41313.46667</v>
      </c>
      <c r="U447" s="4" t="b">
        <f t="shared" si="2"/>
        <v>1</v>
      </c>
      <c r="V447" s="4" t="b">
        <f t="shared" si="3"/>
        <v>1</v>
      </c>
      <c r="W447" s="4" t="str">
        <f t="shared" si="8"/>
        <v>Distance/Location</v>
      </c>
      <c r="X447" s="4" t="str">
        <f t="shared" si="4"/>
        <v>mww</v>
      </c>
      <c r="Y447" s="4">
        <f t="shared" si="5"/>
        <v>1</v>
      </c>
      <c r="Z447" s="4" t="str">
        <f t="shared" si="6"/>
        <v>Unique</v>
      </c>
      <c r="AA447" s="4" t="str">
        <f t="shared" si="7"/>
        <v>Valid</v>
      </c>
    </row>
    <row r="448">
      <c r="A448" s="3" t="s">
        <v>1134</v>
      </c>
      <c r="B448" s="3">
        <v>6.7</v>
      </c>
      <c r="C448" s="17">
        <v>41457.790972222225</v>
      </c>
      <c r="D448" s="3">
        <v>0.0</v>
      </c>
      <c r="E448" s="3">
        <v>6.0</v>
      </c>
      <c r="F448" s="3" t="s">
        <v>109</v>
      </c>
      <c r="G448" s="3">
        <v>1.0</v>
      </c>
      <c r="H448" s="3">
        <v>691.0</v>
      </c>
      <c r="I448" s="3" t="s">
        <v>110</v>
      </c>
      <c r="J448" s="3">
        <v>387.0</v>
      </c>
      <c r="K448" s="3">
        <v>0.0</v>
      </c>
      <c r="L448" s="3">
        <v>26.5</v>
      </c>
      <c r="M448" s="3" t="s">
        <v>111</v>
      </c>
      <c r="N448" s="3">
        <v>11.0</v>
      </c>
      <c r="O448" s="3">
        <v>-10.997</v>
      </c>
      <c r="P448" s="3">
        <v>165.655</v>
      </c>
      <c r="Q448" s="3" t="s">
        <v>450</v>
      </c>
      <c r="R448" s="4"/>
      <c r="S448" s="3" t="s">
        <v>214</v>
      </c>
      <c r="T448" s="16">
        <f t="shared" si="1"/>
        <v>41312.79097</v>
      </c>
      <c r="U448" s="4" t="b">
        <f t="shared" si="2"/>
        <v>1</v>
      </c>
      <c r="V448" s="4" t="b">
        <f t="shared" si="3"/>
        <v>1</v>
      </c>
      <c r="W448" s="4" t="str">
        <f t="shared" si="8"/>
        <v>Distance/Location</v>
      </c>
      <c r="X448" s="4" t="str">
        <f t="shared" si="4"/>
        <v>mww</v>
      </c>
      <c r="Y448" s="4">
        <f t="shared" si="5"/>
        <v>1</v>
      </c>
      <c r="Z448" s="4" t="str">
        <f t="shared" si="6"/>
        <v>Unique</v>
      </c>
      <c r="AA448" s="4" t="str">
        <f t="shared" si="7"/>
        <v>Valid</v>
      </c>
    </row>
    <row r="449">
      <c r="A449" s="3" t="s">
        <v>1135</v>
      </c>
      <c r="B449" s="3">
        <v>7.0</v>
      </c>
      <c r="C449" s="17">
        <v>41427.07916666667</v>
      </c>
      <c r="D449" s="3">
        <v>0.0</v>
      </c>
      <c r="E449" s="3">
        <v>6.0</v>
      </c>
      <c r="F449" s="3" t="s">
        <v>109</v>
      </c>
      <c r="G449" s="3">
        <v>0.0</v>
      </c>
      <c r="H449" s="3">
        <v>754.0</v>
      </c>
      <c r="I449" s="3" t="s">
        <v>110</v>
      </c>
      <c r="J449" s="3">
        <v>445.0</v>
      </c>
      <c r="K449" s="3">
        <v>0.0</v>
      </c>
      <c r="L449" s="3">
        <v>17.5</v>
      </c>
      <c r="M449" s="3" t="s">
        <v>111</v>
      </c>
      <c r="N449" s="3">
        <v>8.8</v>
      </c>
      <c r="O449" s="3">
        <v>-10.499</v>
      </c>
      <c r="P449" s="3">
        <v>165.588</v>
      </c>
      <c r="Q449" s="3" t="s">
        <v>450</v>
      </c>
      <c r="R449" s="4"/>
      <c r="S449" s="3" t="s">
        <v>214</v>
      </c>
      <c r="T449" s="16">
        <f t="shared" si="1"/>
        <v>41311.07917</v>
      </c>
      <c r="U449" s="4" t="b">
        <f t="shared" si="2"/>
        <v>1</v>
      </c>
      <c r="V449" s="4" t="b">
        <f t="shared" si="3"/>
        <v>1</v>
      </c>
      <c r="W449" s="4" t="str">
        <f t="shared" si="8"/>
        <v>Distance/Location</v>
      </c>
      <c r="X449" s="4" t="str">
        <f t="shared" si="4"/>
        <v>mww</v>
      </c>
      <c r="Y449" s="4">
        <f t="shared" si="5"/>
        <v>1</v>
      </c>
      <c r="Z449" s="4" t="str">
        <f t="shared" si="6"/>
        <v>Unique</v>
      </c>
      <c r="AA449" s="4" t="str">
        <f t="shared" si="7"/>
        <v>Valid</v>
      </c>
    </row>
    <row r="450">
      <c r="A450" s="3" t="s">
        <v>1136</v>
      </c>
      <c r="B450" s="3">
        <v>7.1</v>
      </c>
      <c r="C450" s="17">
        <v>41427.05763888889</v>
      </c>
      <c r="D450" s="3">
        <v>0.0</v>
      </c>
      <c r="E450" s="3">
        <v>5.0</v>
      </c>
      <c r="F450" s="3" t="s">
        <v>109</v>
      </c>
      <c r="G450" s="3">
        <v>0.0</v>
      </c>
      <c r="H450" s="3">
        <v>776.0</v>
      </c>
      <c r="I450" s="3" t="s">
        <v>110</v>
      </c>
      <c r="J450" s="3">
        <v>550.0</v>
      </c>
      <c r="K450" s="3">
        <v>0.0</v>
      </c>
      <c r="L450" s="3">
        <v>18.4</v>
      </c>
      <c r="M450" s="3" t="s">
        <v>111</v>
      </c>
      <c r="N450" s="3">
        <v>10.0</v>
      </c>
      <c r="O450" s="3">
        <v>-11.183</v>
      </c>
      <c r="P450" s="3">
        <v>164.882</v>
      </c>
      <c r="Q450" s="3" t="s">
        <v>450</v>
      </c>
      <c r="R450" s="4"/>
      <c r="S450" s="4"/>
      <c r="T450" s="16">
        <f t="shared" si="1"/>
        <v>41311.05764</v>
      </c>
      <c r="U450" s="4" t="b">
        <f t="shared" si="2"/>
        <v>1</v>
      </c>
      <c r="V450" s="4" t="b">
        <f t="shared" si="3"/>
        <v>1</v>
      </c>
      <c r="W450" s="4" t="str">
        <f t="shared" si="8"/>
        <v>Distance/Location</v>
      </c>
      <c r="X450" s="4" t="str">
        <f t="shared" si="4"/>
        <v>mww</v>
      </c>
      <c r="Y450" s="4">
        <f t="shared" si="5"/>
        <v>1</v>
      </c>
      <c r="Z450" s="4" t="str">
        <f t="shared" si="6"/>
        <v>Unique</v>
      </c>
      <c r="AA450" s="4" t="str">
        <f t="shared" si="7"/>
        <v>Valid</v>
      </c>
    </row>
    <row r="451">
      <c r="A451" s="3" t="s">
        <v>1137</v>
      </c>
      <c r="B451" s="3">
        <v>8.0</v>
      </c>
      <c r="C451" s="17">
        <v>41427.05</v>
      </c>
      <c r="D451" s="3">
        <v>8.0</v>
      </c>
      <c r="E451" s="3">
        <v>7.0</v>
      </c>
      <c r="F451" s="3" t="s">
        <v>109</v>
      </c>
      <c r="G451" s="3">
        <v>1.0</v>
      </c>
      <c r="H451" s="3">
        <v>993.0</v>
      </c>
      <c r="I451" s="3" t="s">
        <v>110</v>
      </c>
      <c r="J451" s="3">
        <v>460.0</v>
      </c>
      <c r="K451" s="3">
        <v>0.0</v>
      </c>
      <c r="L451" s="3">
        <v>20.9</v>
      </c>
      <c r="M451" s="3" t="s">
        <v>111</v>
      </c>
      <c r="N451" s="3">
        <v>24.0</v>
      </c>
      <c r="O451" s="3">
        <v>-10.799</v>
      </c>
      <c r="P451" s="3">
        <v>165.114</v>
      </c>
      <c r="Q451" s="3" t="s">
        <v>450</v>
      </c>
      <c r="R451" s="4"/>
      <c r="S451" s="4"/>
      <c r="T451" s="16">
        <f t="shared" si="1"/>
        <v>41311.05</v>
      </c>
      <c r="U451" s="4" t="b">
        <f t="shared" si="2"/>
        <v>1</v>
      </c>
      <c r="V451" s="4" t="b">
        <f t="shared" si="3"/>
        <v>1</v>
      </c>
      <c r="W451" s="4" t="str">
        <f t="shared" si="8"/>
        <v>Distance/Location</v>
      </c>
      <c r="X451" s="4" t="str">
        <f t="shared" si="4"/>
        <v>mww</v>
      </c>
      <c r="Y451" s="4">
        <f t="shared" si="5"/>
        <v>1</v>
      </c>
      <c r="Z451" s="4" t="str">
        <f t="shared" si="6"/>
        <v>Unique</v>
      </c>
      <c r="AA451" s="4" t="str">
        <f t="shared" si="7"/>
        <v>Valid</v>
      </c>
    </row>
    <row r="452">
      <c r="A452" s="3" t="s">
        <v>1138</v>
      </c>
      <c r="B452" s="3">
        <v>6.9</v>
      </c>
      <c r="C452" s="17">
        <v>41307.595138888886</v>
      </c>
      <c r="D452" s="3">
        <v>6.0</v>
      </c>
      <c r="E452" s="3">
        <v>7.0</v>
      </c>
      <c r="F452" s="3" t="s">
        <v>116</v>
      </c>
      <c r="G452" s="3">
        <v>0.0</v>
      </c>
      <c r="H452" s="3">
        <v>814.0</v>
      </c>
      <c r="I452" s="3" t="s">
        <v>110</v>
      </c>
      <c r="J452" s="3">
        <v>686.0</v>
      </c>
      <c r="K452" s="3">
        <v>0.0</v>
      </c>
      <c r="L452" s="3">
        <v>28.0</v>
      </c>
      <c r="M452" s="3" t="s">
        <v>111</v>
      </c>
      <c r="N452" s="3">
        <v>107.0</v>
      </c>
      <c r="O452" s="3">
        <v>42.77</v>
      </c>
      <c r="P452" s="3">
        <v>143.092</v>
      </c>
      <c r="Q452" s="3" t="s">
        <v>1139</v>
      </c>
      <c r="R452" s="3" t="s">
        <v>164</v>
      </c>
      <c r="S452" s="3" t="s">
        <v>371</v>
      </c>
      <c r="T452" s="16">
        <f t="shared" si="1"/>
        <v>41307.59514</v>
      </c>
      <c r="U452" s="4" t="b">
        <f t="shared" si="2"/>
        <v>1</v>
      </c>
      <c r="V452" s="4" t="b">
        <f t="shared" si="3"/>
        <v>1</v>
      </c>
      <c r="W452" s="4" t="str">
        <f t="shared" si="8"/>
        <v>Distance/Location</v>
      </c>
      <c r="X452" s="4" t="str">
        <f t="shared" si="4"/>
        <v>mww</v>
      </c>
      <c r="Y452" s="4">
        <f t="shared" si="5"/>
        <v>1</v>
      </c>
      <c r="Z452" s="4" t="str">
        <f t="shared" si="6"/>
        <v>Unique</v>
      </c>
      <c r="AA452" s="4" t="str">
        <f t="shared" si="7"/>
        <v>Valid</v>
      </c>
    </row>
    <row r="453">
      <c r="A453" s="3" t="s">
        <v>1140</v>
      </c>
      <c r="B453" s="3">
        <v>6.8</v>
      </c>
      <c r="C453" s="3" t="s">
        <v>1141</v>
      </c>
      <c r="D453" s="3">
        <v>6.0</v>
      </c>
      <c r="E453" s="3">
        <v>7.0</v>
      </c>
      <c r="F453" s="3" t="s">
        <v>109</v>
      </c>
      <c r="G453" s="3">
        <v>0.0</v>
      </c>
      <c r="H453" s="3">
        <v>771.0</v>
      </c>
      <c r="I453" s="3" t="s">
        <v>110</v>
      </c>
      <c r="J453" s="3">
        <v>596.0</v>
      </c>
      <c r="K453" s="3">
        <v>0.0</v>
      </c>
      <c r="L453" s="3">
        <v>19.3</v>
      </c>
      <c r="M453" s="3" t="s">
        <v>111</v>
      </c>
      <c r="N453" s="3">
        <v>45.0</v>
      </c>
      <c r="O453" s="3">
        <v>-28.094</v>
      </c>
      <c r="P453" s="3">
        <v>-70.653</v>
      </c>
      <c r="Q453" s="3" t="s">
        <v>412</v>
      </c>
      <c r="R453" s="3" t="s">
        <v>121</v>
      </c>
      <c r="S453" s="3" t="s">
        <v>414</v>
      </c>
      <c r="T453" s="16">
        <f t="shared" si="1"/>
        <v>41304.84375</v>
      </c>
      <c r="U453" s="4" t="b">
        <f t="shared" si="2"/>
        <v>1</v>
      </c>
      <c r="V453" s="4" t="b">
        <f t="shared" si="3"/>
        <v>0</v>
      </c>
      <c r="W453" s="4" t="str">
        <f t="shared" si="8"/>
        <v>Distance/Location</v>
      </c>
      <c r="X453" s="4" t="str">
        <f t="shared" si="4"/>
        <v>mww</v>
      </c>
      <c r="Y453" s="4">
        <f t="shared" si="5"/>
        <v>1</v>
      </c>
      <c r="Z453" s="4" t="str">
        <f t="shared" si="6"/>
        <v>Unique</v>
      </c>
      <c r="AA453" s="4" t="str">
        <f t="shared" si="7"/>
        <v>Valid</v>
      </c>
    </row>
    <row r="454">
      <c r="A454" s="3" t="s">
        <v>1142</v>
      </c>
      <c r="B454" s="3">
        <v>7.5</v>
      </c>
      <c r="C454" s="17">
        <v>41395.373611111114</v>
      </c>
      <c r="D454" s="3">
        <v>6.0</v>
      </c>
      <c r="E454" s="3">
        <v>6.0</v>
      </c>
      <c r="F454" s="4"/>
      <c r="G454" s="3">
        <v>0.0</v>
      </c>
      <c r="H454" s="3">
        <v>1425.0</v>
      </c>
      <c r="I454" s="3" t="s">
        <v>316</v>
      </c>
      <c r="J454" s="3">
        <v>0.0</v>
      </c>
      <c r="K454" s="3">
        <v>0.0</v>
      </c>
      <c r="L454" s="3">
        <v>0.0</v>
      </c>
      <c r="M454" s="3" t="s">
        <v>514</v>
      </c>
      <c r="N454" s="3">
        <v>8.7</v>
      </c>
      <c r="O454" s="3">
        <v>55.228</v>
      </c>
      <c r="P454" s="3">
        <v>-134.859</v>
      </c>
      <c r="Q454" s="3" t="s">
        <v>1143</v>
      </c>
      <c r="R454" s="4"/>
      <c r="S454" s="4"/>
      <c r="T454" s="16">
        <f t="shared" si="1"/>
        <v>41279.37361</v>
      </c>
      <c r="U454" s="4" t="b">
        <f t="shared" si="2"/>
        <v>1</v>
      </c>
      <c r="V454" s="4" t="b">
        <f t="shared" si="3"/>
        <v>1</v>
      </c>
      <c r="W454" s="4" t="str">
        <f t="shared" si="8"/>
        <v>Distance/Location</v>
      </c>
      <c r="X454" s="4" t="str">
        <f t="shared" si="4"/>
        <v>mw</v>
      </c>
      <c r="Y454" s="4">
        <f t="shared" si="5"/>
        <v>1</v>
      </c>
      <c r="Z454" s="4" t="str">
        <f t="shared" si="6"/>
        <v>Unique</v>
      </c>
      <c r="AA454" s="4" t="str">
        <f t="shared" si="7"/>
        <v>Valid</v>
      </c>
    </row>
    <row r="455">
      <c r="A455" s="3" t="s">
        <v>1144</v>
      </c>
      <c r="B455" s="3">
        <v>6.7</v>
      </c>
      <c r="C455" s="3" t="s">
        <v>1145</v>
      </c>
      <c r="D455" s="3">
        <v>0.0</v>
      </c>
      <c r="E455" s="3">
        <v>4.0</v>
      </c>
      <c r="F455" s="4"/>
      <c r="G455" s="3">
        <v>0.0</v>
      </c>
      <c r="H455" s="3">
        <v>691.0</v>
      </c>
      <c r="I455" s="3" t="s">
        <v>110</v>
      </c>
      <c r="J455" s="3">
        <v>521.0</v>
      </c>
      <c r="K455" s="3">
        <v>0.0</v>
      </c>
      <c r="L455" s="3">
        <v>13.7</v>
      </c>
      <c r="M455" s="3" t="s">
        <v>111</v>
      </c>
      <c r="N455" s="3">
        <v>200.7</v>
      </c>
      <c r="O455" s="3">
        <v>-14.344</v>
      </c>
      <c r="P455" s="3">
        <v>167.286</v>
      </c>
      <c r="Q455" s="3" t="s">
        <v>112</v>
      </c>
      <c r="R455" s="4"/>
      <c r="S455" s="3" t="s">
        <v>113</v>
      </c>
      <c r="T455" s="16">
        <f t="shared" si="1"/>
        <v>41264.93611</v>
      </c>
      <c r="U455" s="4" t="b">
        <f t="shared" si="2"/>
        <v>1</v>
      </c>
      <c r="V455" s="4" t="b">
        <f t="shared" si="3"/>
        <v>0</v>
      </c>
      <c r="W455" s="4" t="str">
        <f t="shared" si="8"/>
        <v>Distance/Location</v>
      </c>
      <c r="X455" s="4" t="str">
        <f t="shared" si="4"/>
        <v>mww</v>
      </c>
      <c r="Y455" s="4">
        <f t="shared" si="5"/>
        <v>1</v>
      </c>
      <c r="Z455" s="4" t="str">
        <f t="shared" si="6"/>
        <v>Unique</v>
      </c>
      <c r="AA455" s="4" t="str">
        <f t="shared" si="7"/>
        <v>Valid</v>
      </c>
    </row>
    <row r="456">
      <c r="A456" s="3" t="s">
        <v>1146</v>
      </c>
      <c r="B456" s="3">
        <v>7.1</v>
      </c>
      <c r="C456" s="18">
        <v>41194.70347222222</v>
      </c>
      <c r="D456" s="3">
        <v>5.0</v>
      </c>
      <c r="E456" s="3">
        <v>5.0</v>
      </c>
      <c r="F456" s="4"/>
      <c r="G456" s="3">
        <v>0.0</v>
      </c>
      <c r="H456" s="3">
        <v>843.0</v>
      </c>
      <c r="I456" s="3" t="s">
        <v>110</v>
      </c>
      <c r="J456" s="3">
        <v>517.0</v>
      </c>
      <c r="K456" s="3">
        <v>0.0</v>
      </c>
      <c r="L456" s="3">
        <v>8.7</v>
      </c>
      <c r="M456" s="3" t="s">
        <v>111</v>
      </c>
      <c r="N456" s="3">
        <v>155.0</v>
      </c>
      <c r="O456" s="3">
        <v>-6.533</v>
      </c>
      <c r="P456" s="3">
        <v>129.825</v>
      </c>
      <c r="Q456" s="3" t="s">
        <v>452</v>
      </c>
      <c r="R456" s="4"/>
      <c r="S456" s="3" t="s">
        <v>153</v>
      </c>
      <c r="T456" s="16">
        <f t="shared" si="1"/>
        <v>41253.70347</v>
      </c>
      <c r="U456" s="4" t="b">
        <f t="shared" si="2"/>
        <v>1</v>
      </c>
      <c r="V456" s="4" t="b">
        <f t="shared" si="3"/>
        <v>1</v>
      </c>
      <c r="W456" s="4" t="str">
        <f t="shared" si="8"/>
        <v>Named Region</v>
      </c>
      <c r="X456" s="4" t="str">
        <f t="shared" si="4"/>
        <v>mww</v>
      </c>
      <c r="Y456" s="4">
        <f t="shared" si="5"/>
        <v>1</v>
      </c>
      <c r="Z456" s="4" t="str">
        <f t="shared" si="6"/>
        <v>Unique</v>
      </c>
      <c r="AA456" s="4" t="str">
        <f t="shared" si="7"/>
        <v>Valid</v>
      </c>
    </row>
    <row r="457">
      <c r="A457" s="3" t="s">
        <v>1147</v>
      </c>
      <c r="B457" s="3">
        <v>7.3</v>
      </c>
      <c r="C457" s="17">
        <v>41102.34583333333</v>
      </c>
      <c r="D457" s="3">
        <v>6.0</v>
      </c>
      <c r="E457" s="3">
        <v>5.0</v>
      </c>
      <c r="F457" s="4"/>
      <c r="G457" s="3">
        <v>0.0</v>
      </c>
      <c r="H457" s="3">
        <v>1014.0</v>
      </c>
      <c r="I457" s="3" t="s">
        <v>110</v>
      </c>
      <c r="J457" s="3">
        <v>918.0</v>
      </c>
      <c r="K457" s="3">
        <v>0.0</v>
      </c>
      <c r="L457" s="3">
        <v>14.8</v>
      </c>
      <c r="M457" s="3" t="s">
        <v>111</v>
      </c>
      <c r="N457" s="3">
        <v>31.0</v>
      </c>
      <c r="O457" s="3">
        <v>37.89</v>
      </c>
      <c r="P457" s="3">
        <v>143.949</v>
      </c>
      <c r="Q457" s="3" t="s">
        <v>917</v>
      </c>
      <c r="R457" s="4"/>
      <c r="S457" s="4"/>
      <c r="T457" s="16">
        <f t="shared" si="1"/>
        <v>41250.34583</v>
      </c>
      <c r="U457" s="4" t="b">
        <f t="shared" si="2"/>
        <v>1</v>
      </c>
      <c r="V457" s="4" t="b">
        <f t="shared" si="3"/>
        <v>1</v>
      </c>
      <c r="W457" s="4" t="str">
        <f t="shared" si="8"/>
        <v>Distance/Location</v>
      </c>
      <c r="X457" s="4" t="str">
        <f t="shared" si="4"/>
        <v>mww</v>
      </c>
      <c r="Y457" s="4">
        <f t="shared" si="5"/>
        <v>1</v>
      </c>
      <c r="Z457" s="4" t="str">
        <f t="shared" si="6"/>
        <v>Unique</v>
      </c>
      <c r="AA457" s="4" t="str">
        <f t="shared" si="7"/>
        <v>Valid</v>
      </c>
    </row>
    <row r="458">
      <c r="A458" s="3" t="s">
        <v>1148</v>
      </c>
      <c r="B458" s="3">
        <v>6.5</v>
      </c>
      <c r="C458" s="18">
        <v>41224.92638888889</v>
      </c>
      <c r="D458" s="3">
        <v>4.0</v>
      </c>
      <c r="E458" s="3">
        <v>5.0</v>
      </c>
      <c r="F458" s="4"/>
      <c r="G458" s="3">
        <v>0.0</v>
      </c>
      <c r="H458" s="3">
        <v>708.0</v>
      </c>
      <c r="I458" s="3" t="s">
        <v>110</v>
      </c>
      <c r="J458" s="3">
        <v>598.0</v>
      </c>
      <c r="K458" s="3">
        <v>0.0</v>
      </c>
      <c r="L458" s="3">
        <v>57.3</v>
      </c>
      <c r="M458" s="3" t="s">
        <v>111</v>
      </c>
      <c r="N458" s="3">
        <v>20.0</v>
      </c>
      <c r="O458" s="3">
        <v>14.129</v>
      </c>
      <c r="P458" s="3">
        <v>-92.164</v>
      </c>
      <c r="Q458" s="3" t="s">
        <v>1149</v>
      </c>
      <c r="R458" s="4"/>
      <c r="S458" s="4"/>
      <c r="T458" s="16">
        <f t="shared" si="1"/>
        <v>41224.92639</v>
      </c>
      <c r="U458" s="4" t="b">
        <f t="shared" si="2"/>
        <v>1</v>
      </c>
      <c r="V458" s="4" t="b">
        <f t="shared" si="3"/>
        <v>1</v>
      </c>
      <c r="W458" s="4" t="str">
        <f t="shared" si="8"/>
        <v>Distance/Location</v>
      </c>
      <c r="X458" s="4" t="str">
        <f t="shared" si="4"/>
        <v>mww</v>
      </c>
      <c r="Y458" s="4">
        <f t="shared" si="5"/>
        <v>1</v>
      </c>
      <c r="Z458" s="4" t="str">
        <f t="shared" si="6"/>
        <v>Unique</v>
      </c>
      <c r="AA458" s="4" t="str">
        <f t="shared" si="7"/>
        <v>Valid</v>
      </c>
    </row>
    <row r="459">
      <c r="A459" s="3" t="s">
        <v>1150</v>
      </c>
      <c r="B459" s="3">
        <v>6.8</v>
      </c>
      <c r="C459" s="18">
        <v>41224.05</v>
      </c>
      <c r="D459" s="3">
        <v>7.0</v>
      </c>
      <c r="E459" s="3">
        <v>6.0</v>
      </c>
      <c r="F459" s="4"/>
      <c r="G459" s="3">
        <v>0.0</v>
      </c>
      <c r="H459" s="3">
        <v>795.0</v>
      </c>
      <c r="I459" s="3" t="s">
        <v>110</v>
      </c>
      <c r="J459" s="3">
        <v>391.0</v>
      </c>
      <c r="K459" s="3">
        <v>0.0</v>
      </c>
      <c r="L459" s="3">
        <v>13.7</v>
      </c>
      <c r="M459" s="3" t="s">
        <v>111</v>
      </c>
      <c r="N459" s="3">
        <v>13.7</v>
      </c>
      <c r="O459" s="3">
        <v>23.005</v>
      </c>
      <c r="P459" s="3">
        <v>95.885</v>
      </c>
      <c r="Q459" s="3" t="s">
        <v>1151</v>
      </c>
      <c r="R459" s="3" t="s">
        <v>164</v>
      </c>
      <c r="S459" s="3" t="s">
        <v>785</v>
      </c>
      <c r="T459" s="16">
        <f t="shared" si="1"/>
        <v>41224.05</v>
      </c>
      <c r="U459" s="4" t="b">
        <f t="shared" si="2"/>
        <v>1</v>
      </c>
      <c r="V459" s="4" t="b">
        <f t="shared" si="3"/>
        <v>1</v>
      </c>
      <c r="W459" s="4" t="str">
        <f t="shared" si="8"/>
        <v>Distance/Location</v>
      </c>
      <c r="X459" s="4" t="str">
        <f t="shared" si="4"/>
        <v>mww</v>
      </c>
      <c r="Y459" s="4">
        <f t="shared" si="5"/>
        <v>1</v>
      </c>
      <c r="Z459" s="4" t="str">
        <f t="shared" si="6"/>
        <v>Unique</v>
      </c>
      <c r="AA459" s="4" t="str">
        <f t="shared" si="7"/>
        <v>Valid</v>
      </c>
    </row>
    <row r="460">
      <c r="A460" s="3" t="s">
        <v>1152</v>
      </c>
      <c r="B460" s="3">
        <v>7.4</v>
      </c>
      <c r="C460" s="17">
        <v>41101.69097222222</v>
      </c>
      <c r="D460" s="3">
        <v>8.0</v>
      </c>
      <c r="E460" s="3">
        <v>7.0</v>
      </c>
      <c r="F460" s="3" t="s">
        <v>116</v>
      </c>
      <c r="G460" s="3">
        <v>0.0</v>
      </c>
      <c r="H460" s="3">
        <v>1455.0</v>
      </c>
      <c r="I460" s="3" t="s">
        <v>110</v>
      </c>
      <c r="J460" s="3">
        <v>751.0</v>
      </c>
      <c r="K460" s="3">
        <v>0.0</v>
      </c>
      <c r="L460" s="3">
        <v>25.5</v>
      </c>
      <c r="M460" s="3" t="s">
        <v>111</v>
      </c>
      <c r="N460" s="3">
        <v>24.0</v>
      </c>
      <c r="O460" s="3">
        <v>13.988</v>
      </c>
      <c r="P460" s="3">
        <v>-91.895</v>
      </c>
      <c r="Q460" s="3" t="s">
        <v>1149</v>
      </c>
      <c r="R460" s="4"/>
      <c r="S460" s="4"/>
      <c r="T460" s="16">
        <f t="shared" si="1"/>
        <v>41220.69097</v>
      </c>
      <c r="U460" s="4" t="b">
        <f t="shared" si="2"/>
        <v>1</v>
      </c>
      <c r="V460" s="4" t="b">
        <f t="shared" si="3"/>
        <v>1</v>
      </c>
      <c r="W460" s="4" t="str">
        <f t="shared" si="8"/>
        <v>Distance/Location</v>
      </c>
      <c r="X460" s="4" t="str">
        <f t="shared" si="4"/>
        <v>mww</v>
      </c>
      <c r="Y460" s="4">
        <f t="shared" si="5"/>
        <v>1</v>
      </c>
      <c r="Z460" s="4" t="str">
        <f t="shared" si="6"/>
        <v>Unique</v>
      </c>
      <c r="AA460" s="4" t="str">
        <f t="shared" si="7"/>
        <v>Valid</v>
      </c>
    </row>
    <row r="461">
      <c r="A461" s="3" t="s">
        <v>1153</v>
      </c>
      <c r="B461" s="3">
        <v>7.8</v>
      </c>
      <c r="C461" s="3" t="s">
        <v>1154</v>
      </c>
      <c r="D461" s="3">
        <v>8.0</v>
      </c>
      <c r="E461" s="3">
        <v>7.0</v>
      </c>
      <c r="F461" s="4"/>
      <c r="G461" s="3">
        <v>0.0</v>
      </c>
      <c r="H461" s="3">
        <v>1726.0</v>
      </c>
      <c r="I461" s="3" t="s">
        <v>110</v>
      </c>
      <c r="J461" s="3">
        <v>807.0</v>
      </c>
      <c r="K461" s="3">
        <v>0.0</v>
      </c>
      <c r="L461" s="3">
        <v>42.7</v>
      </c>
      <c r="M461" s="3" t="s">
        <v>111</v>
      </c>
      <c r="N461" s="3">
        <v>14.0</v>
      </c>
      <c r="O461" s="3">
        <v>52.788</v>
      </c>
      <c r="P461" s="3">
        <v>-132.101</v>
      </c>
      <c r="Q461" s="3" t="s">
        <v>1155</v>
      </c>
      <c r="R461" s="3" t="s">
        <v>233</v>
      </c>
      <c r="S461" s="3" t="s">
        <v>1156</v>
      </c>
      <c r="T461" s="16">
        <f t="shared" si="1"/>
        <v>41210.12778</v>
      </c>
      <c r="U461" s="4" t="b">
        <f t="shared" si="2"/>
        <v>1</v>
      </c>
      <c r="V461" s="4" t="b">
        <f t="shared" si="3"/>
        <v>0</v>
      </c>
      <c r="W461" s="4" t="str">
        <f t="shared" si="8"/>
        <v>Distance/Location</v>
      </c>
      <c r="X461" s="4" t="str">
        <f t="shared" si="4"/>
        <v>mww</v>
      </c>
      <c r="Y461" s="4">
        <f t="shared" si="5"/>
        <v>1</v>
      </c>
      <c r="Z461" s="4" t="str">
        <f t="shared" si="6"/>
        <v>Unique</v>
      </c>
      <c r="AA461" s="4" t="str">
        <f t="shared" si="7"/>
        <v>Valid</v>
      </c>
    </row>
    <row r="462">
      <c r="A462" s="3" t="s">
        <v>1157</v>
      </c>
      <c r="B462" s="3">
        <v>6.5</v>
      </c>
      <c r="C462" s="3" t="s">
        <v>1158</v>
      </c>
      <c r="D462" s="3">
        <v>6.0</v>
      </c>
      <c r="E462" s="3">
        <v>6.0</v>
      </c>
      <c r="F462" s="4"/>
      <c r="G462" s="3">
        <v>0.0</v>
      </c>
      <c r="H462" s="3">
        <v>745.0</v>
      </c>
      <c r="I462" s="3" t="s">
        <v>110</v>
      </c>
      <c r="J462" s="3">
        <v>691.0</v>
      </c>
      <c r="K462" s="3">
        <v>0.0</v>
      </c>
      <c r="L462" s="3">
        <v>34.4</v>
      </c>
      <c r="M462" s="3" t="s">
        <v>111</v>
      </c>
      <c r="N462" s="3">
        <v>17.0</v>
      </c>
      <c r="O462" s="3">
        <v>10.086</v>
      </c>
      <c r="P462" s="3">
        <v>-85.298</v>
      </c>
      <c r="Q462" s="3" t="s">
        <v>662</v>
      </c>
      <c r="R462" s="4"/>
      <c r="S462" s="3" t="s">
        <v>662</v>
      </c>
      <c r="T462" s="16">
        <f t="shared" si="1"/>
        <v>41206.03125</v>
      </c>
      <c r="U462" s="4" t="b">
        <f t="shared" si="2"/>
        <v>1</v>
      </c>
      <c r="V462" s="4" t="b">
        <f t="shared" si="3"/>
        <v>0</v>
      </c>
      <c r="W462" s="4" t="str">
        <f t="shared" si="8"/>
        <v>Named Region</v>
      </c>
      <c r="X462" s="4" t="str">
        <f t="shared" si="4"/>
        <v>mww</v>
      </c>
      <c r="Y462" s="4">
        <f t="shared" si="5"/>
        <v>1</v>
      </c>
      <c r="Z462" s="4" t="str">
        <f t="shared" si="6"/>
        <v>Unique</v>
      </c>
      <c r="AA462" s="4" t="str">
        <f t="shared" si="7"/>
        <v>Valid</v>
      </c>
    </row>
    <row r="463">
      <c r="A463" s="3" t="s">
        <v>1159</v>
      </c>
      <c r="B463" s="3">
        <v>6.6</v>
      </c>
      <c r="C463" s="18">
        <v>41253.021527777775</v>
      </c>
      <c r="D463" s="3">
        <v>3.0</v>
      </c>
      <c r="E463" s="3">
        <v>5.0</v>
      </c>
      <c r="F463" s="4"/>
      <c r="G463" s="3">
        <v>0.0</v>
      </c>
      <c r="H463" s="3">
        <v>675.0</v>
      </c>
      <c r="I463" s="3" t="s">
        <v>110</v>
      </c>
      <c r="J463" s="3">
        <v>291.0</v>
      </c>
      <c r="K463" s="3">
        <v>0.0</v>
      </c>
      <c r="L463" s="3">
        <v>17.7</v>
      </c>
      <c r="M463" s="3" t="s">
        <v>111</v>
      </c>
      <c r="N463" s="3">
        <v>13.0</v>
      </c>
      <c r="O463" s="3">
        <v>-4.892</v>
      </c>
      <c r="P463" s="3">
        <v>134.03</v>
      </c>
      <c r="Q463" s="3" t="s">
        <v>1160</v>
      </c>
      <c r="R463" s="4"/>
      <c r="S463" s="3" t="s">
        <v>153</v>
      </c>
      <c r="T463" s="16">
        <f t="shared" si="1"/>
        <v>41194.02153</v>
      </c>
      <c r="U463" s="4" t="b">
        <f t="shared" si="2"/>
        <v>1</v>
      </c>
      <c r="V463" s="4" t="b">
        <f t="shared" si="3"/>
        <v>1</v>
      </c>
      <c r="W463" s="4" t="str">
        <f t="shared" si="8"/>
        <v>Distance/Location</v>
      </c>
      <c r="X463" s="4" t="str">
        <f t="shared" si="4"/>
        <v>mww</v>
      </c>
      <c r="Y463" s="4">
        <f t="shared" si="5"/>
        <v>1</v>
      </c>
      <c r="Z463" s="4" t="str">
        <f t="shared" si="6"/>
        <v>Unique</v>
      </c>
      <c r="AA463" s="4" t="str">
        <f t="shared" si="7"/>
        <v>Valid</v>
      </c>
    </row>
    <row r="464">
      <c r="A464" s="3" t="s">
        <v>1161</v>
      </c>
      <c r="B464" s="3">
        <v>7.3</v>
      </c>
      <c r="C464" s="3" t="s">
        <v>1162</v>
      </c>
      <c r="D464" s="3">
        <v>7.0</v>
      </c>
      <c r="E464" s="3">
        <v>6.0</v>
      </c>
      <c r="F464" s="4"/>
      <c r="G464" s="3">
        <v>0.0</v>
      </c>
      <c r="H464" s="3">
        <v>1221.0</v>
      </c>
      <c r="I464" s="3" t="s">
        <v>110</v>
      </c>
      <c r="J464" s="3">
        <v>934.0</v>
      </c>
      <c r="K464" s="3">
        <v>0.0</v>
      </c>
      <c r="L464" s="3">
        <v>15.5</v>
      </c>
      <c r="M464" s="3" t="s">
        <v>111</v>
      </c>
      <c r="N464" s="3">
        <v>170.0</v>
      </c>
      <c r="O464" s="3">
        <v>1.929</v>
      </c>
      <c r="P464" s="3">
        <v>-76.362</v>
      </c>
      <c r="Q464" s="3" t="s">
        <v>1163</v>
      </c>
      <c r="R464" s="3" t="s">
        <v>121</v>
      </c>
      <c r="S464" s="3" t="s">
        <v>140</v>
      </c>
      <c r="T464" s="16">
        <f t="shared" si="1"/>
        <v>41182.68819</v>
      </c>
      <c r="U464" s="4" t="b">
        <f t="shared" si="2"/>
        <v>1</v>
      </c>
      <c r="V464" s="4" t="b">
        <f t="shared" si="3"/>
        <v>0</v>
      </c>
      <c r="W464" s="4" t="str">
        <f t="shared" si="8"/>
        <v>Distance/Location</v>
      </c>
      <c r="X464" s="4" t="str">
        <f t="shared" si="4"/>
        <v>mww</v>
      </c>
      <c r="Y464" s="4">
        <f t="shared" si="5"/>
        <v>1</v>
      </c>
      <c r="Z464" s="4" t="str">
        <f t="shared" si="6"/>
        <v>Unique</v>
      </c>
      <c r="AA464" s="4" t="str">
        <f t="shared" si="7"/>
        <v>Valid</v>
      </c>
    </row>
    <row r="465">
      <c r="A465" s="3" t="s">
        <v>1164</v>
      </c>
      <c r="B465" s="3">
        <v>7.6</v>
      </c>
      <c r="C465" s="17">
        <v>41038.6125</v>
      </c>
      <c r="D465" s="3">
        <v>8.0</v>
      </c>
      <c r="E465" s="3">
        <v>7.0</v>
      </c>
      <c r="F465" s="4"/>
      <c r="G465" s="3">
        <v>0.0</v>
      </c>
      <c r="H465" s="3">
        <v>1555.0</v>
      </c>
      <c r="I465" s="3" t="s">
        <v>110</v>
      </c>
      <c r="J465" s="3">
        <v>703.0</v>
      </c>
      <c r="K465" s="3">
        <v>0.0</v>
      </c>
      <c r="L465" s="3">
        <v>34.3</v>
      </c>
      <c r="M465" s="3" t="s">
        <v>111</v>
      </c>
      <c r="N465" s="3">
        <v>35.0</v>
      </c>
      <c r="O465" s="3">
        <v>10.085</v>
      </c>
      <c r="P465" s="3">
        <v>-85.315</v>
      </c>
      <c r="Q465" s="3" t="s">
        <v>1165</v>
      </c>
      <c r="R465" s="4"/>
      <c r="S465" s="3" t="s">
        <v>662</v>
      </c>
      <c r="T465" s="16">
        <f t="shared" si="1"/>
        <v>41157.6125</v>
      </c>
      <c r="U465" s="4" t="b">
        <f t="shared" si="2"/>
        <v>1</v>
      </c>
      <c r="V465" s="4" t="b">
        <f t="shared" si="3"/>
        <v>1</v>
      </c>
      <c r="W465" s="4" t="str">
        <f t="shared" si="8"/>
        <v>Distance/Location</v>
      </c>
      <c r="X465" s="4" t="str">
        <f t="shared" si="4"/>
        <v>mww</v>
      </c>
      <c r="Y465" s="4">
        <f t="shared" si="5"/>
        <v>1</v>
      </c>
      <c r="Z465" s="4" t="str">
        <f t="shared" si="6"/>
        <v>Unique</v>
      </c>
      <c r="AA465" s="4" t="str">
        <f t="shared" si="7"/>
        <v>Valid</v>
      </c>
    </row>
    <row r="466">
      <c r="A466" s="3" t="s">
        <v>1166</v>
      </c>
      <c r="B466" s="3">
        <v>7.6</v>
      </c>
      <c r="C466" s="3" t="s">
        <v>1167</v>
      </c>
      <c r="D466" s="3">
        <v>8.0</v>
      </c>
      <c r="E466" s="3">
        <v>5.0</v>
      </c>
      <c r="F466" s="4"/>
      <c r="G466" s="3">
        <v>0.0</v>
      </c>
      <c r="H466" s="3">
        <v>1115.0</v>
      </c>
      <c r="I466" s="3" t="s">
        <v>110</v>
      </c>
      <c r="J466" s="3">
        <v>682.0</v>
      </c>
      <c r="K466" s="3">
        <v>0.0</v>
      </c>
      <c r="L466" s="3">
        <v>10.2</v>
      </c>
      <c r="M466" s="3" t="s">
        <v>111</v>
      </c>
      <c r="N466" s="3">
        <v>28.0</v>
      </c>
      <c r="O466" s="3">
        <v>10.811</v>
      </c>
      <c r="P466" s="3">
        <v>126.638</v>
      </c>
      <c r="Q466" s="3" t="s">
        <v>1168</v>
      </c>
      <c r="R466" s="4"/>
      <c r="S466" s="4"/>
      <c r="T466" s="16">
        <f t="shared" si="1"/>
        <v>41152.53264</v>
      </c>
      <c r="U466" s="4" t="b">
        <f t="shared" si="2"/>
        <v>1</v>
      </c>
      <c r="V466" s="4" t="b">
        <f t="shared" si="3"/>
        <v>0</v>
      </c>
      <c r="W466" s="4" t="str">
        <f t="shared" si="8"/>
        <v>Distance/Location</v>
      </c>
      <c r="X466" s="4" t="str">
        <f t="shared" si="4"/>
        <v>mww</v>
      </c>
      <c r="Y466" s="4">
        <f t="shared" si="5"/>
        <v>1</v>
      </c>
      <c r="Z466" s="4" t="str">
        <f t="shared" si="6"/>
        <v>Unique</v>
      </c>
      <c r="AA466" s="4" t="str">
        <f t="shared" si="7"/>
        <v>Valid</v>
      </c>
    </row>
    <row r="467">
      <c r="A467" s="3" t="s">
        <v>1169</v>
      </c>
      <c r="B467" s="3">
        <v>7.3</v>
      </c>
      <c r="C467" s="3" t="s">
        <v>1170</v>
      </c>
      <c r="D467" s="3">
        <v>5.0</v>
      </c>
      <c r="E467" s="3">
        <v>5.0</v>
      </c>
      <c r="F467" s="4"/>
      <c r="G467" s="3">
        <v>0.0</v>
      </c>
      <c r="H467" s="3">
        <v>994.0</v>
      </c>
      <c r="I467" s="3" t="s">
        <v>110</v>
      </c>
      <c r="J467" s="3">
        <v>417.0</v>
      </c>
      <c r="K467" s="3">
        <v>0.0</v>
      </c>
      <c r="L467" s="3">
        <v>37.0</v>
      </c>
      <c r="M467" s="3" t="s">
        <v>111</v>
      </c>
      <c r="N467" s="3">
        <v>28.0</v>
      </c>
      <c r="O467" s="3">
        <v>12.139</v>
      </c>
      <c r="P467" s="3">
        <v>-88.59</v>
      </c>
      <c r="Q467" s="3" t="s">
        <v>753</v>
      </c>
      <c r="R467" s="4"/>
      <c r="S467" s="4"/>
      <c r="T467" s="16">
        <f t="shared" si="1"/>
        <v>41148.19236</v>
      </c>
      <c r="U467" s="4" t="b">
        <f t="shared" si="2"/>
        <v>1</v>
      </c>
      <c r="V467" s="4" t="b">
        <f t="shared" si="3"/>
        <v>0</v>
      </c>
      <c r="W467" s="4" t="str">
        <f t="shared" si="8"/>
        <v>Distance/Location</v>
      </c>
      <c r="X467" s="4" t="str">
        <f t="shared" si="4"/>
        <v>mww</v>
      </c>
      <c r="Y467" s="4">
        <f t="shared" si="5"/>
        <v>1</v>
      </c>
      <c r="Z467" s="4" t="str">
        <f t="shared" si="6"/>
        <v>Unique</v>
      </c>
      <c r="AA467" s="4" t="str">
        <f t="shared" si="7"/>
        <v>Valid</v>
      </c>
    </row>
    <row r="468">
      <c r="A468" s="3" t="s">
        <v>1171</v>
      </c>
      <c r="B468" s="3">
        <v>6.6</v>
      </c>
      <c r="C468" s="3" t="s">
        <v>1172</v>
      </c>
      <c r="D468" s="3">
        <v>4.0</v>
      </c>
      <c r="E468" s="3">
        <v>5.0</v>
      </c>
      <c r="F468" s="4"/>
      <c r="G468" s="3">
        <v>0.0</v>
      </c>
      <c r="H468" s="3">
        <v>678.0</v>
      </c>
      <c r="I468" s="3" t="s">
        <v>110</v>
      </c>
      <c r="J468" s="3">
        <v>497.0</v>
      </c>
      <c r="K468" s="3">
        <v>0.0</v>
      </c>
      <c r="L468" s="3">
        <v>14.6</v>
      </c>
      <c r="M468" s="3" t="s">
        <v>111</v>
      </c>
      <c r="N468" s="3">
        <v>91.1</v>
      </c>
      <c r="O468" s="3">
        <v>2.19</v>
      </c>
      <c r="P468" s="3">
        <v>126.837</v>
      </c>
      <c r="Q468" s="3" t="s">
        <v>205</v>
      </c>
      <c r="R468" s="4"/>
      <c r="S468" s="3" t="s">
        <v>153</v>
      </c>
      <c r="T468" s="16">
        <f t="shared" si="1"/>
        <v>41147.62847</v>
      </c>
      <c r="U468" s="4" t="b">
        <f t="shared" si="2"/>
        <v>1</v>
      </c>
      <c r="V468" s="4" t="b">
        <f t="shared" si="3"/>
        <v>0</v>
      </c>
      <c r="W468" s="4" t="str">
        <f t="shared" si="8"/>
        <v>Distance/Location</v>
      </c>
      <c r="X468" s="4" t="str">
        <f t="shared" si="4"/>
        <v>mww</v>
      </c>
      <c r="Y468" s="4">
        <f t="shared" si="5"/>
        <v>1</v>
      </c>
      <c r="Z468" s="4" t="str">
        <f t="shared" si="6"/>
        <v>Unique</v>
      </c>
      <c r="AA468" s="4" t="str">
        <f t="shared" si="7"/>
        <v>Valid</v>
      </c>
    </row>
    <row r="469">
      <c r="A469" s="3" t="s">
        <v>1173</v>
      </c>
      <c r="B469" s="3">
        <v>7.7</v>
      </c>
      <c r="C469" s="3" t="s">
        <v>1174</v>
      </c>
      <c r="D469" s="3">
        <v>7.0</v>
      </c>
      <c r="E469" s="3">
        <v>4.0</v>
      </c>
      <c r="F469" s="4"/>
      <c r="G469" s="3">
        <v>0.0</v>
      </c>
      <c r="H469" s="3">
        <v>941.0</v>
      </c>
      <c r="I469" s="3" t="s">
        <v>110</v>
      </c>
      <c r="J469" s="3">
        <v>862.0</v>
      </c>
      <c r="K469" s="3">
        <v>0.0</v>
      </c>
      <c r="L469" s="3">
        <v>13.8</v>
      </c>
      <c r="M469" s="3" t="s">
        <v>111</v>
      </c>
      <c r="N469" s="3">
        <v>583.2</v>
      </c>
      <c r="O469" s="3">
        <v>49.8</v>
      </c>
      <c r="P469" s="3">
        <v>145.064</v>
      </c>
      <c r="Q469" s="3" t="s">
        <v>1175</v>
      </c>
      <c r="R469" s="4"/>
      <c r="S469" s="4"/>
      <c r="T469" s="16">
        <f t="shared" si="1"/>
        <v>41135.12431</v>
      </c>
      <c r="U469" s="4" t="b">
        <f t="shared" si="2"/>
        <v>1</v>
      </c>
      <c r="V469" s="4" t="b">
        <f t="shared" si="3"/>
        <v>0</v>
      </c>
      <c r="W469" s="4" t="str">
        <f t="shared" si="8"/>
        <v>Distance/Location</v>
      </c>
      <c r="X469" s="4" t="str">
        <f t="shared" si="4"/>
        <v>mww</v>
      </c>
      <c r="Y469" s="4">
        <f t="shared" si="5"/>
        <v>1</v>
      </c>
      <c r="Z469" s="4" t="str">
        <f t="shared" si="6"/>
        <v>Unique</v>
      </c>
      <c r="AA469" s="4" t="str">
        <f t="shared" si="7"/>
        <v>Valid</v>
      </c>
    </row>
    <row r="470">
      <c r="A470" s="3" t="s">
        <v>1176</v>
      </c>
      <c r="B470" s="3">
        <v>6.5</v>
      </c>
      <c r="C470" s="3" t="s">
        <v>1177</v>
      </c>
      <c r="D470" s="3">
        <v>5.0</v>
      </c>
      <c r="E470" s="3">
        <v>6.0</v>
      </c>
      <c r="F470" s="4"/>
      <c r="G470" s="3">
        <v>0.0</v>
      </c>
      <c r="H470" s="3">
        <v>653.0</v>
      </c>
      <c r="I470" s="3" t="s">
        <v>110</v>
      </c>
      <c r="J470" s="3">
        <v>576.0</v>
      </c>
      <c r="K470" s="3">
        <v>0.0</v>
      </c>
      <c r="L470" s="3">
        <v>11.7</v>
      </c>
      <c r="M470" s="3" t="s">
        <v>111</v>
      </c>
      <c r="N470" s="3">
        <v>41.0</v>
      </c>
      <c r="O470" s="3">
        <v>-4.651</v>
      </c>
      <c r="P470" s="3">
        <v>153.173</v>
      </c>
      <c r="Q470" s="3" t="s">
        <v>633</v>
      </c>
      <c r="R470" s="4"/>
      <c r="S470" s="3" t="s">
        <v>168</v>
      </c>
      <c r="T470" s="16">
        <f t="shared" si="1"/>
        <v>41118.83542</v>
      </c>
      <c r="U470" s="4" t="b">
        <f t="shared" si="2"/>
        <v>1</v>
      </c>
      <c r="V470" s="4" t="b">
        <f t="shared" si="3"/>
        <v>0</v>
      </c>
      <c r="W470" s="4" t="str">
        <f t="shared" si="8"/>
        <v>Distance/Location</v>
      </c>
      <c r="X470" s="4" t="str">
        <f t="shared" si="4"/>
        <v>mww</v>
      </c>
      <c r="Y470" s="4">
        <f t="shared" si="5"/>
        <v>1</v>
      </c>
      <c r="Z470" s="4" t="str">
        <f t="shared" si="6"/>
        <v>Unique</v>
      </c>
      <c r="AA470" s="4" t="str">
        <f t="shared" si="7"/>
        <v>Valid</v>
      </c>
    </row>
    <row r="471">
      <c r="A471" s="3" t="s">
        <v>1178</v>
      </c>
      <c r="B471" s="3">
        <v>6.6</v>
      </c>
      <c r="C471" s="3" t="s">
        <v>1179</v>
      </c>
      <c r="D471" s="3">
        <v>4.0</v>
      </c>
      <c r="E471" s="3">
        <v>5.0</v>
      </c>
      <c r="F471" s="4"/>
      <c r="G471" s="3">
        <v>0.0</v>
      </c>
      <c r="H471" s="3">
        <v>675.0</v>
      </c>
      <c r="I471" s="3" t="s">
        <v>110</v>
      </c>
      <c r="J471" s="3">
        <v>529.0</v>
      </c>
      <c r="K471" s="3">
        <v>0.0</v>
      </c>
      <c r="L471" s="3">
        <v>15.7</v>
      </c>
      <c r="M471" s="3" t="s">
        <v>111</v>
      </c>
      <c r="N471" s="3">
        <v>134.7</v>
      </c>
      <c r="O471" s="3">
        <v>-18.685</v>
      </c>
      <c r="P471" s="3">
        <v>-174.705</v>
      </c>
      <c r="Q471" s="3" t="s">
        <v>221</v>
      </c>
      <c r="R471" s="4"/>
      <c r="S471" s="3" t="s">
        <v>133</v>
      </c>
      <c r="T471" s="16">
        <f t="shared" si="1"/>
        <v>41027.42222</v>
      </c>
      <c r="U471" s="4" t="b">
        <f t="shared" si="2"/>
        <v>1</v>
      </c>
      <c r="V471" s="4" t="b">
        <f t="shared" si="3"/>
        <v>0</v>
      </c>
      <c r="W471" s="4" t="str">
        <f t="shared" si="8"/>
        <v>Distance/Location</v>
      </c>
      <c r="X471" s="4" t="str">
        <f t="shared" si="4"/>
        <v>mww</v>
      </c>
      <c r="Y471" s="4">
        <f t="shared" si="5"/>
        <v>1</v>
      </c>
      <c r="Z471" s="4" t="str">
        <f t="shared" si="6"/>
        <v>Unique</v>
      </c>
      <c r="AA471" s="4" t="str">
        <f t="shared" si="7"/>
        <v>Valid</v>
      </c>
    </row>
    <row r="472">
      <c r="A472" s="3" t="s">
        <v>1180</v>
      </c>
      <c r="B472" s="3">
        <v>6.7</v>
      </c>
      <c r="C472" s="3" t="s">
        <v>1181</v>
      </c>
      <c r="D472" s="3">
        <v>0.0</v>
      </c>
      <c r="E472" s="3">
        <v>7.0</v>
      </c>
      <c r="F472" s="4"/>
      <c r="G472" s="3">
        <v>0.0</v>
      </c>
      <c r="H472" s="3">
        <v>691.0</v>
      </c>
      <c r="I472" s="3" t="s">
        <v>110</v>
      </c>
      <c r="J472" s="3">
        <v>370.0</v>
      </c>
      <c r="K472" s="3">
        <v>0.0</v>
      </c>
      <c r="L472" s="3">
        <v>15.4</v>
      </c>
      <c r="M472" s="3" t="s">
        <v>111</v>
      </c>
      <c r="N472" s="3">
        <v>16.0</v>
      </c>
      <c r="O472" s="3">
        <v>-1.617</v>
      </c>
      <c r="P472" s="3">
        <v>134.276</v>
      </c>
      <c r="Q472" s="3" t="s">
        <v>1182</v>
      </c>
      <c r="R472" s="4"/>
      <c r="S472" s="3" t="s">
        <v>153</v>
      </c>
      <c r="T472" s="16">
        <f t="shared" si="1"/>
        <v>41020.05278</v>
      </c>
      <c r="U472" s="4" t="b">
        <f t="shared" si="2"/>
        <v>1</v>
      </c>
      <c r="V472" s="4" t="b">
        <f t="shared" si="3"/>
        <v>0</v>
      </c>
      <c r="W472" s="4" t="str">
        <f t="shared" si="8"/>
        <v>Distance/Location</v>
      </c>
      <c r="X472" s="4" t="str">
        <f t="shared" si="4"/>
        <v>mww</v>
      </c>
      <c r="Y472" s="4">
        <f t="shared" si="5"/>
        <v>1</v>
      </c>
      <c r="Z472" s="4" t="str">
        <f t="shared" si="6"/>
        <v>Unique</v>
      </c>
      <c r="AA472" s="4" t="str">
        <f t="shared" si="7"/>
        <v>Valid</v>
      </c>
    </row>
    <row r="473">
      <c r="A473" s="3" t="s">
        <v>1183</v>
      </c>
      <c r="B473" s="3">
        <v>6.8</v>
      </c>
      <c r="C473" s="3" t="s">
        <v>1184</v>
      </c>
      <c r="D473" s="3">
        <v>6.0</v>
      </c>
      <c r="E473" s="3">
        <v>5.0</v>
      </c>
      <c r="F473" s="4"/>
      <c r="G473" s="3">
        <v>0.0</v>
      </c>
      <c r="H473" s="3">
        <v>732.0</v>
      </c>
      <c r="I473" s="3" t="s">
        <v>110</v>
      </c>
      <c r="J473" s="3">
        <v>597.0</v>
      </c>
      <c r="K473" s="3">
        <v>0.0</v>
      </c>
      <c r="L473" s="3">
        <v>12.6</v>
      </c>
      <c r="M473" s="3" t="s">
        <v>111</v>
      </c>
      <c r="N473" s="3">
        <v>198.0</v>
      </c>
      <c r="O473" s="3">
        <v>-5.462</v>
      </c>
      <c r="P473" s="3">
        <v>147.117</v>
      </c>
      <c r="Q473" s="3" t="s">
        <v>1185</v>
      </c>
      <c r="R473" s="4"/>
      <c r="S473" s="3" t="s">
        <v>168</v>
      </c>
      <c r="T473" s="16">
        <f t="shared" si="1"/>
        <v>41016.30069</v>
      </c>
      <c r="U473" s="4" t="b">
        <f t="shared" si="2"/>
        <v>1</v>
      </c>
      <c r="V473" s="4" t="b">
        <f t="shared" si="3"/>
        <v>0</v>
      </c>
      <c r="W473" s="4" t="str">
        <f t="shared" si="8"/>
        <v>Distance/Location</v>
      </c>
      <c r="X473" s="4" t="str">
        <f t="shared" si="4"/>
        <v>mww</v>
      </c>
      <c r="Y473" s="4">
        <f t="shared" si="5"/>
        <v>1</v>
      </c>
      <c r="Z473" s="4" t="str">
        <f t="shared" si="6"/>
        <v>Unique</v>
      </c>
      <c r="AA473" s="4" t="str">
        <f t="shared" si="7"/>
        <v>Valid</v>
      </c>
    </row>
    <row r="474">
      <c r="A474" s="3" t="s">
        <v>1186</v>
      </c>
      <c r="B474" s="3">
        <v>6.7</v>
      </c>
      <c r="C474" s="3" t="s">
        <v>1187</v>
      </c>
      <c r="D474" s="3">
        <v>0.0</v>
      </c>
      <c r="E474" s="3">
        <v>7.0</v>
      </c>
      <c r="F474" s="4"/>
      <c r="G474" s="3">
        <v>0.0</v>
      </c>
      <c r="H474" s="3">
        <v>691.0</v>
      </c>
      <c r="I474" s="3" t="s">
        <v>110</v>
      </c>
      <c r="J474" s="3">
        <v>518.0</v>
      </c>
      <c r="K474" s="3">
        <v>0.0</v>
      </c>
      <c r="L474" s="3">
        <v>26.9</v>
      </c>
      <c r="M474" s="3" t="s">
        <v>111</v>
      </c>
      <c r="N474" s="3">
        <v>29.0</v>
      </c>
      <c r="O474" s="3">
        <v>-32.625</v>
      </c>
      <c r="P474" s="3">
        <v>-71.365</v>
      </c>
      <c r="Q474" s="3" t="s">
        <v>1188</v>
      </c>
      <c r="R474" s="3" t="s">
        <v>121</v>
      </c>
      <c r="S474" s="3" t="s">
        <v>414</v>
      </c>
      <c r="T474" s="16">
        <f t="shared" si="1"/>
        <v>41016.15972</v>
      </c>
      <c r="U474" s="4" t="b">
        <f t="shared" si="2"/>
        <v>1</v>
      </c>
      <c r="V474" s="4" t="b">
        <f t="shared" si="3"/>
        <v>0</v>
      </c>
      <c r="W474" s="4" t="str">
        <f t="shared" si="8"/>
        <v>Distance/Location</v>
      </c>
      <c r="X474" s="4" t="str">
        <f t="shared" si="4"/>
        <v>mww</v>
      </c>
      <c r="Y474" s="4">
        <f t="shared" si="5"/>
        <v>1</v>
      </c>
      <c r="Z474" s="4" t="str">
        <f t="shared" si="6"/>
        <v>Unique</v>
      </c>
      <c r="AA474" s="4" t="str">
        <f t="shared" si="7"/>
        <v>Valid</v>
      </c>
    </row>
    <row r="475">
      <c r="A475" s="3" t="s">
        <v>1189</v>
      </c>
      <c r="B475" s="3">
        <v>7.0</v>
      </c>
      <c r="C475" s="17">
        <v>41247.302083333336</v>
      </c>
      <c r="D475" s="3">
        <v>7.0</v>
      </c>
      <c r="E475" s="3">
        <v>7.0</v>
      </c>
      <c r="F475" s="4"/>
      <c r="G475" s="3">
        <v>0.0</v>
      </c>
      <c r="H475" s="3">
        <v>1000.0</v>
      </c>
      <c r="I475" s="3" t="s">
        <v>110</v>
      </c>
      <c r="J475" s="3">
        <v>474.0</v>
      </c>
      <c r="K475" s="3">
        <v>0.0</v>
      </c>
      <c r="L475" s="3">
        <v>95.9</v>
      </c>
      <c r="M475" s="3" t="s">
        <v>111</v>
      </c>
      <c r="N475" s="3">
        <v>13.0</v>
      </c>
      <c r="O475" s="3">
        <v>28.696</v>
      </c>
      <c r="P475" s="3">
        <v>-113.104</v>
      </c>
      <c r="Q475" s="3" t="s">
        <v>1190</v>
      </c>
      <c r="R475" s="3" t="s">
        <v>233</v>
      </c>
      <c r="S475" s="3" t="s">
        <v>234</v>
      </c>
      <c r="T475" s="16">
        <f t="shared" si="1"/>
        <v>41011.30208</v>
      </c>
      <c r="U475" s="4" t="b">
        <f t="shared" si="2"/>
        <v>1</v>
      </c>
      <c r="V475" s="4" t="b">
        <f t="shared" si="3"/>
        <v>1</v>
      </c>
      <c r="W475" s="4" t="str">
        <f t="shared" si="8"/>
        <v>Distance/Location</v>
      </c>
      <c r="X475" s="4" t="str">
        <f t="shared" si="4"/>
        <v>mww</v>
      </c>
      <c r="Y475" s="4">
        <f t="shared" si="5"/>
        <v>1</v>
      </c>
      <c r="Z475" s="4" t="str">
        <f t="shared" si="6"/>
        <v>Unique</v>
      </c>
      <c r="AA475" s="4" t="str">
        <f t="shared" si="7"/>
        <v>Valid</v>
      </c>
    </row>
    <row r="476">
      <c r="A476" s="3" t="s">
        <v>1191</v>
      </c>
      <c r="B476" s="3">
        <v>6.5</v>
      </c>
      <c r="C476" s="17">
        <v>41217.95486111111</v>
      </c>
      <c r="D476" s="3">
        <v>7.0</v>
      </c>
      <c r="E476" s="3">
        <v>6.0</v>
      </c>
      <c r="F476" s="4"/>
      <c r="G476" s="3">
        <v>0.0</v>
      </c>
      <c r="H476" s="3">
        <v>1171.0</v>
      </c>
      <c r="I476" s="3" t="s">
        <v>110</v>
      </c>
      <c r="J476" s="3">
        <v>599.0</v>
      </c>
      <c r="K476" s="3">
        <v>0.0</v>
      </c>
      <c r="L476" s="3">
        <v>54.1</v>
      </c>
      <c r="M476" s="3" t="s">
        <v>224</v>
      </c>
      <c r="N476" s="3">
        <v>20.0</v>
      </c>
      <c r="O476" s="3">
        <v>18.229</v>
      </c>
      <c r="P476" s="3">
        <v>-102.689</v>
      </c>
      <c r="Q476" s="3" t="s">
        <v>1192</v>
      </c>
      <c r="R476" s="3" t="s">
        <v>233</v>
      </c>
      <c r="S476" s="3" t="s">
        <v>234</v>
      </c>
      <c r="T476" s="16">
        <f t="shared" si="1"/>
        <v>41010.95486</v>
      </c>
      <c r="U476" s="4" t="b">
        <f t="shared" si="2"/>
        <v>1</v>
      </c>
      <c r="V476" s="4" t="b">
        <f t="shared" si="3"/>
        <v>1</v>
      </c>
      <c r="W476" s="4" t="str">
        <f t="shared" si="8"/>
        <v>Distance/Location</v>
      </c>
      <c r="X476" s="4" t="str">
        <f t="shared" si="4"/>
        <v>mwb</v>
      </c>
      <c r="Y476" s="4">
        <f t="shared" si="5"/>
        <v>1</v>
      </c>
      <c r="Z476" s="4" t="str">
        <f t="shared" si="6"/>
        <v>Unique</v>
      </c>
      <c r="AA476" s="4" t="str">
        <f t="shared" si="7"/>
        <v>Valid</v>
      </c>
    </row>
    <row r="477">
      <c r="A477" s="3" t="s">
        <v>1193</v>
      </c>
      <c r="B477" s="3">
        <v>8.2</v>
      </c>
      <c r="C477" s="17">
        <v>41217.44652777778</v>
      </c>
      <c r="D477" s="3">
        <v>9.0</v>
      </c>
      <c r="E477" s="3">
        <v>6.0</v>
      </c>
      <c r="F477" s="3" t="s">
        <v>109</v>
      </c>
      <c r="G477" s="3">
        <v>0.0</v>
      </c>
      <c r="H477" s="3">
        <v>1213.0</v>
      </c>
      <c r="I477" s="3" t="s">
        <v>110</v>
      </c>
      <c r="J477" s="3">
        <v>341.0</v>
      </c>
      <c r="K477" s="3">
        <v>0.0</v>
      </c>
      <c r="L477" s="3">
        <v>14.9</v>
      </c>
      <c r="M477" s="3" t="s">
        <v>204</v>
      </c>
      <c r="N477" s="3">
        <v>25.1</v>
      </c>
      <c r="O477" s="3">
        <v>0.802</v>
      </c>
      <c r="P477" s="3">
        <v>92.463</v>
      </c>
      <c r="Q477" s="3" t="s">
        <v>1194</v>
      </c>
      <c r="R477" s="4"/>
      <c r="S477" s="4"/>
      <c r="T477" s="16">
        <f t="shared" si="1"/>
        <v>41010.44653</v>
      </c>
      <c r="U477" s="4" t="b">
        <f t="shared" si="2"/>
        <v>1</v>
      </c>
      <c r="V477" s="4" t="b">
        <f t="shared" si="3"/>
        <v>1</v>
      </c>
      <c r="W477" s="4" t="str">
        <f t="shared" si="8"/>
        <v>Named Region</v>
      </c>
      <c r="X477" s="4" t="str">
        <f t="shared" si="4"/>
        <v>mwc</v>
      </c>
      <c r="Y477" s="4">
        <f t="shared" si="5"/>
        <v>1</v>
      </c>
      <c r="Z477" s="4" t="str">
        <f t="shared" si="6"/>
        <v>Unique</v>
      </c>
      <c r="AA477" s="4" t="str">
        <f t="shared" si="7"/>
        <v>Valid</v>
      </c>
    </row>
    <row r="478">
      <c r="A478" s="3" t="s">
        <v>1195</v>
      </c>
      <c r="B478" s="3">
        <v>8.6</v>
      </c>
      <c r="C478" s="17">
        <v>41217.35972222222</v>
      </c>
      <c r="D478" s="3">
        <v>9.0</v>
      </c>
      <c r="E478" s="3">
        <v>7.0</v>
      </c>
      <c r="F478" s="3" t="s">
        <v>116</v>
      </c>
      <c r="G478" s="3">
        <v>0.0</v>
      </c>
      <c r="H478" s="3">
        <v>2048.0</v>
      </c>
      <c r="I478" s="3" t="s">
        <v>1196</v>
      </c>
      <c r="J478" s="3">
        <v>499.0</v>
      </c>
      <c r="K478" s="3">
        <v>0.0</v>
      </c>
      <c r="L478" s="3">
        <v>16.6</v>
      </c>
      <c r="M478" s="3" t="s">
        <v>514</v>
      </c>
      <c r="N478" s="3">
        <v>20.0</v>
      </c>
      <c r="O478" s="3">
        <v>2.327</v>
      </c>
      <c r="P478" s="3">
        <v>93.063</v>
      </c>
      <c r="Q478" s="3" t="s">
        <v>1194</v>
      </c>
      <c r="R478" s="4"/>
      <c r="S478" s="4"/>
      <c r="T478" s="16">
        <f t="shared" si="1"/>
        <v>41010.35972</v>
      </c>
      <c r="U478" s="4" t="b">
        <f t="shared" si="2"/>
        <v>1</v>
      </c>
      <c r="V478" s="4" t="b">
        <f t="shared" si="3"/>
        <v>1</v>
      </c>
      <c r="W478" s="4" t="str">
        <f t="shared" si="8"/>
        <v>Named Region</v>
      </c>
      <c r="X478" s="4" t="str">
        <f t="shared" si="4"/>
        <v>mw</v>
      </c>
      <c r="Y478" s="4">
        <f t="shared" si="5"/>
        <v>1</v>
      </c>
      <c r="Z478" s="4" t="str">
        <f t="shared" si="6"/>
        <v>Unique</v>
      </c>
      <c r="AA478" s="4" t="str">
        <f t="shared" si="7"/>
        <v>Valid</v>
      </c>
    </row>
    <row r="479">
      <c r="A479" s="3" t="s">
        <v>1197</v>
      </c>
      <c r="B479" s="3">
        <v>7.1</v>
      </c>
      <c r="C479" s="3" t="s">
        <v>1198</v>
      </c>
      <c r="D479" s="3">
        <v>7.0</v>
      </c>
      <c r="E479" s="3">
        <v>7.0</v>
      </c>
      <c r="F479" s="4"/>
      <c r="G479" s="3">
        <v>0.0</v>
      </c>
      <c r="H479" s="3">
        <v>1496.0</v>
      </c>
      <c r="I479" s="3" t="s">
        <v>110</v>
      </c>
      <c r="J479" s="3">
        <v>553.0</v>
      </c>
      <c r="K479" s="3">
        <v>0.0</v>
      </c>
      <c r="L479" s="3">
        <v>15.2</v>
      </c>
      <c r="M479" s="3" t="s">
        <v>111</v>
      </c>
      <c r="N479" s="3">
        <v>40.7</v>
      </c>
      <c r="O479" s="3">
        <v>-35.2</v>
      </c>
      <c r="P479" s="3">
        <v>-72.217</v>
      </c>
      <c r="Q479" s="3" t="s">
        <v>489</v>
      </c>
      <c r="R479" s="3" t="s">
        <v>121</v>
      </c>
      <c r="S479" s="3" t="s">
        <v>414</v>
      </c>
      <c r="T479" s="16">
        <f t="shared" si="1"/>
        <v>40993.94236</v>
      </c>
      <c r="U479" s="4" t="b">
        <f t="shared" si="2"/>
        <v>1</v>
      </c>
      <c r="V479" s="4" t="b">
        <f t="shared" si="3"/>
        <v>0</v>
      </c>
      <c r="W479" s="4" t="str">
        <f t="shared" si="8"/>
        <v>Distance/Location</v>
      </c>
      <c r="X479" s="4" t="str">
        <f t="shared" si="4"/>
        <v>mww</v>
      </c>
      <c r="Y479" s="4">
        <f t="shared" si="5"/>
        <v>1</v>
      </c>
      <c r="Z479" s="4" t="str">
        <f t="shared" si="6"/>
        <v>Unique</v>
      </c>
      <c r="AA479" s="4" t="str">
        <f t="shared" si="7"/>
        <v>Valid</v>
      </c>
    </row>
    <row r="480">
      <c r="A480" s="3" t="s">
        <v>1199</v>
      </c>
      <c r="B480" s="3">
        <v>6.6</v>
      </c>
      <c r="C480" s="3" t="s">
        <v>1200</v>
      </c>
      <c r="D480" s="3">
        <v>6.0</v>
      </c>
      <c r="E480" s="3">
        <v>6.0</v>
      </c>
      <c r="F480" s="4"/>
      <c r="G480" s="3">
        <v>0.0</v>
      </c>
      <c r="H480" s="3">
        <v>709.0</v>
      </c>
      <c r="I480" s="3" t="s">
        <v>110</v>
      </c>
      <c r="J480" s="3">
        <v>640.0</v>
      </c>
      <c r="K480" s="3">
        <v>0.0</v>
      </c>
      <c r="L480" s="3">
        <v>10.1</v>
      </c>
      <c r="M480" s="3" t="s">
        <v>111</v>
      </c>
      <c r="N480" s="3">
        <v>118.0</v>
      </c>
      <c r="O480" s="3">
        <v>-6.242</v>
      </c>
      <c r="P480" s="3">
        <v>145.955</v>
      </c>
      <c r="Q480" s="3" t="s">
        <v>248</v>
      </c>
      <c r="R480" s="4"/>
      <c r="S480" s="3" t="s">
        <v>168</v>
      </c>
      <c r="T480" s="16">
        <f t="shared" si="1"/>
        <v>40989.92708</v>
      </c>
      <c r="U480" s="4" t="b">
        <f t="shared" si="2"/>
        <v>1</v>
      </c>
      <c r="V480" s="4" t="b">
        <f t="shared" si="3"/>
        <v>0</v>
      </c>
      <c r="W480" s="4" t="str">
        <f t="shared" si="8"/>
        <v>Distance/Location</v>
      </c>
      <c r="X480" s="4" t="str">
        <f t="shared" si="4"/>
        <v>mww</v>
      </c>
      <c r="Y480" s="4">
        <f t="shared" si="5"/>
        <v>1</v>
      </c>
      <c r="Z480" s="4" t="str">
        <f t="shared" si="6"/>
        <v>Unique</v>
      </c>
      <c r="AA480" s="4" t="str">
        <f t="shared" si="7"/>
        <v>Valid</v>
      </c>
    </row>
    <row r="481">
      <c r="A481" s="3" t="s">
        <v>1201</v>
      </c>
      <c r="B481" s="3">
        <v>7.4</v>
      </c>
      <c r="C481" s="3" t="s">
        <v>1202</v>
      </c>
      <c r="D481" s="3">
        <v>9.0</v>
      </c>
      <c r="E481" s="3">
        <v>8.0</v>
      </c>
      <c r="F481" s="4"/>
      <c r="G481" s="3">
        <v>0.0</v>
      </c>
      <c r="H481" s="3">
        <v>1752.0</v>
      </c>
      <c r="I481" s="3" t="s">
        <v>110</v>
      </c>
      <c r="J481" s="3">
        <v>672.0</v>
      </c>
      <c r="K481" s="3">
        <v>0.0</v>
      </c>
      <c r="L481" s="3">
        <v>37.9</v>
      </c>
      <c r="M481" s="3" t="s">
        <v>111</v>
      </c>
      <c r="N481" s="3">
        <v>20.0</v>
      </c>
      <c r="O481" s="3">
        <v>16.493</v>
      </c>
      <c r="P481" s="3">
        <v>-98.231</v>
      </c>
      <c r="Q481" s="3" t="s">
        <v>1203</v>
      </c>
      <c r="R481" s="3" t="s">
        <v>233</v>
      </c>
      <c r="S481" s="3" t="s">
        <v>234</v>
      </c>
      <c r="T481" s="16">
        <f t="shared" si="1"/>
        <v>40988.75139</v>
      </c>
      <c r="U481" s="4" t="b">
        <f t="shared" si="2"/>
        <v>1</v>
      </c>
      <c r="V481" s="4" t="b">
        <f t="shared" si="3"/>
        <v>0</v>
      </c>
      <c r="W481" s="4" t="str">
        <f t="shared" si="8"/>
        <v>Distance/Location</v>
      </c>
      <c r="X481" s="4" t="str">
        <f t="shared" si="4"/>
        <v>mww</v>
      </c>
      <c r="Y481" s="4">
        <f t="shared" si="5"/>
        <v>1</v>
      </c>
      <c r="Z481" s="4" t="str">
        <f t="shared" si="6"/>
        <v>Unique</v>
      </c>
      <c r="AA481" s="4" t="str">
        <f t="shared" si="7"/>
        <v>Valid</v>
      </c>
    </row>
    <row r="482">
      <c r="A482" s="3" t="s">
        <v>1204</v>
      </c>
      <c r="B482" s="3">
        <v>6.7</v>
      </c>
      <c r="C482" s="3" t="s">
        <v>1205</v>
      </c>
      <c r="D482" s="3">
        <v>7.0</v>
      </c>
      <c r="E482" s="3">
        <v>7.0</v>
      </c>
      <c r="F482" s="4"/>
      <c r="G482" s="3">
        <v>0.0</v>
      </c>
      <c r="H482" s="3">
        <v>833.0</v>
      </c>
      <c r="I482" s="3" t="s">
        <v>110</v>
      </c>
      <c r="J482" s="3">
        <v>596.0</v>
      </c>
      <c r="K482" s="3">
        <v>0.0</v>
      </c>
      <c r="L482" s="3">
        <v>13.4</v>
      </c>
      <c r="M482" s="3" t="s">
        <v>111</v>
      </c>
      <c r="N482" s="3">
        <v>12.0</v>
      </c>
      <c r="O482" s="3">
        <v>51.708</v>
      </c>
      <c r="P482" s="3">
        <v>95.991</v>
      </c>
      <c r="Q482" s="3" t="s">
        <v>1206</v>
      </c>
      <c r="R482" s="3" t="s">
        <v>164</v>
      </c>
      <c r="S482" s="3" t="s">
        <v>464</v>
      </c>
      <c r="T482" s="16">
        <f t="shared" si="1"/>
        <v>40965.26181</v>
      </c>
      <c r="U482" s="4" t="b">
        <f t="shared" si="2"/>
        <v>1</v>
      </c>
      <c r="V482" s="4" t="b">
        <f t="shared" si="3"/>
        <v>0</v>
      </c>
      <c r="W482" s="4" t="str">
        <f t="shared" si="8"/>
        <v>Distance/Location</v>
      </c>
      <c r="X482" s="4" t="str">
        <f t="shared" si="4"/>
        <v>mww</v>
      </c>
      <c r="Y482" s="4">
        <f t="shared" si="5"/>
        <v>1</v>
      </c>
      <c r="Z482" s="4" t="str">
        <f t="shared" si="6"/>
        <v>Unique</v>
      </c>
      <c r="AA482" s="4" t="str">
        <f t="shared" si="7"/>
        <v>Valid</v>
      </c>
    </row>
    <row r="483">
      <c r="A483" s="3" t="s">
        <v>1207</v>
      </c>
      <c r="B483" s="3">
        <v>6.7</v>
      </c>
      <c r="C483" s="17">
        <v>41062.15902777778</v>
      </c>
      <c r="D483" s="3">
        <v>9.0</v>
      </c>
      <c r="E483" s="3">
        <v>7.0</v>
      </c>
      <c r="F483" s="4"/>
      <c r="G483" s="3">
        <v>0.0</v>
      </c>
      <c r="H483" s="3">
        <v>1551.0</v>
      </c>
      <c r="I483" s="3" t="s">
        <v>110</v>
      </c>
      <c r="J483" s="3">
        <v>572.0</v>
      </c>
      <c r="K483" s="3">
        <v>0.0</v>
      </c>
      <c r="L483" s="3">
        <v>11.1</v>
      </c>
      <c r="M483" s="3" t="s">
        <v>111</v>
      </c>
      <c r="N483" s="3">
        <v>11.0</v>
      </c>
      <c r="O483" s="3">
        <v>9.999</v>
      </c>
      <c r="P483" s="3">
        <v>123.206</v>
      </c>
      <c r="Q483" s="3" t="s">
        <v>1208</v>
      </c>
      <c r="R483" s="4"/>
      <c r="S483" s="3" t="s">
        <v>258</v>
      </c>
      <c r="T483" s="16">
        <f t="shared" si="1"/>
        <v>40945.15903</v>
      </c>
      <c r="U483" s="4" t="b">
        <f t="shared" si="2"/>
        <v>1</v>
      </c>
      <c r="V483" s="4" t="b">
        <f t="shared" si="3"/>
        <v>1</v>
      </c>
      <c r="W483" s="4" t="str">
        <f t="shared" si="8"/>
        <v>Distance/Location</v>
      </c>
      <c r="X483" s="4" t="str">
        <f t="shared" si="4"/>
        <v>mww</v>
      </c>
      <c r="Y483" s="4">
        <f t="shared" si="5"/>
        <v>1</v>
      </c>
      <c r="Z483" s="4" t="str">
        <f t="shared" si="6"/>
        <v>Unique</v>
      </c>
      <c r="AA483" s="4" t="str">
        <f t="shared" si="7"/>
        <v>Valid</v>
      </c>
    </row>
    <row r="484">
      <c r="A484" s="3" t="s">
        <v>1209</v>
      </c>
      <c r="B484" s="3">
        <v>7.1</v>
      </c>
      <c r="C484" s="17">
        <v>40941.56527777778</v>
      </c>
      <c r="D484" s="3">
        <v>5.0</v>
      </c>
      <c r="E484" s="3">
        <v>5.0</v>
      </c>
      <c r="F484" s="4"/>
      <c r="G484" s="3">
        <v>0.0</v>
      </c>
      <c r="H484" s="3">
        <v>793.0</v>
      </c>
      <c r="I484" s="3" t="s">
        <v>110</v>
      </c>
      <c r="J484" s="3">
        <v>573.0</v>
      </c>
      <c r="K484" s="3">
        <v>0.0</v>
      </c>
      <c r="L484" s="3">
        <v>12.0</v>
      </c>
      <c r="M484" s="3" t="s">
        <v>111</v>
      </c>
      <c r="N484" s="3">
        <v>23.0</v>
      </c>
      <c r="O484" s="3">
        <v>-17.827</v>
      </c>
      <c r="P484" s="3">
        <v>167.133</v>
      </c>
      <c r="Q484" s="3" t="s">
        <v>948</v>
      </c>
      <c r="R484" s="4"/>
      <c r="S484" s="4"/>
      <c r="T484" s="16">
        <f t="shared" si="1"/>
        <v>40941.56528</v>
      </c>
      <c r="U484" s="4" t="b">
        <f t="shared" si="2"/>
        <v>1</v>
      </c>
      <c r="V484" s="4" t="b">
        <f t="shared" si="3"/>
        <v>1</v>
      </c>
      <c r="W484" s="4" t="str">
        <f t="shared" si="8"/>
        <v>Distance/Location</v>
      </c>
      <c r="X484" s="4" t="str">
        <f t="shared" si="4"/>
        <v>mww</v>
      </c>
      <c r="Y484" s="4">
        <f t="shared" si="5"/>
        <v>1</v>
      </c>
      <c r="Z484" s="4" t="str">
        <f t="shared" si="6"/>
        <v>Unique</v>
      </c>
      <c r="AA484" s="4" t="str">
        <f t="shared" si="7"/>
        <v>Valid</v>
      </c>
    </row>
    <row r="485">
      <c r="A485" s="3" t="s">
        <v>1210</v>
      </c>
      <c r="B485" s="3">
        <v>7.2</v>
      </c>
      <c r="C485" s="17">
        <v>41183.775</v>
      </c>
      <c r="D485" s="3">
        <v>4.0</v>
      </c>
      <c r="E485" s="3">
        <v>4.0</v>
      </c>
      <c r="F485" s="4"/>
      <c r="G485" s="3">
        <v>0.0</v>
      </c>
      <c r="H485" s="3">
        <v>838.0</v>
      </c>
      <c r="I485" s="3" t="s">
        <v>110</v>
      </c>
      <c r="J485" s="3">
        <v>443.0</v>
      </c>
      <c r="K485" s="3">
        <v>0.0</v>
      </c>
      <c r="L485" s="3">
        <v>17.0</v>
      </c>
      <c r="M485" s="3" t="s">
        <v>111</v>
      </c>
      <c r="N485" s="3">
        <v>19.0</v>
      </c>
      <c r="O485" s="3">
        <v>2.433</v>
      </c>
      <c r="P485" s="3">
        <v>93.21</v>
      </c>
      <c r="Q485" s="3" t="s">
        <v>1194</v>
      </c>
      <c r="R485" s="4"/>
      <c r="S485" s="4"/>
      <c r="T485" s="16">
        <f t="shared" si="1"/>
        <v>40918.775</v>
      </c>
      <c r="U485" s="4" t="b">
        <f t="shared" si="2"/>
        <v>1</v>
      </c>
      <c r="V485" s="4" t="b">
        <f t="shared" si="3"/>
        <v>1</v>
      </c>
      <c r="W485" s="4" t="str">
        <f t="shared" si="8"/>
        <v>Named Region</v>
      </c>
      <c r="X485" s="4" t="str">
        <f t="shared" si="4"/>
        <v>mww</v>
      </c>
      <c r="Y485" s="4">
        <f t="shared" si="5"/>
        <v>1</v>
      </c>
      <c r="Z485" s="4" t="str">
        <f t="shared" si="6"/>
        <v>Unique</v>
      </c>
      <c r="AA485" s="4" t="str">
        <f t="shared" si="7"/>
        <v>Valid</v>
      </c>
    </row>
    <row r="486">
      <c r="A486" s="3" t="s">
        <v>1211</v>
      </c>
      <c r="B486" s="3">
        <v>6.6</v>
      </c>
      <c r="C486" s="3" t="s">
        <v>1212</v>
      </c>
      <c r="D486" s="3">
        <v>0.0</v>
      </c>
      <c r="E486" s="3">
        <v>7.0</v>
      </c>
      <c r="F486" s="4"/>
      <c r="G486" s="3">
        <v>0.0</v>
      </c>
      <c r="H486" s="3">
        <v>670.0</v>
      </c>
      <c r="I486" s="3" t="s">
        <v>110</v>
      </c>
      <c r="J486" s="3">
        <v>545.0</v>
      </c>
      <c r="K486" s="3">
        <v>0.0</v>
      </c>
      <c r="L486" s="3">
        <v>17.6</v>
      </c>
      <c r="M486" s="3" t="s">
        <v>111</v>
      </c>
      <c r="N486" s="3">
        <v>15.0</v>
      </c>
      <c r="O486" s="3">
        <v>51.842</v>
      </c>
      <c r="P486" s="3">
        <v>95.911</v>
      </c>
      <c r="Q486" s="3" t="s">
        <v>1206</v>
      </c>
      <c r="R486" s="3" t="s">
        <v>164</v>
      </c>
      <c r="S486" s="3" t="s">
        <v>464</v>
      </c>
      <c r="T486" s="16">
        <f t="shared" si="1"/>
        <v>40904.63958</v>
      </c>
      <c r="U486" s="4" t="b">
        <f t="shared" si="2"/>
        <v>1</v>
      </c>
      <c r="V486" s="4" t="b">
        <f t="shared" si="3"/>
        <v>0</v>
      </c>
      <c r="W486" s="4" t="str">
        <f t="shared" si="8"/>
        <v>Distance/Location</v>
      </c>
      <c r="X486" s="4" t="str">
        <f t="shared" si="4"/>
        <v>mww</v>
      </c>
      <c r="Y486" s="4">
        <f t="shared" si="5"/>
        <v>1</v>
      </c>
      <c r="Z486" s="4" t="str">
        <f t="shared" si="6"/>
        <v>Unique</v>
      </c>
      <c r="AA486" s="4" t="str">
        <f t="shared" si="7"/>
        <v>Valid</v>
      </c>
    </row>
    <row r="487">
      <c r="A487" s="3" t="s">
        <v>1213</v>
      </c>
      <c r="B487" s="3">
        <v>7.1</v>
      </c>
      <c r="C487" s="3" t="s">
        <v>1214</v>
      </c>
      <c r="D487" s="3">
        <v>6.0</v>
      </c>
      <c r="E487" s="3">
        <v>6.0</v>
      </c>
      <c r="F487" s="4"/>
      <c r="G487" s="3">
        <v>0.0</v>
      </c>
      <c r="H487" s="3">
        <v>834.0</v>
      </c>
      <c r="I487" s="3" t="s">
        <v>110</v>
      </c>
      <c r="J487" s="3">
        <v>485.0</v>
      </c>
      <c r="K487" s="3">
        <v>0.0</v>
      </c>
      <c r="L487" s="3">
        <v>10.6</v>
      </c>
      <c r="M487" s="3" t="s">
        <v>111</v>
      </c>
      <c r="N487" s="3">
        <v>135.0</v>
      </c>
      <c r="O487" s="3">
        <v>-7.551</v>
      </c>
      <c r="P487" s="3">
        <v>146.809</v>
      </c>
      <c r="Q487" s="3" t="s">
        <v>1215</v>
      </c>
      <c r="R487" s="4"/>
      <c r="S487" s="3" t="s">
        <v>168</v>
      </c>
      <c r="T487" s="16">
        <f t="shared" si="1"/>
        <v>40891.21111</v>
      </c>
      <c r="U487" s="4" t="b">
        <f t="shared" si="2"/>
        <v>1</v>
      </c>
      <c r="V487" s="4" t="b">
        <f t="shared" si="3"/>
        <v>0</v>
      </c>
      <c r="W487" s="4" t="str">
        <f t="shared" si="8"/>
        <v>Distance/Location</v>
      </c>
      <c r="X487" s="4" t="str">
        <f t="shared" si="4"/>
        <v>mww</v>
      </c>
      <c r="Y487" s="4">
        <f t="shared" si="5"/>
        <v>1</v>
      </c>
      <c r="Z487" s="4" t="str">
        <f t="shared" si="6"/>
        <v>Unique</v>
      </c>
      <c r="AA487" s="4" t="str">
        <f t="shared" si="7"/>
        <v>Valid</v>
      </c>
    </row>
    <row r="488">
      <c r="A488" s="3" t="s">
        <v>1216</v>
      </c>
      <c r="B488" s="3">
        <v>6.5</v>
      </c>
      <c r="C488" s="18">
        <v>40859.07430555556</v>
      </c>
      <c r="D488" s="3">
        <v>8.0</v>
      </c>
      <c r="E488" s="3">
        <v>7.0</v>
      </c>
      <c r="F488" s="4"/>
      <c r="G488" s="3">
        <v>0.0</v>
      </c>
      <c r="H488" s="3">
        <v>1400.0</v>
      </c>
      <c r="I488" s="3" t="s">
        <v>110</v>
      </c>
      <c r="J488" s="3">
        <v>578.0</v>
      </c>
      <c r="K488" s="3">
        <v>0.0</v>
      </c>
      <c r="L488" s="3">
        <v>38.6</v>
      </c>
      <c r="M488" s="3" t="s">
        <v>111</v>
      </c>
      <c r="N488" s="3">
        <v>59.0</v>
      </c>
      <c r="O488" s="3">
        <v>17.986</v>
      </c>
      <c r="P488" s="3">
        <v>-99.789</v>
      </c>
      <c r="Q488" s="3" t="s">
        <v>1217</v>
      </c>
      <c r="R488" s="3" t="s">
        <v>233</v>
      </c>
      <c r="S488" s="3" t="s">
        <v>234</v>
      </c>
      <c r="T488" s="16">
        <f t="shared" si="1"/>
        <v>40888.07431</v>
      </c>
      <c r="U488" s="4" t="b">
        <f t="shared" si="2"/>
        <v>1</v>
      </c>
      <c r="V488" s="4" t="b">
        <f t="shared" si="3"/>
        <v>1</v>
      </c>
      <c r="W488" s="4" t="str">
        <f t="shared" si="8"/>
        <v>Distance/Location</v>
      </c>
      <c r="X488" s="4" t="str">
        <f t="shared" si="4"/>
        <v>mww</v>
      </c>
      <c r="Y488" s="4">
        <f t="shared" si="5"/>
        <v>1</v>
      </c>
      <c r="Z488" s="4" t="str">
        <f t="shared" si="6"/>
        <v>Unique</v>
      </c>
      <c r="AA488" s="4" t="str">
        <f t="shared" si="7"/>
        <v>Valid</v>
      </c>
    </row>
    <row r="489">
      <c r="A489" s="3" t="s">
        <v>1218</v>
      </c>
      <c r="B489" s="3">
        <v>6.9</v>
      </c>
      <c r="C489" s="3" t="s">
        <v>1219</v>
      </c>
      <c r="D489" s="3">
        <v>6.0</v>
      </c>
      <c r="E489" s="3">
        <v>7.0</v>
      </c>
      <c r="F489" s="4"/>
      <c r="G489" s="3">
        <v>0.0</v>
      </c>
      <c r="H489" s="3">
        <v>847.0</v>
      </c>
      <c r="I489" s="3" t="s">
        <v>110</v>
      </c>
      <c r="J489" s="3">
        <v>474.0</v>
      </c>
      <c r="K489" s="3">
        <v>0.0</v>
      </c>
      <c r="L489" s="3">
        <v>46.5</v>
      </c>
      <c r="M489" s="3" t="s">
        <v>111</v>
      </c>
      <c r="N489" s="3">
        <v>24.0</v>
      </c>
      <c r="O489" s="3">
        <v>-14.438</v>
      </c>
      <c r="P489" s="3">
        <v>-75.966</v>
      </c>
      <c r="Q489" s="3" t="s">
        <v>1220</v>
      </c>
      <c r="R489" s="3" t="s">
        <v>121</v>
      </c>
      <c r="S489" s="3" t="s">
        <v>265</v>
      </c>
      <c r="T489" s="16">
        <f t="shared" si="1"/>
        <v>40844.7875</v>
      </c>
      <c r="U489" s="4" t="b">
        <f t="shared" si="2"/>
        <v>1</v>
      </c>
      <c r="V489" s="4" t="b">
        <f t="shared" si="3"/>
        <v>0</v>
      </c>
      <c r="W489" s="4" t="str">
        <f t="shared" si="8"/>
        <v>Distance/Location</v>
      </c>
      <c r="X489" s="4" t="str">
        <f t="shared" si="4"/>
        <v>mww</v>
      </c>
      <c r="Y489" s="4">
        <f t="shared" si="5"/>
        <v>1</v>
      </c>
      <c r="Z489" s="4" t="str">
        <f t="shared" si="6"/>
        <v>Unique</v>
      </c>
      <c r="AA489" s="4" t="str">
        <f t="shared" si="7"/>
        <v>Valid</v>
      </c>
    </row>
    <row r="490">
      <c r="A490" s="3" t="s">
        <v>1221</v>
      </c>
      <c r="B490" s="3">
        <v>7.1</v>
      </c>
      <c r="C490" s="3" t="s">
        <v>1222</v>
      </c>
      <c r="D490" s="3">
        <v>9.0</v>
      </c>
      <c r="E490" s="3">
        <v>9.0</v>
      </c>
      <c r="F490" s="4"/>
      <c r="G490" s="3">
        <v>0.0</v>
      </c>
      <c r="H490" s="3">
        <v>1096.0</v>
      </c>
      <c r="I490" s="3" t="s">
        <v>110</v>
      </c>
      <c r="J490" s="3">
        <v>693.0</v>
      </c>
      <c r="K490" s="3">
        <v>0.0</v>
      </c>
      <c r="L490" s="3">
        <v>19.7</v>
      </c>
      <c r="M490" s="3" t="s">
        <v>111</v>
      </c>
      <c r="N490" s="3">
        <v>18.0</v>
      </c>
      <c r="O490" s="3">
        <v>38.721</v>
      </c>
      <c r="P490" s="3">
        <v>43.508</v>
      </c>
      <c r="Q490" s="3" t="s">
        <v>1223</v>
      </c>
      <c r="R490" s="3" t="s">
        <v>164</v>
      </c>
      <c r="S490" s="3" t="s">
        <v>471</v>
      </c>
      <c r="T490" s="16">
        <f t="shared" si="1"/>
        <v>40839.44514</v>
      </c>
      <c r="U490" s="4" t="b">
        <f t="shared" si="2"/>
        <v>1</v>
      </c>
      <c r="V490" s="4" t="b">
        <f t="shared" si="3"/>
        <v>0</v>
      </c>
      <c r="W490" s="4" t="str">
        <f t="shared" si="8"/>
        <v>Distance/Location</v>
      </c>
      <c r="X490" s="4" t="str">
        <f t="shared" si="4"/>
        <v>mww</v>
      </c>
      <c r="Y490" s="4">
        <f t="shared" si="5"/>
        <v>1</v>
      </c>
      <c r="Z490" s="4" t="str">
        <f t="shared" si="6"/>
        <v>Unique</v>
      </c>
      <c r="AA490" s="4" t="str">
        <f t="shared" si="7"/>
        <v>Valid</v>
      </c>
    </row>
    <row r="491">
      <c r="A491" s="3" t="s">
        <v>1224</v>
      </c>
      <c r="B491" s="3">
        <v>6.5</v>
      </c>
      <c r="C491" s="3" t="s">
        <v>1225</v>
      </c>
      <c r="D491" s="3">
        <v>3.0</v>
      </c>
      <c r="E491" s="3">
        <v>6.0</v>
      </c>
      <c r="F491" s="4"/>
      <c r="G491" s="3">
        <v>0.0</v>
      </c>
      <c r="H491" s="3">
        <v>655.0</v>
      </c>
      <c r="I491" s="3" t="s">
        <v>110</v>
      </c>
      <c r="J491" s="3">
        <v>423.0</v>
      </c>
      <c r="K491" s="3">
        <v>0.0</v>
      </c>
      <c r="L491" s="3">
        <v>12.6</v>
      </c>
      <c r="M491" s="3" t="s">
        <v>111</v>
      </c>
      <c r="N491" s="3">
        <v>37.0</v>
      </c>
      <c r="O491" s="3">
        <v>-6.57</v>
      </c>
      <c r="P491" s="3">
        <v>147.881</v>
      </c>
      <c r="Q491" s="3" t="s">
        <v>965</v>
      </c>
      <c r="R491" s="4"/>
      <c r="S491" s="3" t="s">
        <v>168</v>
      </c>
      <c r="T491" s="16">
        <f t="shared" si="1"/>
        <v>40830.14931</v>
      </c>
      <c r="U491" s="4" t="b">
        <f t="shared" si="2"/>
        <v>1</v>
      </c>
      <c r="V491" s="4" t="b">
        <f t="shared" si="3"/>
        <v>0</v>
      </c>
      <c r="W491" s="4" t="str">
        <f t="shared" si="8"/>
        <v>Distance/Location</v>
      </c>
      <c r="X491" s="4" t="str">
        <f t="shared" si="4"/>
        <v>mww</v>
      </c>
      <c r="Y491" s="4">
        <f t="shared" si="5"/>
        <v>1</v>
      </c>
      <c r="Z491" s="4" t="str">
        <f t="shared" si="6"/>
        <v>Unique</v>
      </c>
      <c r="AA491" s="4" t="str">
        <f t="shared" si="7"/>
        <v>Valid</v>
      </c>
    </row>
    <row r="492">
      <c r="A492" s="3" t="s">
        <v>1226</v>
      </c>
      <c r="B492" s="3">
        <v>6.9</v>
      </c>
      <c r="C492" s="3" t="s">
        <v>1227</v>
      </c>
      <c r="D492" s="3">
        <v>8.0</v>
      </c>
      <c r="E492" s="3">
        <v>8.0</v>
      </c>
      <c r="F492" s="4"/>
      <c r="G492" s="3">
        <v>0.0</v>
      </c>
      <c r="H492" s="3">
        <v>1562.0</v>
      </c>
      <c r="I492" s="3" t="s">
        <v>110</v>
      </c>
      <c r="J492" s="3">
        <v>383.0</v>
      </c>
      <c r="K492" s="3">
        <v>0.0</v>
      </c>
      <c r="L492" s="3">
        <v>13.0</v>
      </c>
      <c r="M492" s="3" t="s">
        <v>111</v>
      </c>
      <c r="N492" s="3">
        <v>50.0</v>
      </c>
      <c r="O492" s="3">
        <v>27.73</v>
      </c>
      <c r="P492" s="3">
        <v>88.155</v>
      </c>
      <c r="Q492" s="3" t="s">
        <v>1228</v>
      </c>
      <c r="R492" s="3" t="s">
        <v>164</v>
      </c>
      <c r="S492" s="3" t="s">
        <v>835</v>
      </c>
      <c r="T492" s="16">
        <f t="shared" si="1"/>
        <v>40804.52778</v>
      </c>
      <c r="U492" s="4" t="b">
        <f t="shared" si="2"/>
        <v>1</v>
      </c>
      <c r="V492" s="4" t="b">
        <f t="shared" si="3"/>
        <v>0</v>
      </c>
      <c r="W492" s="4" t="str">
        <f t="shared" si="8"/>
        <v>Distance/Location</v>
      </c>
      <c r="X492" s="4" t="str">
        <f t="shared" si="4"/>
        <v>mww</v>
      </c>
      <c r="Y492" s="4">
        <f t="shared" si="5"/>
        <v>1</v>
      </c>
      <c r="Z492" s="4" t="str">
        <f t="shared" si="6"/>
        <v>Unique</v>
      </c>
      <c r="AA492" s="4" t="str">
        <f t="shared" si="7"/>
        <v>Valid</v>
      </c>
    </row>
    <row r="493">
      <c r="A493" s="3" t="s">
        <v>1229</v>
      </c>
      <c r="B493" s="3">
        <v>6.7</v>
      </c>
      <c r="C493" s="3" t="s">
        <v>1230</v>
      </c>
      <c r="D493" s="3">
        <v>5.0</v>
      </c>
      <c r="E493" s="3">
        <v>5.0</v>
      </c>
      <c r="F493" s="4"/>
      <c r="G493" s="3">
        <v>0.0</v>
      </c>
      <c r="H493" s="3">
        <v>712.0</v>
      </c>
      <c r="I493" s="3" t="s">
        <v>110</v>
      </c>
      <c r="J493" s="3">
        <v>667.0</v>
      </c>
      <c r="K493" s="3">
        <v>0.0</v>
      </c>
      <c r="L493" s="3">
        <v>10.9</v>
      </c>
      <c r="M493" s="3" t="s">
        <v>204</v>
      </c>
      <c r="N493" s="3">
        <v>30.0</v>
      </c>
      <c r="O493" s="3">
        <v>40.273</v>
      </c>
      <c r="P493" s="3">
        <v>142.779</v>
      </c>
      <c r="Q493" s="3" t="s">
        <v>943</v>
      </c>
      <c r="R493" s="4"/>
      <c r="S493" s="4"/>
      <c r="T493" s="16">
        <f t="shared" si="1"/>
        <v>40802.80972</v>
      </c>
      <c r="U493" s="4" t="b">
        <f t="shared" si="2"/>
        <v>1</v>
      </c>
      <c r="V493" s="4" t="b">
        <f t="shared" si="3"/>
        <v>0</v>
      </c>
      <c r="W493" s="4" t="str">
        <f t="shared" si="8"/>
        <v>Distance/Location</v>
      </c>
      <c r="X493" s="4" t="str">
        <f t="shared" si="4"/>
        <v>mwc</v>
      </c>
      <c r="Y493" s="4">
        <f t="shared" si="5"/>
        <v>1</v>
      </c>
      <c r="Z493" s="4" t="str">
        <f t="shared" si="6"/>
        <v>Unique</v>
      </c>
      <c r="AA493" s="4" t="str">
        <f t="shared" si="7"/>
        <v>Valid</v>
      </c>
    </row>
    <row r="494">
      <c r="A494" s="3" t="s">
        <v>1231</v>
      </c>
      <c r="B494" s="3">
        <v>6.7</v>
      </c>
      <c r="C494" s="17">
        <v>40672.74652777778</v>
      </c>
      <c r="D494" s="3">
        <v>5.0</v>
      </c>
      <c r="E494" s="3">
        <v>6.0</v>
      </c>
      <c r="F494" s="4"/>
      <c r="G494" s="3">
        <v>0.0</v>
      </c>
      <c r="H494" s="3">
        <v>915.0</v>
      </c>
      <c r="I494" s="3" t="s">
        <v>110</v>
      </c>
      <c r="J494" s="3">
        <v>447.0</v>
      </c>
      <c r="K494" s="3">
        <v>0.0</v>
      </c>
      <c r="L494" s="3">
        <v>15.3</v>
      </c>
      <c r="M494" s="3" t="s">
        <v>111</v>
      </c>
      <c r="N494" s="3">
        <v>91.0</v>
      </c>
      <c r="O494" s="3">
        <v>2.965</v>
      </c>
      <c r="P494" s="3">
        <v>97.893</v>
      </c>
      <c r="Q494" s="3" t="s">
        <v>1232</v>
      </c>
      <c r="R494" s="4"/>
      <c r="S494" s="3" t="s">
        <v>153</v>
      </c>
      <c r="T494" s="16">
        <f t="shared" si="1"/>
        <v>40791.74653</v>
      </c>
      <c r="U494" s="4" t="b">
        <f t="shared" si="2"/>
        <v>1</v>
      </c>
      <c r="V494" s="4" t="b">
        <f t="shared" si="3"/>
        <v>1</v>
      </c>
      <c r="W494" s="4" t="str">
        <f t="shared" si="8"/>
        <v>Distance/Location</v>
      </c>
      <c r="X494" s="4" t="str">
        <f t="shared" si="4"/>
        <v>mww</v>
      </c>
      <c r="Y494" s="4">
        <f t="shared" si="5"/>
        <v>1</v>
      </c>
      <c r="Z494" s="4" t="str">
        <f t="shared" si="6"/>
        <v>Unique</v>
      </c>
      <c r="AA494" s="4" t="str">
        <f t="shared" si="7"/>
        <v>Valid</v>
      </c>
    </row>
    <row r="495">
      <c r="A495" s="3" t="s">
        <v>1233</v>
      </c>
      <c r="B495" s="3">
        <v>7.0</v>
      </c>
      <c r="C495" s="17">
        <v>40611.95486111111</v>
      </c>
      <c r="D495" s="3">
        <v>7.0</v>
      </c>
      <c r="E495" s="3">
        <v>5.0</v>
      </c>
      <c r="F495" s="4"/>
      <c r="G495" s="3">
        <v>0.0</v>
      </c>
      <c r="H495" s="3">
        <v>761.0</v>
      </c>
      <c r="I495" s="3" t="s">
        <v>110</v>
      </c>
      <c r="J495" s="3">
        <v>406.0</v>
      </c>
      <c r="K495" s="3">
        <v>0.0</v>
      </c>
      <c r="L495" s="3">
        <v>15.3</v>
      </c>
      <c r="M495" s="3" t="s">
        <v>111</v>
      </c>
      <c r="N495" s="3">
        <v>185.1</v>
      </c>
      <c r="O495" s="3">
        <v>-20.671</v>
      </c>
      <c r="P495" s="3">
        <v>169.716</v>
      </c>
      <c r="Q495" s="3" t="s">
        <v>246</v>
      </c>
      <c r="R495" s="4"/>
      <c r="S495" s="4"/>
      <c r="T495" s="16">
        <f t="shared" si="1"/>
        <v>40789.95486</v>
      </c>
      <c r="U495" s="4" t="b">
        <f t="shared" si="2"/>
        <v>1</v>
      </c>
      <c r="V495" s="4" t="b">
        <f t="shared" si="3"/>
        <v>1</v>
      </c>
      <c r="W495" s="4" t="str">
        <f t="shared" si="8"/>
        <v>Distance/Location</v>
      </c>
      <c r="X495" s="4" t="str">
        <f t="shared" si="4"/>
        <v>mww</v>
      </c>
      <c r="Y495" s="4">
        <f t="shared" si="5"/>
        <v>1</v>
      </c>
      <c r="Z495" s="4" t="str">
        <f t="shared" si="6"/>
        <v>Unique</v>
      </c>
      <c r="AA495" s="4" t="str">
        <f t="shared" si="7"/>
        <v>Valid</v>
      </c>
    </row>
    <row r="496">
      <c r="A496" s="3" t="s">
        <v>1234</v>
      </c>
      <c r="B496" s="3">
        <v>7.0</v>
      </c>
      <c r="C496" s="3" t="s">
        <v>1235</v>
      </c>
      <c r="D496" s="3">
        <v>6.0</v>
      </c>
      <c r="E496" s="3">
        <v>6.0</v>
      </c>
      <c r="F496" s="4"/>
      <c r="G496" s="3">
        <v>0.0</v>
      </c>
      <c r="H496" s="3">
        <v>913.0</v>
      </c>
      <c r="I496" s="3" t="s">
        <v>110</v>
      </c>
      <c r="J496" s="3">
        <v>471.0</v>
      </c>
      <c r="K496" s="3">
        <v>0.0</v>
      </c>
      <c r="L496" s="3">
        <v>26.9</v>
      </c>
      <c r="M496" s="3" t="s">
        <v>111</v>
      </c>
      <c r="N496" s="3">
        <v>147.0</v>
      </c>
      <c r="O496" s="3">
        <v>-7.641</v>
      </c>
      <c r="P496" s="3">
        <v>-74.525</v>
      </c>
      <c r="Q496" s="3" t="s">
        <v>1236</v>
      </c>
      <c r="R496" s="3" t="s">
        <v>121</v>
      </c>
      <c r="S496" s="3" t="s">
        <v>265</v>
      </c>
      <c r="T496" s="16">
        <f t="shared" si="1"/>
        <v>40779.74028</v>
      </c>
      <c r="U496" s="4" t="b">
        <f t="shared" si="2"/>
        <v>1</v>
      </c>
      <c r="V496" s="4" t="b">
        <f t="shared" si="3"/>
        <v>0</v>
      </c>
      <c r="W496" s="4" t="str">
        <f t="shared" si="8"/>
        <v>Distance/Location</v>
      </c>
      <c r="X496" s="4" t="str">
        <f t="shared" si="4"/>
        <v>mww</v>
      </c>
      <c r="Y496" s="4">
        <f t="shared" si="5"/>
        <v>1</v>
      </c>
      <c r="Z496" s="4" t="str">
        <f t="shared" si="6"/>
        <v>Unique</v>
      </c>
      <c r="AA496" s="4" t="str">
        <f t="shared" si="7"/>
        <v>Valid</v>
      </c>
    </row>
    <row r="497">
      <c r="A497" s="3" t="s">
        <v>1237</v>
      </c>
      <c r="B497" s="3">
        <v>7.1</v>
      </c>
      <c r="C497" s="3" t="s">
        <v>1238</v>
      </c>
      <c r="D497" s="3">
        <v>5.0</v>
      </c>
      <c r="E497" s="3">
        <v>6.0</v>
      </c>
      <c r="F497" s="4"/>
      <c r="G497" s="3">
        <v>0.0</v>
      </c>
      <c r="H497" s="3">
        <v>787.0</v>
      </c>
      <c r="I497" s="3" t="s">
        <v>110</v>
      </c>
      <c r="J497" s="3">
        <v>564.0</v>
      </c>
      <c r="K497" s="3">
        <v>0.0</v>
      </c>
      <c r="L497" s="3">
        <v>12.3</v>
      </c>
      <c r="M497" s="3" t="s">
        <v>111</v>
      </c>
      <c r="N497" s="3">
        <v>28.0</v>
      </c>
      <c r="O497" s="3">
        <v>-18.311</v>
      </c>
      <c r="P497" s="3">
        <v>168.218</v>
      </c>
      <c r="Q497" s="3" t="s">
        <v>948</v>
      </c>
      <c r="R497" s="4"/>
      <c r="S497" s="4"/>
      <c r="T497" s="16">
        <f t="shared" si="1"/>
        <v>40775.76319</v>
      </c>
      <c r="U497" s="4" t="b">
        <f t="shared" si="2"/>
        <v>1</v>
      </c>
      <c r="V497" s="4" t="b">
        <f t="shared" si="3"/>
        <v>0</v>
      </c>
      <c r="W497" s="4" t="str">
        <f t="shared" si="8"/>
        <v>Distance/Location</v>
      </c>
      <c r="X497" s="4" t="str">
        <f t="shared" si="4"/>
        <v>mww</v>
      </c>
      <c r="Y497" s="4">
        <f t="shared" si="5"/>
        <v>1</v>
      </c>
      <c r="Z497" s="4" t="str">
        <f t="shared" si="6"/>
        <v>Unique</v>
      </c>
      <c r="AA497" s="4" t="str">
        <f t="shared" si="7"/>
        <v>Valid</v>
      </c>
    </row>
    <row r="498">
      <c r="A498" s="3" t="s">
        <v>1239</v>
      </c>
      <c r="B498" s="3">
        <v>6.5</v>
      </c>
      <c r="C498" s="3" t="s">
        <v>1240</v>
      </c>
      <c r="D498" s="3">
        <v>0.0</v>
      </c>
      <c r="E498" s="3">
        <v>5.0</v>
      </c>
      <c r="F498" s="4"/>
      <c r="G498" s="3">
        <v>0.0</v>
      </c>
      <c r="H498" s="3">
        <v>650.0</v>
      </c>
      <c r="I498" s="3" t="s">
        <v>110</v>
      </c>
      <c r="J498" s="3">
        <v>322.0</v>
      </c>
      <c r="K498" s="3">
        <v>0.0</v>
      </c>
      <c r="L498" s="3">
        <v>15.0</v>
      </c>
      <c r="M498" s="3" t="s">
        <v>204</v>
      </c>
      <c r="N498" s="3">
        <v>35.0</v>
      </c>
      <c r="O498" s="3">
        <v>-18.308</v>
      </c>
      <c r="P498" s="3">
        <v>168.156</v>
      </c>
      <c r="Q498" s="3" t="s">
        <v>948</v>
      </c>
      <c r="R498" s="4"/>
      <c r="S498" s="4"/>
      <c r="T498" s="16">
        <f t="shared" si="1"/>
        <v>40775.71736</v>
      </c>
      <c r="U498" s="4" t="b">
        <f t="shared" si="2"/>
        <v>1</v>
      </c>
      <c r="V498" s="4" t="b">
        <f t="shared" si="3"/>
        <v>0</v>
      </c>
      <c r="W498" s="4" t="str">
        <f t="shared" si="8"/>
        <v>Distance/Location</v>
      </c>
      <c r="X498" s="4" t="str">
        <f t="shared" si="4"/>
        <v>mwc</v>
      </c>
      <c r="Y498" s="4">
        <f t="shared" si="5"/>
        <v>1</v>
      </c>
      <c r="Z498" s="4" t="str">
        <f t="shared" si="6"/>
        <v>Unique</v>
      </c>
      <c r="AA498" s="4" t="str">
        <f t="shared" si="7"/>
        <v>Valid</v>
      </c>
    </row>
    <row r="499">
      <c r="A499" s="3" t="s">
        <v>1241</v>
      </c>
      <c r="B499" s="3">
        <v>7.2</v>
      </c>
      <c r="C499" s="3" t="s">
        <v>1242</v>
      </c>
      <c r="D499" s="3">
        <v>8.0</v>
      </c>
      <c r="E499" s="3">
        <v>6.0</v>
      </c>
      <c r="F499" s="4"/>
      <c r="G499" s="3">
        <v>0.0</v>
      </c>
      <c r="H499" s="3">
        <v>813.0</v>
      </c>
      <c r="I499" s="3" t="s">
        <v>110</v>
      </c>
      <c r="J499" s="3">
        <v>280.0</v>
      </c>
      <c r="K499" s="3">
        <v>0.0</v>
      </c>
      <c r="L499" s="3">
        <v>18.4</v>
      </c>
      <c r="M499" s="3" t="s">
        <v>111</v>
      </c>
      <c r="N499" s="3">
        <v>32.0</v>
      </c>
      <c r="O499" s="3">
        <v>-18.365</v>
      </c>
      <c r="P499" s="3">
        <v>168.143</v>
      </c>
      <c r="Q499" s="3" t="s">
        <v>948</v>
      </c>
      <c r="R499" s="4"/>
      <c r="S499" s="4"/>
      <c r="T499" s="16">
        <f t="shared" si="1"/>
        <v>40775.70486</v>
      </c>
      <c r="U499" s="4" t="b">
        <f t="shared" si="2"/>
        <v>1</v>
      </c>
      <c r="V499" s="4" t="b">
        <f t="shared" si="3"/>
        <v>0</v>
      </c>
      <c r="W499" s="4" t="str">
        <f t="shared" si="8"/>
        <v>Distance/Location</v>
      </c>
      <c r="X499" s="4" t="str">
        <f t="shared" si="4"/>
        <v>mww</v>
      </c>
      <c r="Y499" s="4">
        <f t="shared" si="5"/>
        <v>1</v>
      </c>
      <c r="Z499" s="4" t="str">
        <f t="shared" si="6"/>
        <v>Unique</v>
      </c>
      <c r="AA499" s="4" t="str">
        <f t="shared" si="7"/>
        <v>Valid</v>
      </c>
    </row>
    <row r="500">
      <c r="A500" s="3" t="s">
        <v>1243</v>
      </c>
      <c r="B500" s="3">
        <v>6.6</v>
      </c>
      <c r="C500" s="3" t="s">
        <v>1244</v>
      </c>
      <c r="D500" s="3">
        <v>3.0</v>
      </c>
      <c r="E500" s="3">
        <v>6.0</v>
      </c>
      <c r="F500" s="4"/>
      <c r="G500" s="3">
        <v>0.0</v>
      </c>
      <c r="H500" s="3">
        <v>674.0</v>
      </c>
      <c r="I500" s="3" t="s">
        <v>110</v>
      </c>
      <c r="J500" s="3">
        <v>229.0</v>
      </c>
      <c r="K500" s="3">
        <v>0.0</v>
      </c>
      <c r="L500" s="3">
        <v>16.6</v>
      </c>
      <c r="M500" s="3" t="s">
        <v>111</v>
      </c>
      <c r="N500" s="3">
        <v>10.0</v>
      </c>
      <c r="O500" s="3">
        <v>-3.518</v>
      </c>
      <c r="P500" s="3">
        <v>144.828</v>
      </c>
      <c r="Q500" s="3" t="s">
        <v>667</v>
      </c>
      <c r="R500" s="4"/>
      <c r="S500" s="3" t="s">
        <v>168</v>
      </c>
      <c r="T500" s="16">
        <f t="shared" si="1"/>
        <v>40755.98472</v>
      </c>
      <c r="U500" s="4" t="b">
        <f t="shared" si="2"/>
        <v>1</v>
      </c>
      <c r="V500" s="4" t="b">
        <f t="shared" si="3"/>
        <v>0</v>
      </c>
      <c r="W500" s="4" t="str">
        <f t="shared" si="8"/>
        <v>Distance/Location</v>
      </c>
      <c r="X500" s="4" t="str">
        <f t="shared" si="4"/>
        <v>mww</v>
      </c>
      <c r="Y500" s="4">
        <f t="shared" si="5"/>
        <v>1</v>
      </c>
      <c r="Z500" s="4" t="str">
        <f t="shared" si="6"/>
        <v>Unique</v>
      </c>
      <c r="AA500" s="4" t="str">
        <f t="shared" si="7"/>
        <v>Valid</v>
      </c>
    </row>
    <row r="501">
      <c r="A501" s="3" t="s">
        <v>1245</v>
      </c>
      <c r="B501" s="3">
        <v>7.6</v>
      </c>
      <c r="C501" s="17">
        <v>40701.79375</v>
      </c>
      <c r="D501" s="3">
        <v>3.0</v>
      </c>
      <c r="E501" s="3">
        <v>7.0</v>
      </c>
      <c r="F501" s="4"/>
      <c r="G501" s="3">
        <v>0.0</v>
      </c>
      <c r="H501" s="3">
        <v>893.0</v>
      </c>
      <c r="I501" s="3" t="s">
        <v>110</v>
      </c>
      <c r="J501" s="3">
        <v>567.0</v>
      </c>
      <c r="K501" s="3">
        <v>0.0</v>
      </c>
      <c r="L501" s="3">
        <v>33.5</v>
      </c>
      <c r="M501" s="3" t="s">
        <v>111</v>
      </c>
      <c r="N501" s="3">
        <v>17.0</v>
      </c>
      <c r="O501" s="3">
        <v>-29.539</v>
      </c>
      <c r="P501" s="3">
        <v>-176.34</v>
      </c>
      <c r="Q501" s="3" t="s">
        <v>182</v>
      </c>
      <c r="R501" s="4"/>
      <c r="S501" s="4"/>
      <c r="T501" s="16">
        <f t="shared" si="1"/>
        <v>40730.79375</v>
      </c>
      <c r="U501" s="4" t="b">
        <f t="shared" si="2"/>
        <v>1</v>
      </c>
      <c r="V501" s="4" t="b">
        <f t="shared" si="3"/>
        <v>1</v>
      </c>
      <c r="W501" s="4" t="str">
        <f t="shared" si="8"/>
        <v>Named Region</v>
      </c>
      <c r="X501" s="4" t="str">
        <f t="shared" si="4"/>
        <v>mww</v>
      </c>
      <c r="Y501" s="4">
        <f t="shared" si="5"/>
        <v>1</v>
      </c>
      <c r="Z501" s="4" t="str">
        <f t="shared" si="6"/>
        <v>Unique</v>
      </c>
      <c r="AA501" s="4" t="str">
        <f t="shared" si="7"/>
        <v>Valid</v>
      </c>
    </row>
    <row r="502">
      <c r="A502" s="3" t="s">
        <v>1246</v>
      </c>
      <c r="B502" s="3">
        <v>6.7</v>
      </c>
      <c r="C502" s="3" t="s">
        <v>1247</v>
      </c>
      <c r="D502" s="3">
        <v>6.0</v>
      </c>
      <c r="E502" s="3">
        <v>6.0</v>
      </c>
      <c r="F502" s="4"/>
      <c r="G502" s="3">
        <v>0.0</v>
      </c>
      <c r="H502" s="3">
        <v>749.0</v>
      </c>
      <c r="I502" s="3" t="s">
        <v>110</v>
      </c>
      <c r="J502" s="3">
        <v>592.0</v>
      </c>
      <c r="K502" s="3">
        <v>0.0</v>
      </c>
      <c r="L502" s="3">
        <v>24.9</v>
      </c>
      <c r="M502" s="3" t="s">
        <v>111</v>
      </c>
      <c r="N502" s="3">
        <v>33.0</v>
      </c>
      <c r="O502" s="3">
        <v>39.955</v>
      </c>
      <c r="P502" s="3">
        <v>142.205</v>
      </c>
      <c r="Q502" s="3" t="s">
        <v>943</v>
      </c>
      <c r="R502" s="3" t="s">
        <v>164</v>
      </c>
      <c r="S502" s="3" t="s">
        <v>371</v>
      </c>
      <c r="T502" s="16">
        <f t="shared" si="1"/>
        <v>40716.90972</v>
      </c>
      <c r="U502" s="4" t="b">
        <f t="shared" si="2"/>
        <v>1</v>
      </c>
      <c r="V502" s="4" t="b">
        <f t="shared" si="3"/>
        <v>0</v>
      </c>
      <c r="W502" s="4" t="str">
        <f t="shared" si="8"/>
        <v>Distance/Location</v>
      </c>
      <c r="X502" s="4" t="str">
        <f t="shared" si="4"/>
        <v>mww</v>
      </c>
      <c r="Y502" s="4">
        <f t="shared" si="5"/>
        <v>1</v>
      </c>
      <c r="Z502" s="4" t="str">
        <f t="shared" si="6"/>
        <v>Unique</v>
      </c>
      <c r="AA502" s="4" t="str">
        <f t="shared" si="7"/>
        <v>Valid</v>
      </c>
    </row>
    <row r="503">
      <c r="A503" s="3" t="s">
        <v>1248</v>
      </c>
      <c r="B503" s="3">
        <v>6.8</v>
      </c>
      <c r="C503" s="17">
        <v>40821.37152777778</v>
      </c>
      <c r="D503" s="3">
        <v>4.0</v>
      </c>
      <c r="E503" s="3">
        <v>5.0</v>
      </c>
      <c r="F503" s="4"/>
      <c r="G503" s="3">
        <v>0.0</v>
      </c>
      <c r="H503" s="3">
        <v>734.0</v>
      </c>
      <c r="I503" s="3" t="s">
        <v>110</v>
      </c>
      <c r="J503" s="3">
        <v>519.0</v>
      </c>
      <c r="K503" s="3">
        <v>0.0</v>
      </c>
      <c r="L503" s="3">
        <v>12.5</v>
      </c>
      <c r="M503" s="3" t="s">
        <v>111</v>
      </c>
      <c r="N503" s="3">
        <v>11.0</v>
      </c>
      <c r="O503" s="3">
        <v>-20.244</v>
      </c>
      <c r="P503" s="3">
        <v>168.226</v>
      </c>
      <c r="Q503" s="3" t="s">
        <v>1249</v>
      </c>
      <c r="R503" s="4"/>
      <c r="S503" s="4"/>
      <c r="T503" s="16">
        <f t="shared" si="1"/>
        <v>40673.37153</v>
      </c>
      <c r="U503" s="4" t="b">
        <f t="shared" si="2"/>
        <v>1</v>
      </c>
      <c r="V503" s="4" t="b">
        <f t="shared" si="3"/>
        <v>1</v>
      </c>
      <c r="W503" s="4" t="str">
        <f t="shared" si="8"/>
        <v>Distance/Location</v>
      </c>
      <c r="X503" s="4" t="str">
        <f t="shared" si="4"/>
        <v>mww</v>
      </c>
      <c r="Y503" s="4">
        <f t="shared" si="5"/>
        <v>1</v>
      </c>
      <c r="Z503" s="4" t="str">
        <f t="shared" si="6"/>
        <v>Unique</v>
      </c>
      <c r="AA503" s="4" t="str">
        <f t="shared" si="7"/>
        <v>Valid</v>
      </c>
    </row>
    <row r="504">
      <c r="A504" s="3" t="s">
        <v>1250</v>
      </c>
      <c r="B504" s="3">
        <v>6.8</v>
      </c>
      <c r="C504" s="3" t="s">
        <v>1251</v>
      </c>
      <c r="D504" s="3">
        <v>5.0</v>
      </c>
      <c r="E504" s="3">
        <v>6.0</v>
      </c>
      <c r="F504" s="4"/>
      <c r="G504" s="3">
        <v>0.0</v>
      </c>
      <c r="H504" s="3">
        <v>719.0</v>
      </c>
      <c r="I504" s="3" t="s">
        <v>110</v>
      </c>
      <c r="J504" s="3">
        <v>445.0</v>
      </c>
      <c r="K504" s="3">
        <v>0.0</v>
      </c>
      <c r="L504" s="3">
        <v>13.0</v>
      </c>
      <c r="M504" s="3" t="s">
        <v>111</v>
      </c>
      <c r="N504" s="3">
        <v>79.0</v>
      </c>
      <c r="O504" s="3">
        <v>-10.375</v>
      </c>
      <c r="P504" s="3">
        <v>161.2</v>
      </c>
      <c r="Q504" s="3" t="s">
        <v>595</v>
      </c>
      <c r="R504" s="4"/>
      <c r="S504" s="3" t="s">
        <v>214</v>
      </c>
      <c r="T504" s="16">
        <f t="shared" si="1"/>
        <v>40656.17778</v>
      </c>
      <c r="U504" s="4" t="b">
        <f t="shared" si="2"/>
        <v>1</v>
      </c>
      <c r="V504" s="4" t="b">
        <f t="shared" si="3"/>
        <v>0</v>
      </c>
      <c r="W504" s="4" t="str">
        <f t="shared" si="8"/>
        <v>Distance/Location</v>
      </c>
      <c r="X504" s="4" t="str">
        <f t="shared" si="4"/>
        <v>mww</v>
      </c>
      <c r="Y504" s="4">
        <f t="shared" si="5"/>
        <v>1</v>
      </c>
      <c r="Z504" s="4" t="str">
        <f t="shared" si="6"/>
        <v>Unique</v>
      </c>
      <c r="AA504" s="4" t="str">
        <f t="shared" si="7"/>
        <v>Valid</v>
      </c>
    </row>
    <row r="505">
      <c r="A505" s="3" t="s">
        <v>1252</v>
      </c>
      <c r="B505" s="3">
        <v>6.6</v>
      </c>
      <c r="C505" s="17">
        <v>40851.34444444445</v>
      </c>
      <c r="D505" s="3">
        <v>7.0</v>
      </c>
      <c r="E505" s="3">
        <v>7.0</v>
      </c>
      <c r="F505" s="4"/>
      <c r="G505" s="3">
        <v>0.0</v>
      </c>
      <c r="H505" s="3">
        <v>822.0</v>
      </c>
      <c r="I505" s="3" t="s">
        <v>110</v>
      </c>
      <c r="J505" s="3">
        <v>586.0</v>
      </c>
      <c r="K505" s="3">
        <v>0.0</v>
      </c>
      <c r="L505" s="3">
        <v>10.1</v>
      </c>
      <c r="M505" s="3" t="s">
        <v>111</v>
      </c>
      <c r="N505" s="3">
        <v>11.0</v>
      </c>
      <c r="O505" s="3">
        <v>37.001</v>
      </c>
      <c r="P505" s="3">
        <v>140.401</v>
      </c>
      <c r="Q505" s="3" t="s">
        <v>1253</v>
      </c>
      <c r="R505" s="3" t="s">
        <v>164</v>
      </c>
      <c r="S505" s="3" t="s">
        <v>371</v>
      </c>
      <c r="T505" s="16">
        <f t="shared" si="1"/>
        <v>40644.34444</v>
      </c>
      <c r="U505" s="4" t="b">
        <f t="shared" si="2"/>
        <v>1</v>
      </c>
      <c r="V505" s="4" t="b">
        <f t="shared" si="3"/>
        <v>1</v>
      </c>
      <c r="W505" s="4" t="str">
        <f t="shared" si="8"/>
        <v>Distance/Location</v>
      </c>
      <c r="X505" s="4" t="str">
        <f t="shared" si="4"/>
        <v>mww</v>
      </c>
      <c r="Y505" s="4">
        <f t="shared" si="5"/>
        <v>1</v>
      </c>
      <c r="Z505" s="4" t="str">
        <f t="shared" si="6"/>
        <v>Unique</v>
      </c>
      <c r="AA505" s="4" t="str">
        <f t="shared" si="7"/>
        <v>Valid</v>
      </c>
    </row>
    <row r="506">
      <c r="A506" s="3" t="s">
        <v>1254</v>
      </c>
      <c r="B506" s="3">
        <v>7.1</v>
      </c>
      <c r="C506" s="17">
        <v>40728.60555555556</v>
      </c>
      <c r="D506" s="3">
        <v>8.0</v>
      </c>
      <c r="E506" s="3">
        <v>8.0</v>
      </c>
      <c r="F506" s="4"/>
      <c r="G506" s="3">
        <v>0.0</v>
      </c>
      <c r="H506" s="3">
        <v>1114.0</v>
      </c>
      <c r="I506" s="3" t="s">
        <v>110</v>
      </c>
      <c r="J506" s="3">
        <v>446.0</v>
      </c>
      <c r="K506" s="3">
        <v>0.0</v>
      </c>
      <c r="L506" s="3">
        <v>17.7</v>
      </c>
      <c r="M506" s="3" t="s">
        <v>111</v>
      </c>
      <c r="N506" s="3">
        <v>42.0</v>
      </c>
      <c r="O506" s="3">
        <v>38.276</v>
      </c>
      <c r="P506" s="3">
        <v>141.588</v>
      </c>
      <c r="Q506" s="3" t="s">
        <v>380</v>
      </c>
      <c r="R506" s="3" t="s">
        <v>164</v>
      </c>
      <c r="S506" s="3" t="s">
        <v>371</v>
      </c>
      <c r="T506" s="16">
        <f t="shared" si="1"/>
        <v>40640.60556</v>
      </c>
      <c r="U506" s="4" t="b">
        <f t="shared" si="2"/>
        <v>1</v>
      </c>
      <c r="V506" s="4" t="b">
        <f t="shared" si="3"/>
        <v>1</v>
      </c>
      <c r="W506" s="4" t="str">
        <f t="shared" si="8"/>
        <v>Distance/Location</v>
      </c>
      <c r="X506" s="4" t="str">
        <f t="shared" si="4"/>
        <v>mww</v>
      </c>
      <c r="Y506" s="4">
        <f t="shared" si="5"/>
        <v>1</v>
      </c>
      <c r="Z506" s="4" t="str">
        <f t="shared" si="6"/>
        <v>Unique</v>
      </c>
      <c r="AA506" s="4" t="str">
        <f t="shared" si="7"/>
        <v>Valid</v>
      </c>
    </row>
    <row r="507">
      <c r="A507" s="3" t="s">
        <v>1255</v>
      </c>
      <c r="B507" s="3">
        <v>6.6</v>
      </c>
      <c r="C507" s="17">
        <v>40728.549305555556</v>
      </c>
      <c r="D507" s="3">
        <v>7.0</v>
      </c>
      <c r="E507" s="3">
        <v>6.0</v>
      </c>
      <c r="F507" s="4"/>
      <c r="G507" s="3">
        <v>0.0</v>
      </c>
      <c r="H507" s="3">
        <v>897.0</v>
      </c>
      <c r="I507" s="3" t="s">
        <v>110</v>
      </c>
      <c r="J507" s="3">
        <v>518.0</v>
      </c>
      <c r="K507" s="3">
        <v>0.0</v>
      </c>
      <c r="L507" s="3">
        <v>37.2</v>
      </c>
      <c r="M507" s="3" t="s">
        <v>111</v>
      </c>
      <c r="N507" s="3">
        <v>166.2</v>
      </c>
      <c r="O507" s="3">
        <v>17.208</v>
      </c>
      <c r="P507" s="3">
        <v>-94.338</v>
      </c>
      <c r="Q507" s="3" t="s">
        <v>1256</v>
      </c>
      <c r="R507" s="4"/>
      <c r="S507" s="3" t="s">
        <v>234</v>
      </c>
      <c r="T507" s="16">
        <f t="shared" si="1"/>
        <v>40640.54931</v>
      </c>
      <c r="U507" s="4" t="b">
        <f t="shared" si="2"/>
        <v>1</v>
      </c>
      <c r="V507" s="4" t="b">
        <f t="shared" si="3"/>
        <v>1</v>
      </c>
      <c r="W507" s="4" t="str">
        <f t="shared" si="8"/>
        <v>Distance/Location</v>
      </c>
      <c r="X507" s="4" t="str">
        <f t="shared" si="4"/>
        <v>mww</v>
      </c>
      <c r="Y507" s="4">
        <f t="shared" si="5"/>
        <v>1</v>
      </c>
      <c r="Z507" s="4" t="str">
        <f t="shared" si="6"/>
        <v>Unique</v>
      </c>
      <c r="AA507" s="4" t="str">
        <f t="shared" si="7"/>
        <v>Valid</v>
      </c>
    </row>
    <row r="508">
      <c r="A508" s="3" t="s">
        <v>1257</v>
      </c>
      <c r="B508" s="3">
        <v>6.9</v>
      </c>
      <c r="C508" s="3" t="s">
        <v>1258</v>
      </c>
      <c r="D508" s="3">
        <v>7.0</v>
      </c>
      <c r="E508" s="3">
        <v>9.0</v>
      </c>
      <c r="F508" s="4"/>
      <c r="G508" s="3">
        <v>0.0</v>
      </c>
      <c r="H508" s="3">
        <v>1154.0</v>
      </c>
      <c r="I508" s="3" t="s">
        <v>110</v>
      </c>
      <c r="J508" s="3">
        <v>335.0</v>
      </c>
      <c r="K508" s="3">
        <v>0.0</v>
      </c>
      <c r="L508" s="3">
        <v>18.2</v>
      </c>
      <c r="M508" s="3" t="s">
        <v>111</v>
      </c>
      <c r="N508" s="3">
        <v>8.0</v>
      </c>
      <c r="O508" s="3">
        <v>20.687</v>
      </c>
      <c r="P508" s="3">
        <v>99.822</v>
      </c>
      <c r="Q508" s="3" t="s">
        <v>1259</v>
      </c>
      <c r="R508" s="3" t="s">
        <v>164</v>
      </c>
      <c r="S508" s="3" t="s">
        <v>785</v>
      </c>
      <c r="T508" s="16">
        <f t="shared" si="1"/>
        <v>40626.57986</v>
      </c>
      <c r="U508" s="4" t="b">
        <f t="shared" si="2"/>
        <v>1</v>
      </c>
      <c r="V508" s="4" t="b">
        <f t="shared" si="3"/>
        <v>0</v>
      </c>
      <c r="W508" s="4" t="str">
        <f t="shared" si="8"/>
        <v>Distance/Location</v>
      </c>
      <c r="X508" s="4" t="str">
        <f t="shared" si="4"/>
        <v>mww</v>
      </c>
      <c r="Y508" s="4">
        <f t="shared" si="5"/>
        <v>1</v>
      </c>
      <c r="Z508" s="4" t="str">
        <f t="shared" si="6"/>
        <v>Unique</v>
      </c>
      <c r="AA508" s="4" t="str">
        <f t="shared" si="7"/>
        <v>Valid</v>
      </c>
    </row>
    <row r="509">
      <c r="A509" s="3" t="s">
        <v>1260</v>
      </c>
      <c r="B509" s="3">
        <v>6.6</v>
      </c>
      <c r="C509" s="17">
        <v>40850.48333333333</v>
      </c>
      <c r="D509" s="3">
        <v>6.0</v>
      </c>
      <c r="E509" s="3">
        <v>5.0</v>
      </c>
      <c r="F509" s="4"/>
      <c r="G509" s="3">
        <v>0.0</v>
      </c>
      <c r="H509" s="3">
        <v>673.0</v>
      </c>
      <c r="I509" s="3" t="s">
        <v>110</v>
      </c>
      <c r="J509" s="3">
        <v>668.0</v>
      </c>
      <c r="K509" s="3">
        <v>0.0</v>
      </c>
      <c r="L509" s="3">
        <v>9.5</v>
      </c>
      <c r="M509" s="3" t="s">
        <v>1261</v>
      </c>
      <c r="N509" s="3">
        <v>25.7</v>
      </c>
      <c r="O509" s="3">
        <v>39.241</v>
      </c>
      <c r="P509" s="3">
        <v>142.463</v>
      </c>
      <c r="Q509" s="3" t="s">
        <v>1262</v>
      </c>
      <c r="R509" s="4"/>
      <c r="S509" s="4"/>
      <c r="T509" s="16">
        <f t="shared" si="1"/>
        <v>40613.48333</v>
      </c>
      <c r="U509" s="4" t="b">
        <f t="shared" si="2"/>
        <v>1</v>
      </c>
      <c r="V509" s="4" t="b">
        <f t="shared" si="3"/>
        <v>1</v>
      </c>
      <c r="W509" s="4" t="str">
        <f t="shared" si="8"/>
        <v>Distance/Location</v>
      </c>
      <c r="X509" s="4" t="str">
        <f t="shared" si="4"/>
        <v>ms</v>
      </c>
      <c r="Y509" s="4">
        <f t="shared" si="5"/>
        <v>1</v>
      </c>
      <c r="Z509" s="4" t="str">
        <f t="shared" si="6"/>
        <v>Unique</v>
      </c>
      <c r="AA509" s="4" t="str">
        <f t="shared" si="7"/>
        <v>Valid</v>
      </c>
    </row>
    <row r="510">
      <c r="A510" s="3" t="s">
        <v>1263</v>
      </c>
      <c r="B510" s="3">
        <v>6.5</v>
      </c>
      <c r="C510" s="17">
        <v>40850.34652777778</v>
      </c>
      <c r="D510" s="3">
        <v>0.0</v>
      </c>
      <c r="E510" s="3">
        <v>4.0</v>
      </c>
      <c r="F510" s="4"/>
      <c r="G510" s="3">
        <v>0.0</v>
      </c>
      <c r="H510" s="3">
        <v>650.0</v>
      </c>
      <c r="I510" s="3" t="s">
        <v>110</v>
      </c>
      <c r="J510" s="3">
        <v>369.0</v>
      </c>
      <c r="K510" s="3">
        <v>0.0</v>
      </c>
      <c r="L510" s="3">
        <v>18.7</v>
      </c>
      <c r="M510" s="3" t="s">
        <v>1264</v>
      </c>
      <c r="N510" s="3">
        <v>6.8</v>
      </c>
      <c r="O510" s="3">
        <v>36.166</v>
      </c>
      <c r="P510" s="3">
        <v>141.562</v>
      </c>
      <c r="Q510" s="3" t="s">
        <v>1265</v>
      </c>
      <c r="R510" s="4"/>
      <c r="S510" s="4"/>
      <c r="T510" s="16">
        <f t="shared" si="1"/>
        <v>40613.34653</v>
      </c>
      <c r="U510" s="4" t="b">
        <f t="shared" si="2"/>
        <v>1</v>
      </c>
      <c r="V510" s="4" t="b">
        <f t="shared" si="3"/>
        <v>1</v>
      </c>
      <c r="W510" s="4" t="str">
        <f t="shared" si="8"/>
        <v>Distance/Location</v>
      </c>
      <c r="X510" s="4" t="str">
        <f t="shared" si="4"/>
        <v>mb</v>
      </c>
      <c r="Y510" s="4">
        <f t="shared" si="5"/>
        <v>1</v>
      </c>
      <c r="Z510" s="4" t="str">
        <f t="shared" si="6"/>
        <v>Unique</v>
      </c>
      <c r="AA510" s="4" t="str">
        <f t="shared" si="7"/>
        <v>Valid</v>
      </c>
    </row>
    <row r="511">
      <c r="A511" s="3" t="s">
        <v>1266</v>
      </c>
      <c r="B511" s="3">
        <v>7.7</v>
      </c>
      <c r="C511" s="17">
        <v>40850.26736111111</v>
      </c>
      <c r="D511" s="3">
        <v>7.0</v>
      </c>
      <c r="E511" s="3">
        <v>4.0</v>
      </c>
      <c r="F511" s="4"/>
      <c r="G511" s="3">
        <v>0.0</v>
      </c>
      <c r="H511" s="3">
        <v>931.0</v>
      </c>
      <c r="I511" s="3" t="s">
        <v>110</v>
      </c>
      <c r="J511" s="3">
        <v>507.0</v>
      </c>
      <c r="K511" s="3">
        <v>0.0</v>
      </c>
      <c r="L511" s="3">
        <v>10.8</v>
      </c>
      <c r="M511" s="3" t="s">
        <v>204</v>
      </c>
      <c r="N511" s="3">
        <v>18.6</v>
      </c>
      <c r="O511" s="3">
        <v>38.058</v>
      </c>
      <c r="P511" s="3">
        <v>144.59</v>
      </c>
      <c r="Q511" s="3" t="s">
        <v>1267</v>
      </c>
      <c r="R511" s="4"/>
      <c r="S511" s="4"/>
      <c r="T511" s="16">
        <f t="shared" si="1"/>
        <v>40613.26736</v>
      </c>
      <c r="U511" s="4" t="b">
        <f t="shared" si="2"/>
        <v>1</v>
      </c>
      <c r="V511" s="4" t="b">
        <f t="shared" si="3"/>
        <v>1</v>
      </c>
      <c r="W511" s="4" t="str">
        <f t="shared" si="8"/>
        <v>Distance/Location</v>
      </c>
      <c r="X511" s="4" t="str">
        <f t="shared" si="4"/>
        <v>mwc</v>
      </c>
      <c r="Y511" s="4">
        <f t="shared" si="5"/>
        <v>1</v>
      </c>
      <c r="Z511" s="4" t="str">
        <f t="shared" si="6"/>
        <v>Unique</v>
      </c>
      <c r="AA511" s="4" t="str">
        <f t="shared" si="7"/>
        <v>Valid</v>
      </c>
    </row>
    <row r="512">
      <c r="A512" s="3" t="s">
        <v>1268</v>
      </c>
      <c r="B512" s="3">
        <v>7.9</v>
      </c>
      <c r="C512" s="17">
        <v>40850.260416666664</v>
      </c>
      <c r="D512" s="3">
        <v>8.0</v>
      </c>
      <c r="E512" s="3">
        <v>7.0</v>
      </c>
      <c r="F512" s="4"/>
      <c r="G512" s="3">
        <v>0.0</v>
      </c>
      <c r="H512" s="3">
        <v>1140.0</v>
      </c>
      <c r="I512" s="3" t="s">
        <v>110</v>
      </c>
      <c r="J512" s="3">
        <v>163.0</v>
      </c>
      <c r="K512" s="3">
        <v>0.0</v>
      </c>
      <c r="L512" s="3">
        <v>48.4</v>
      </c>
      <c r="M512" s="3" t="s">
        <v>204</v>
      </c>
      <c r="N512" s="3">
        <v>42.6</v>
      </c>
      <c r="O512" s="3">
        <v>36.281</v>
      </c>
      <c r="P512" s="3">
        <v>141.111</v>
      </c>
      <c r="Q512" s="3" t="s">
        <v>1269</v>
      </c>
      <c r="R512" s="4"/>
      <c r="S512" s="4"/>
      <c r="T512" s="16">
        <f t="shared" si="1"/>
        <v>40613.26042</v>
      </c>
      <c r="U512" s="4" t="b">
        <f t="shared" si="2"/>
        <v>1</v>
      </c>
      <c r="V512" s="4" t="b">
        <f t="shared" si="3"/>
        <v>1</v>
      </c>
      <c r="W512" s="4" t="str">
        <f t="shared" si="8"/>
        <v>Distance/Location</v>
      </c>
      <c r="X512" s="4" t="str">
        <f t="shared" si="4"/>
        <v>mwc</v>
      </c>
      <c r="Y512" s="4">
        <f t="shared" si="5"/>
        <v>1</v>
      </c>
      <c r="Z512" s="4" t="str">
        <f t="shared" si="6"/>
        <v>Unique</v>
      </c>
      <c r="AA512" s="4" t="str">
        <f t="shared" si="7"/>
        <v>Valid</v>
      </c>
    </row>
    <row r="513">
      <c r="A513" s="3" t="s">
        <v>1270</v>
      </c>
      <c r="B513" s="3">
        <v>9.1</v>
      </c>
      <c r="C513" s="17">
        <v>40850.240277777775</v>
      </c>
      <c r="D513" s="3">
        <v>9.0</v>
      </c>
      <c r="E513" s="3">
        <v>8.0</v>
      </c>
      <c r="F513" s="4"/>
      <c r="G513" s="3">
        <v>0.0</v>
      </c>
      <c r="H513" s="3">
        <v>2184.0</v>
      </c>
      <c r="I513" s="3" t="s">
        <v>1196</v>
      </c>
      <c r="J513" s="3">
        <v>541.0</v>
      </c>
      <c r="K513" s="3">
        <v>0.0</v>
      </c>
      <c r="L513" s="3">
        <v>9.5</v>
      </c>
      <c r="M513" s="3" t="s">
        <v>111</v>
      </c>
      <c r="N513" s="3">
        <v>29.0</v>
      </c>
      <c r="O513" s="3">
        <v>38.297</v>
      </c>
      <c r="P513" s="3">
        <v>142.373</v>
      </c>
      <c r="Q513" s="3" t="s">
        <v>1271</v>
      </c>
      <c r="R513" s="4"/>
      <c r="S513" s="4"/>
      <c r="T513" s="16">
        <f t="shared" si="1"/>
        <v>40613.24028</v>
      </c>
      <c r="U513" s="4" t="b">
        <f t="shared" si="2"/>
        <v>1</v>
      </c>
      <c r="V513" s="4" t="b">
        <f t="shared" si="3"/>
        <v>1</v>
      </c>
      <c r="W513" s="4" t="str">
        <f t="shared" si="8"/>
        <v>Named Region</v>
      </c>
      <c r="X513" s="4" t="str">
        <f t="shared" si="4"/>
        <v>mww</v>
      </c>
      <c r="Y513" s="4">
        <f t="shared" si="5"/>
        <v>1</v>
      </c>
      <c r="Z513" s="4" t="str">
        <f t="shared" si="6"/>
        <v>Unique</v>
      </c>
      <c r="AA513" s="4" t="str">
        <f t="shared" si="7"/>
        <v>Valid</v>
      </c>
    </row>
    <row r="514">
      <c r="A514" s="3" t="s">
        <v>1272</v>
      </c>
      <c r="B514" s="3">
        <v>7.3</v>
      </c>
      <c r="C514" s="17">
        <v>40789.114583333336</v>
      </c>
      <c r="D514" s="3">
        <v>5.0</v>
      </c>
      <c r="E514" s="3">
        <v>5.0</v>
      </c>
      <c r="F514" s="4"/>
      <c r="G514" s="3">
        <v>0.0</v>
      </c>
      <c r="H514" s="3">
        <v>972.0</v>
      </c>
      <c r="I514" s="3" t="s">
        <v>110</v>
      </c>
      <c r="J514" s="3">
        <v>550.0</v>
      </c>
      <c r="K514" s="3">
        <v>0.0</v>
      </c>
      <c r="L514" s="3">
        <v>17.4</v>
      </c>
      <c r="M514" s="3" t="s">
        <v>111</v>
      </c>
      <c r="N514" s="3">
        <v>32.0</v>
      </c>
      <c r="O514" s="3">
        <v>38.435</v>
      </c>
      <c r="P514" s="3">
        <v>142.842</v>
      </c>
      <c r="Q514" s="3" t="s">
        <v>917</v>
      </c>
      <c r="R514" s="4"/>
      <c r="S514" s="4"/>
      <c r="T514" s="16">
        <f t="shared" si="1"/>
        <v>40611.11458</v>
      </c>
      <c r="U514" s="4" t="b">
        <f t="shared" si="2"/>
        <v>1</v>
      </c>
      <c r="V514" s="4" t="b">
        <f t="shared" si="3"/>
        <v>1</v>
      </c>
      <c r="W514" s="4" t="str">
        <f t="shared" si="8"/>
        <v>Distance/Location</v>
      </c>
      <c r="X514" s="4" t="str">
        <f t="shared" si="4"/>
        <v>mww</v>
      </c>
      <c r="Y514" s="4">
        <f t="shared" si="5"/>
        <v>1</v>
      </c>
      <c r="Z514" s="4" t="str">
        <f t="shared" si="6"/>
        <v>Unique</v>
      </c>
      <c r="AA514" s="4" t="str">
        <f t="shared" si="7"/>
        <v>Valid</v>
      </c>
    </row>
    <row r="515">
      <c r="A515" s="3" t="s">
        <v>1273</v>
      </c>
      <c r="B515" s="3">
        <v>6.7</v>
      </c>
      <c r="C515" s="3" t="s">
        <v>1274</v>
      </c>
      <c r="D515" s="3">
        <v>5.0</v>
      </c>
      <c r="E515" s="3">
        <v>6.0</v>
      </c>
      <c r="F515" s="4"/>
      <c r="G515" s="3">
        <v>0.0</v>
      </c>
      <c r="H515" s="3">
        <v>731.0</v>
      </c>
      <c r="I515" s="3" t="s">
        <v>110</v>
      </c>
      <c r="J515" s="3">
        <v>358.0</v>
      </c>
      <c r="K515" s="3">
        <v>0.0</v>
      </c>
      <c r="L515" s="3">
        <v>33.9</v>
      </c>
      <c r="M515" s="3" t="s">
        <v>111</v>
      </c>
      <c r="N515" s="3">
        <v>21.0</v>
      </c>
      <c r="O515" s="3">
        <v>-35.38</v>
      </c>
      <c r="P515" s="3">
        <v>-72.834</v>
      </c>
      <c r="Q515" s="3" t="s">
        <v>489</v>
      </c>
      <c r="R515" s="4"/>
      <c r="S515" s="4"/>
      <c r="T515" s="16">
        <f t="shared" si="1"/>
        <v>40588.15278</v>
      </c>
      <c r="U515" s="4" t="b">
        <f t="shared" si="2"/>
        <v>1</v>
      </c>
      <c r="V515" s="4" t="b">
        <f t="shared" si="3"/>
        <v>0</v>
      </c>
      <c r="W515" s="4" t="str">
        <f t="shared" si="8"/>
        <v>Distance/Location</v>
      </c>
      <c r="X515" s="4" t="str">
        <f t="shared" si="4"/>
        <v>mww</v>
      </c>
      <c r="Y515" s="4">
        <f t="shared" si="5"/>
        <v>1</v>
      </c>
      <c r="Z515" s="4" t="str">
        <f t="shared" si="6"/>
        <v>Unique</v>
      </c>
      <c r="AA515" s="4" t="str">
        <f t="shared" si="7"/>
        <v>Valid</v>
      </c>
    </row>
    <row r="516">
      <c r="A516" s="3" t="s">
        <v>1275</v>
      </c>
      <c r="B516" s="3">
        <v>6.9</v>
      </c>
      <c r="C516" s="17">
        <v>40849.836805555555</v>
      </c>
      <c r="D516" s="3">
        <v>7.0</v>
      </c>
      <c r="E516" s="3">
        <v>7.0</v>
      </c>
      <c r="F516" s="4"/>
      <c r="G516" s="3">
        <v>0.0</v>
      </c>
      <c r="H516" s="3">
        <v>988.0</v>
      </c>
      <c r="I516" s="3" t="s">
        <v>110</v>
      </c>
      <c r="J516" s="3">
        <v>382.0</v>
      </c>
      <c r="K516" s="3">
        <v>0.0</v>
      </c>
      <c r="L516" s="3">
        <v>34.7</v>
      </c>
      <c r="M516" s="3" t="s">
        <v>111</v>
      </c>
      <c r="N516" s="3">
        <v>26.0</v>
      </c>
      <c r="O516" s="3">
        <v>-36.422</v>
      </c>
      <c r="P516" s="3">
        <v>-72.96</v>
      </c>
      <c r="Q516" s="3" t="s">
        <v>1276</v>
      </c>
      <c r="R516" s="3" t="s">
        <v>121</v>
      </c>
      <c r="S516" s="3" t="s">
        <v>414</v>
      </c>
      <c r="T516" s="16">
        <f t="shared" si="1"/>
        <v>40585.83681</v>
      </c>
      <c r="U516" s="4" t="b">
        <f t="shared" si="2"/>
        <v>1</v>
      </c>
      <c r="V516" s="4" t="b">
        <f t="shared" si="3"/>
        <v>1</v>
      </c>
      <c r="W516" s="4" t="str">
        <f t="shared" si="8"/>
        <v>Distance/Location</v>
      </c>
      <c r="X516" s="4" t="str">
        <f t="shared" si="4"/>
        <v>mww</v>
      </c>
      <c r="Y516" s="4">
        <f t="shared" si="5"/>
        <v>1</v>
      </c>
      <c r="Z516" s="4" t="str">
        <f t="shared" si="6"/>
        <v>Unique</v>
      </c>
      <c r="AA516" s="4" t="str">
        <f t="shared" si="7"/>
        <v>Valid</v>
      </c>
    </row>
    <row r="517">
      <c r="A517" s="3" t="s">
        <v>1277</v>
      </c>
      <c r="B517" s="3">
        <v>7.2</v>
      </c>
      <c r="C517" s="3" t="s">
        <v>1278</v>
      </c>
      <c r="D517" s="3">
        <v>7.0</v>
      </c>
      <c r="E517" s="3">
        <v>7.0</v>
      </c>
      <c r="F517" s="4"/>
      <c r="G517" s="3">
        <v>0.0</v>
      </c>
      <c r="H517" s="3">
        <v>1449.0</v>
      </c>
      <c r="I517" s="3" t="s">
        <v>110</v>
      </c>
      <c r="J517" s="3">
        <v>372.0</v>
      </c>
      <c r="K517" s="3">
        <v>0.0</v>
      </c>
      <c r="L517" s="3">
        <v>25.3</v>
      </c>
      <c r="M517" s="3" t="s">
        <v>111</v>
      </c>
      <c r="N517" s="3">
        <v>68.0</v>
      </c>
      <c r="O517" s="3">
        <v>28.777</v>
      </c>
      <c r="P517" s="3">
        <v>63.951</v>
      </c>
      <c r="Q517" s="3" t="s">
        <v>1279</v>
      </c>
      <c r="R517" s="3" t="s">
        <v>164</v>
      </c>
      <c r="S517" s="3" t="s">
        <v>1066</v>
      </c>
      <c r="T517" s="16">
        <f t="shared" si="1"/>
        <v>40561.84931</v>
      </c>
      <c r="U517" s="4" t="b">
        <f t="shared" si="2"/>
        <v>1</v>
      </c>
      <c r="V517" s="4" t="b">
        <f t="shared" si="3"/>
        <v>0</v>
      </c>
      <c r="W517" s="4" t="str">
        <f t="shared" si="8"/>
        <v>Distance/Location</v>
      </c>
      <c r="X517" s="4" t="str">
        <f t="shared" si="4"/>
        <v>mww</v>
      </c>
      <c r="Y517" s="4">
        <f t="shared" si="5"/>
        <v>1</v>
      </c>
      <c r="Z517" s="4" t="str">
        <f t="shared" si="6"/>
        <v>Unique</v>
      </c>
      <c r="AA517" s="4" t="str">
        <f t="shared" si="7"/>
        <v>Valid</v>
      </c>
    </row>
    <row r="518">
      <c r="A518" s="3" t="s">
        <v>1280</v>
      </c>
      <c r="B518" s="3">
        <v>7.0</v>
      </c>
      <c r="C518" s="3" t="s">
        <v>1281</v>
      </c>
      <c r="D518" s="3">
        <v>2.0</v>
      </c>
      <c r="E518" s="3">
        <v>5.0</v>
      </c>
      <c r="F518" s="4"/>
      <c r="G518" s="3">
        <v>0.0</v>
      </c>
      <c r="H518" s="3">
        <v>755.0</v>
      </c>
      <c r="I518" s="3" t="s">
        <v>110</v>
      </c>
      <c r="J518" s="3">
        <v>578.0</v>
      </c>
      <c r="K518" s="3">
        <v>0.0</v>
      </c>
      <c r="L518" s="3">
        <v>13.3</v>
      </c>
      <c r="M518" s="3" t="s">
        <v>111</v>
      </c>
      <c r="N518" s="3">
        <v>9.0</v>
      </c>
      <c r="O518" s="3">
        <v>-20.628</v>
      </c>
      <c r="P518" s="3">
        <v>168.471</v>
      </c>
      <c r="Q518" s="3" t="s">
        <v>276</v>
      </c>
      <c r="R518" s="4"/>
      <c r="S518" s="4"/>
      <c r="T518" s="16">
        <f t="shared" si="1"/>
        <v>40556.67778</v>
      </c>
      <c r="U518" s="4" t="b">
        <f t="shared" si="2"/>
        <v>1</v>
      </c>
      <c r="V518" s="4" t="b">
        <f t="shared" si="3"/>
        <v>0</v>
      </c>
      <c r="W518" s="4" t="str">
        <f t="shared" si="8"/>
        <v>Distance/Location</v>
      </c>
      <c r="X518" s="4" t="str">
        <f t="shared" si="4"/>
        <v>mww</v>
      </c>
      <c r="Y518" s="4">
        <f t="shared" si="5"/>
        <v>1</v>
      </c>
      <c r="Z518" s="4" t="str">
        <f t="shared" si="6"/>
        <v>Unique</v>
      </c>
      <c r="AA518" s="4" t="str">
        <f t="shared" si="7"/>
        <v>Valid</v>
      </c>
    </row>
    <row r="519">
      <c r="A519" s="3" t="s">
        <v>1282</v>
      </c>
      <c r="B519" s="3">
        <v>7.2</v>
      </c>
      <c r="C519" s="17">
        <v>40575.84722222222</v>
      </c>
      <c r="D519" s="3">
        <v>8.0</v>
      </c>
      <c r="E519" s="3">
        <v>7.0</v>
      </c>
      <c r="F519" s="4"/>
      <c r="G519" s="3">
        <v>0.0</v>
      </c>
      <c r="H519" s="3">
        <v>1054.0</v>
      </c>
      <c r="I519" s="3" t="s">
        <v>110</v>
      </c>
      <c r="J519" s="3">
        <v>397.0</v>
      </c>
      <c r="K519" s="3">
        <v>0.0</v>
      </c>
      <c r="L519" s="3">
        <v>30.1</v>
      </c>
      <c r="M519" s="3" t="s">
        <v>111</v>
      </c>
      <c r="N519" s="3">
        <v>24.0</v>
      </c>
      <c r="O519" s="3">
        <v>-38.355</v>
      </c>
      <c r="P519" s="3">
        <v>-73.326</v>
      </c>
      <c r="Q519" s="3" t="s">
        <v>1283</v>
      </c>
      <c r="R519" s="3" t="s">
        <v>121</v>
      </c>
      <c r="S519" s="3" t="s">
        <v>414</v>
      </c>
      <c r="T519" s="16">
        <f t="shared" si="1"/>
        <v>40545.84722</v>
      </c>
      <c r="U519" s="4" t="b">
        <f t="shared" si="2"/>
        <v>1</v>
      </c>
      <c r="V519" s="4" t="b">
        <f t="shared" si="3"/>
        <v>1</v>
      </c>
      <c r="W519" s="4" t="str">
        <f t="shared" si="8"/>
        <v>Distance/Location</v>
      </c>
      <c r="X519" s="4" t="str">
        <f t="shared" si="4"/>
        <v>mww</v>
      </c>
      <c r="Y519" s="4">
        <f t="shared" si="5"/>
        <v>1</v>
      </c>
      <c r="Z519" s="4" t="str">
        <f t="shared" si="6"/>
        <v>Unique</v>
      </c>
      <c r="AA519" s="4" t="str">
        <f t="shared" si="7"/>
        <v>Valid</v>
      </c>
    </row>
    <row r="520">
      <c r="A520" s="3" t="s">
        <v>1284</v>
      </c>
      <c r="B520" s="3">
        <v>7.3</v>
      </c>
      <c r="C520" s="3" t="s">
        <v>1285</v>
      </c>
      <c r="D520" s="3">
        <v>0.0</v>
      </c>
      <c r="E520" s="3">
        <v>5.0</v>
      </c>
      <c r="F520" s="4"/>
      <c r="G520" s="3">
        <v>0.0</v>
      </c>
      <c r="H520" s="3">
        <v>820.0</v>
      </c>
      <c r="I520" s="3" t="s">
        <v>110</v>
      </c>
      <c r="J520" s="3">
        <v>409.0</v>
      </c>
      <c r="K520" s="3">
        <v>0.0</v>
      </c>
      <c r="L520" s="3">
        <v>12.0</v>
      </c>
      <c r="M520" s="3" t="s">
        <v>204</v>
      </c>
      <c r="N520" s="3">
        <v>16.0</v>
      </c>
      <c r="O520" s="3">
        <v>-19.702</v>
      </c>
      <c r="P520" s="3">
        <v>167.947</v>
      </c>
      <c r="Q520" s="3" t="s">
        <v>246</v>
      </c>
      <c r="R520" s="4"/>
      <c r="S520" s="4"/>
      <c r="T520" s="16">
        <f t="shared" si="1"/>
        <v>40537.55278</v>
      </c>
      <c r="U520" s="4" t="b">
        <f t="shared" si="2"/>
        <v>1</v>
      </c>
      <c r="V520" s="4" t="b">
        <f t="shared" si="3"/>
        <v>0</v>
      </c>
      <c r="W520" s="4" t="str">
        <f t="shared" si="8"/>
        <v>Distance/Location</v>
      </c>
      <c r="X520" s="4" t="str">
        <f t="shared" si="4"/>
        <v>mwc</v>
      </c>
      <c r="Y520" s="4">
        <f t="shared" si="5"/>
        <v>1</v>
      </c>
      <c r="Z520" s="4" t="str">
        <f t="shared" si="6"/>
        <v>Unique</v>
      </c>
      <c r="AA520" s="4" t="str">
        <f t="shared" si="7"/>
        <v>Valid</v>
      </c>
    </row>
    <row r="521">
      <c r="A521" s="3" t="s">
        <v>1286</v>
      </c>
      <c r="B521" s="3">
        <v>6.7</v>
      </c>
      <c r="C521" s="3" t="s">
        <v>1287</v>
      </c>
      <c r="D521" s="3">
        <v>3.0</v>
      </c>
      <c r="E521" s="3">
        <v>7.0</v>
      </c>
      <c r="F521" s="4"/>
      <c r="G521" s="3">
        <v>0.0</v>
      </c>
      <c r="H521" s="3">
        <v>708.0</v>
      </c>
      <c r="I521" s="3" t="s">
        <v>110</v>
      </c>
      <c r="J521" s="3">
        <v>279.0</v>
      </c>
      <c r="K521" s="3">
        <v>0.0</v>
      </c>
      <c r="L521" s="3">
        <v>24.3</v>
      </c>
      <c r="M521" s="3" t="s">
        <v>204</v>
      </c>
      <c r="N521" s="3">
        <v>12.0</v>
      </c>
      <c r="O521" s="3">
        <v>28.412</v>
      </c>
      <c r="P521" s="3">
        <v>59.18</v>
      </c>
      <c r="Q521" s="3" t="s">
        <v>1288</v>
      </c>
      <c r="R521" s="3" t="s">
        <v>164</v>
      </c>
      <c r="S521" s="3" t="s">
        <v>665</v>
      </c>
      <c r="T521" s="16">
        <f t="shared" si="1"/>
        <v>40532.77847</v>
      </c>
      <c r="U521" s="4" t="b">
        <f t="shared" si="2"/>
        <v>1</v>
      </c>
      <c r="V521" s="4" t="b">
        <f t="shared" si="3"/>
        <v>0</v>
      </c>
      <c r="W521" s="4" t="str">
        <f t="shared" si="8"/>
        <v>Distance/Location</v>
      </c>
      <c r="X521" s="4" t="str">
        <f t="shared" si="4"/>
        <v>mwc</v>
      </c>
      <c r="Y521" s="4">
        <f t="shared" si="5"/>
        <v>1</v>
      </c>
      <c r="Z521" s="4" t="str">
        <f t="shared" si="6"/>
        <v>Unique</v>
      </c>
      <c r="AA521" s="4" t="str">
        <f t="shared" si="7"/>
        <v>Valid</v>
      </c>
    </row>
    <row r="522">
      <c r="A522" s="3" t="s">
        <v>1289</v>
      </c>
      <c r="B522" s="3">
        <v>6.6</v>
      </c>
      <c r="C522" s="17">
        <v>40221.13333333333</v>
      </c>
      <c r="D522" s="3">
        <v>0.0</v>
      </c>
      <c r="E522" s="3">
        <v>6.0</v>
      </c>
      <c r="F522" s="4"/>
      <c r="G522" s="3">
        <v>0.0</v>
      </c>
      <c r="H522" s="3">
        <v>670.0</v>
      </c>
      <c r="I522" s="3" t="s">
        <v>110</v>
      </c>
      <c r="J522" s="3">
        <v>306.0</v>
      </c>
      <c r="K522" s="3">
        <v>0.0</v>
      </c>
      <c r="L522" s="3">
        <v>18.5</v>
      </c>
      <c r="M522" s="3" t="s">
        <v>224</v>
      </c>
      <c r="N522" s="3">
        <v>33.0</v>
      </c>
      <c r="O522" s="3">
        <v>-6.001</v>
      </c>
      <c r="P522" s="3">
        <v>149.977</v>
      </c>
      <c r="Q522" s="3" t="s">
        <v>774</v>
      </c>
      <c r="R522" s="4"/>
      <c r="S522" s="3" t="s">
        <v>168</v>
      </c>
      <c r="T522" s="16">
        <f t="shared" si="1"/>
        <v>40514.13333</v>
      </c>
      <c r="U522" s="4" t="b">
        <f t="shared" si="2"/>
        <v>1</v>
      </c>
      <c r="V522" s="4" t="b">
        <f t="shared" si="3"/>
        <v>1</v>
      </c>
      <c r="W522" s="4" t="str">
        <f t="shared" si="8"/>
        <v>Distance/Location</v>
      </c>
      <c r="X522" s="4" t="str">
        <f t="shared" si="4"/>
        <v>mwb</v>
      </c>
      <c r="Y522" s="4">
        <f t="shared" si="5"/>
        <v>1</v>
      </c>
      <c r="Z522" s="4" t="str">
        <f t="shared" si="6"/>
        <v>Unique</v>
      </c>
      <c r="AA522" s="4" t="str">
        <f t="shared" si="7"/>
        <v>Valid</v>
      </c>
    </row>
    <row r="523">
      <c r="A523" s="3" t="s">
        <v>1290</v>
      </c>
      <c r="B523" s="3">
        <v>7.8</v>
      </c>
      <c r="C523" s="3" t="s">
        <v>1291</v>
      </c>
      <c r="D523" s="3">
        <v>4.0</v>
      </c>
      <c r="E523" s="3">
        <v>7.0</v>
      </c>
      <c r="F523" s="4"/>
      <c r="G523" s="3">
        <v>0.0</v>
      </c>
      <c r="H523" s="3">
        <v>946.0</v>
      </c>
      <c r="I523" s="3" t="s">
        <v>110</v>
      </c>
      <c r="J523" s="3">
        <v>379.0</v>
      </c>
      <c r="K523" s="3">
        <v>0.0</v>
      </c>
      <c r="L523" s="3">
        <v>23.0</v>
      </c>
      <c r="M523" s="3" t="s">
        <v>204</v>
      </c>
      <c r="N523" s="3">
        <v>20.1</v>
      </c>
      <c r="O523" s="3">
        <v>-3.487</v>
      </c>
      <c r="P523" s="3">
        <v>100.082</v>
      </c>
      <c r="Q523" s="3" t="s">
        <v>791</v>
      </c>
      <c r="R523" s="4"/>
      <c r="S523" s="4"/>
      <c r="T523" s="16">
        <f t="shared" si="1"/>
        <v>40476.6125</v>
      </c>
      <c r="U523" s="4" t="b">
        <f t="shared" si="2"/>
        <v>1</v>
      </c>
      <c r="V523" s="4" t="b">
        <f t="shared" si="3"/>
        <v>0</v>
      </c>
      <c r="W523" s="4" t="str">
        <f t="shared" si="8"/>
        <v>Distance/Location</v>
      </c>
      <c r="X523" s="4" t="str">
        <f t="shared" si="4"/>
        <v>mwc</v>
      </c>
      <c r="Y523" s="4">
        <f t="shared" si="5"/>
        <v>1</v>
      </c>
      <c r="Z523" s="4" t="str">
        <f t="shared" si="6"/>
        <v>Unique</v>
      </c>
      <c r="AA523" s="4" t="str">
        <f t="shared" si="7"/>
        <v>Valid</v>
      </c>
    </row>
    <row r="524">
      <c r="A524" s="3" t="s">
        <v>1292</v>
      </c>
      <c r="B524" s="3">
        <v>6.7</v>
      </c>
      <c r="C524" s="3" t="s">
        <v>1293</v>
      </c>
      <c r="D524" s="3">
        <v>5.0</v>
      </c>
      <c r="E524" s="3">
        <v>5.0</v>
      </c>
      <c r="F524" s="4"/>
      <c r="G524" s="3">
        <v>0.0</v>
      </c>
      <c r="H524" s="3">
        <v>776.0</v>
      </c>
      <c r="I524" s="3" t="s">
        <v>110</v>
      </c>
      <c r="J524" s="3">
        <v>352.0</v>
      </c>
      <c r="K524" s="3">
        <v>0.0</v>
      </c>
      <c r="L524" s="3">
        <v>50.3</v>
      </c>
      <c r="M524" s="3" t="s">
        <v>204</v>
      </c>
      <c r="N524" s="3">
        <v>13.0</v>
      </c>
      <c r="O524" s="3">
        <v>24.696</v>
      </c>
      <c r="P524" s="3">
        <v>-109.156</v>
      </c>
      <c r="Q524" s="3" t="s">
        <v>1294</v>
      </c>
      <c r="R524" s="4"/>
      <c r="S524" s="4"/>
      <c r="T524" s="16">
        <f t="shared" si="1"/>
        <v>40472.74514</v>
      </c>
      <c r="U524" s="4" t="b">
        <f t="shared" si="2"/>
        <v>1</v>
      </c>
      <c r="V524" s="4" t="b">
        <f t="shared" si="3"/>
        <v>0</v>
      </c>
      <c r="W524" s="4" t="str">
        <f t="shared" si="8"/>
        <v>Distance/Location</v>
      </c>
      <c r="X524" s="4" t="str">
        <f t="shared" si="4"/>
        <v>mwc</v>
      </c>
      <c r="Y524" s="4">
        <f t="shared" si="5"/>
        <v>1</v>
      </c>
      <c r="Z524" s="4" t="str">
        <f t="shared" si="6"/>
        <v>Unique</v>
      </c>
      <c r="AA524" s="4" t="str">
        <f t="shared" si="7"/>
        <v>Valid</v>
      </c>
    </row>
    <row r="525">
      <c r="A525" s="3" t="s">
        <v>1295</v>
      </c>
      <c r="B525" s="3">
        <v>7.0</v>
      </c>
      <c r="C525" s="3" t="s">
        <v>1296</v>
      </c>
      <c r="D525" s="3">
        <v>8.0</v>
      </c>
      <c r="E525" s="3">
        <v>5.0</v>
      </c>
      <c r="F525" s="4"/>
      <c r="G525" s="3">
        <v>0.0</v>
      </c>
      <c r="H525" s="3">
        <v>772.0</v>
      </c>
      <c r="I525" s="3" t="s">
        <v>110</v>
      </c>
      <c r="J525" s="3">
        <v>271.0</v>
      </c>
      <c r="K525" s="3">
        <v>0.0</v>
      </c>
      <c r="L525" s="3">
        <v>15.1</v>
      </c>
      <c r="M525" s="3" t="s">
        <v>204</v>
      </c>
      <c r="N525" s="3">
        <v>26.0</v>
      </c>
      <c r="O525" s="3">
        <v>-4.963</v>
      </c>
      <c r="P525" s="3">
        <v>133.76</v>
      </c>
      <c r="Q525" s="3" t="s">
        <v>1297</v>
      </c>
      <c r="R525" s="4"/>
      <c r="S525" s="3" t="s">
        <v>153</v>
      </c>
      <c r="T525" s="16">
        <f t="shared" si="1"/>
        <v>40450.71597</v>
      </c>
      <c r="U525" s="4" t="b">
        <f t="shared" si="2"/>
        <v>1</v>
      </c>
      <c r="V525" s="4" t="b">
        <f t="shared" si="3"/>
        <v>0</v>
      </c>
      <c r="W525" s="4" t="str">
        <f t="shared" si="8"/>
        <v>Named Region</v>
      </c>
      <c r="X525" s="4" t="str">
        <f t="shared" si="4"/>
        <v>mwc</v>
      </c>
      <c r="Y525" s="4">
        <f t="shared" si="5"/>
        <v>1</v>
      </c>
      <c r="Z525" s="4" t="str">
        <f t="shared" si="6"/>
        <v>Unique</v>
      </c>
      <c r="AA525" s="4" t="str">
        <f t="shared" si="7"/>
        <v>Valid</v>
      </c>
    </row>
    <row r="526">
      <c r="A526" s="3" t="s">
        <v>1298</v>
      </c>
      <c r="B526" s="3">
        <v>7.0</v>
      </c>
      <c r="C526" s="17">
        <v>40246.69097222222</v>
      </c>
      <c r="D526" s="3">
        <v>8.0</v>
      </c>
      <c r="E526" s="3">
        <v>8.0</v>
      </c>
      <c r="F526" s="4"/>
      <c r="G526" s="3">
        <v>0.0</v>
      </c>
      <c r="H526" s="3">
        <v>1245.0</v>
      </c>
      <c r="I526" s="3" t="s">
        <v>110</v>
      </c>
      <c r="J526" s="3">
        <v>365.0</v>
      </c>
      <c r="K526" s="3">
        <v>0.0</v>
      </c>
      <c r="L526" s="3">
        <v>15.8</v>
      </c>
      <c r="M526" s="3" t="s">
        <v>204</v>
      </c>
      <c r="N526" s="3">
        <v>12.0</v>
      </c>
      <c r="O526" s="3">
        <v>-43.522</v>
      </c>
      <c r="P526" s="3">
        <v>171.83</v>
      </c>
      <c r="Q526" s="3" t="s">
        <v>1299</v>
      </c>
      <c r="R526" s="4"/>
      <c r="S526" s="3" t="s">
        <v>759</v>
      </c>
      <c r="T526" s="16">
        <f t="shared" si="1"/>
        <v>40424.69097</v>
      </c>
      <c r="U526" s="4" t="b">
        <f t="shared" si="2"/>
        <v>1</v>
      </c>
      <c r="V526" s="4" t="b">
        <f t="shared" si="3"/>
        <v>1</v>
      </c>
      <c r="W526" s="4" t="str">
        <f t="shared" si="8"/>
        <v>Distance/Location</v>
      </c>
      <c r="X526" s="4" t="str">
        <f t="shared" si="4"/>
        <v>mwc</v>
      </c>
      <c r="Y526" s="4">
        <f t="shared" si="5"/>
        <v>1</v>
      </c>
      <c r="Z526" s="4" t="str">
        <f t="shared" si="6"/>
        <v>Unique</v>
      </c>
      <c r="AA526" s="4" t="str">
        <f t="shared" si="7"/>
        <v>Valid</v>
      </c>
    </row>
    <row r="527">
      <c r="A527" s="3" t="s">
        <v>1300</v>
      </c>
      <c r="B527" s="3">
        <v>7.1</v>
      </c>
      <c r="C527" s="17">
        <v>40520.495833333334</v>
      </c>
      <c r="D527" s="3">
        <v>6.0</v>
      </c>
      <c r="E527" s="3">
        <v>5.0</v>
      </c>
      <c r="F527" s="4"/>
      <c r="G527" s="3">
        <v>0.0</v>
      </c>
      <c r="H527" s="3">
        <v>945.0</v>
      </c>
      <c r="I527" s="3" t="s">
        <v>110</v>
      </c>
      <c r="J527" s="3">
        <v>672.0</v>
      </c>
      <c r="K527" s="3">
        <v>0.0</v>
      </c>
      <c r="L527" s="3">
        <v>12.4</v>
      </c>
      <c r="M527" s="3" t="s">
        <v>204</v>
      </c>
      <c r="N527" s="3">
        <v>206.7</v>
      </c>
      <c r="O527" s="3">
        <v>-1.266</v>
      </c>
      <c r="P527" s="3">
        <v>-77.306</v>
      </c>
      <c r="Q527" s="3" t="s">
        <v>179</v>
      </c>
      <c r="R527" s="3" t="s">
        <v>121</v>
      </c>
      <c r="S527" s="3" t="s">
        <v>179</v>
      </c>
      <c r="T527" s="16">
        <f t="shared" si="1"/>
        <v>40402.49583</v>
      </c>
      <c r="U527" s="4" t="b">
        <f t="shared" si="2"/>
        <v>1</v>
      </c>
      <c r="V527" s="4" t="b">
        <f t="shared" si="3"/>
        <v>1</v>
      </c>
      <c r="W527" s="4" t="str">
        <f t="shared" si="8"/>
        <v>Named Region</v>
      </c>
      <c r="X527" s="4" t="str">
        <f t="shared" si="4"/>
        <v>mwc</v>
      </c>
      <c r="Y527" s="4">
        <f t="shared" si="5"/>
        <v>1</v>
      </c>
      <c r="Z527" s="4" t="str">
        <f t="shared" si="6"/>
        <v>Unique</v>
      </c>
      <c r="AA527" s="4" t="str">
        <f t="shared" si="7"/>
        <v>Valid</v>
      </c>
    </row>
    <row r="528">
      <c r="A528" s="3" t="s">
        <v>1301</v>
      </c>
      <c r="B528" s="3">
        <v>7.3</v>
      </c>
      <c r="C528" s="17">
        <v>40459.22430555556</v>
      </c>
      <c r="D528" s="3">
        <v>7.0</v>
      </c>
      <c r="E528" s="3">
        <v>7.0</v>
      </c>
      <c r="F528" s="4"/>
      <c r="G528" s="3">
        <v>0.0</v>
      </c>
      <c r="H528" s="3">
        <v>850.0</v>
      </c>
      <c r="I528" s="3" t="s">
        <v>110</v>
      </c>
      <c r="J528" s="3">
        <v>405.0</v>
      </c>
      <c r="K528" s="3">
        <v>0.0</v>
      </c>
      <c r="L528" s="3">
        <v>20.2</v>
      </c>
      <c r="M528" s="3" t="s">
        <v>204</v>
      </c>
      <c r="N528" s="3">
        <v>25.0</v>
      </c>
      <c r="O528" s="3">
        <v>-17.541</v>
      </c>
      <c r="P528" s="3">
        <v>168.069</v>
      </c>
      <c r="Q528" s="3" t="s">
        <v>948</v>
      </c>
      <c r="R528" s="4"/>
      <c r="S528" s="3" t="s">
        <v>113</v>
      </c>
      <c r="T528" s="16">
        <f t="shared" si="1"/>
        <v>40400.22431</v>
      </c>
      <c r="U528" s="4" t="b">
        <f t="shared" si="2"/>
        <v>1</v>
      </c>
      <c r="V528" s="4" t="b">
        <f t="shared" si="3"/>
        <v>1</v>
      </c>
      <c r="W528" s="4" t="str">
        <f t="shared" si="8"/>
        <v>Distance/Location</v>
      </c>
      <c r="X528" s="4" t="str">
        <f t="shared" si="4"/>
        <v>mwc</v>
      </c>
      <c r="Y528" s="4">
        <f t="shared" si="5"/>
        <v>1</v>
      </c>
      <c r="Z528" s="4" t="str">
        <f t="shared" si="6"/>
        <v>Unique</v>
      </c>
      <c r="AA528" s="4" t="str">
        <f t="shared" si="7"/>
        <v>Valid</v>
      </c>
    </row>
    <row r="529">
      <c r="A529" s="3" t="s">
        <v>1302</v>
      </c>
      <c r="B529" s="3">
        <v>7.0</v>
      </c>
      <c r="C529" s="17">
        <v>40276.91736111111</v>
      </c>
      <c r="D529" s="3">
        <v>4.0</v>
      </c>
      <c r="E529" s="3">
        <v>6.0</v>
      </c>
      <c r="F529" s="4"/>
      <c r="G529" s="3">
        <v>0.0</v>
      </c>
      <c r="H529" s="3">
        <v>757.0</v>
      </c>
      <c r="I529" s="3" t="s">
        <v>110</v>
      </c>
      <c r="J529" s="3">
        <v>396.0</v>
      </c>
      <c r="K529" s="3">
        <v>0.0</v>
      </c>
      <c r="L529" s="3">
        <v>12.7</v>
      </c>
      <c r="M529" s="3" t="s">
        <v>111</v>
      </c>
      <c r="N529" s="3">
        <v>44.0</v>
      </c>
      <c r="O529" s="3">
        <v>-5.746</v>
      </c>
      <c r="P529" s="3">
        <v>150.765</v>
      </c>
      <c r="Q529" s="3" t="s">
        <v>187</v>
      </c>
      <c r="R529" s="4"/>
      <c r="S529" s="3" t="s">
        <v>168</v>
      </c>
      <c r="T529" s="16">
        <f t="shared" si="1"/>
        <v>40394.91736</v>
      </c>
      <c r="U529" s="4" t="b">
        <f t="shared" si="2"/>
        <v>1</v>
      </c>
      <c r="V529" s="4" t="b">
        <f t="shared" si="3"/>
        <v>1</v>
      </c>
      <c r="W529" s="4" t="str">
        <f t="shared" si="8"/>
        <v>Distance/Location</v>
      </c>
      <c r="X529" s="4" t="str">
        <f t="shared" si="4"/>
        <v>mww</v>
      </c>
      <c r="Y529" s="4">
        <f t="shared" si="5"/>
        <v>1</v>
      </c>
      <c r="Z529" s="4" t="str">
        <f t="shared" si="6"/>
        <v>Unique</v>
      </c>
      <c r="AA529" s="4" t="str">
        <f t="shared" si="7"/>
        <v>Valid</v>
      </c>
    </row>
    <row r="530">
      <c r="A530" s="3" t="s">
        <v>1303</v>
      </c>
      <c r="B530" s="3">
        <v>6.5</v>
      </c>
      <c r="C530" s="17">
        <v>40276.302083333336</v>
      </c>
      <c r="D530" s="3">
        <v>5.0</v>
      </c>
      <c r="E530" s="3">
        <v>4.0</v>
      </c>
      <c r="F530" s="4"/>
      <c r="G530" s="3">
        <v>0.0</v>
      </c>
      <c r="H530" s="3">
        <v>659.0</v>
      </c>
      <c r="I530" s="3" t="s">
        <v>110</v>
      </c>
      <c r="J530" s="3">
        <v>403.0</v>
      </c>
      <c r="K530" s="3">
        <v>0.0</v>
      </c>
      <c r="L530" s="3">
        <v>11.1</v>
      </c>
      <c r="M530" s="3" t="s">
        <v>204</v>
      </c>
      <c r="N530" s="3">
        <v>220.0</v>
      </c>
      <c r="O530" s="3">
        <v>-5.486</v>
      </c>
      <c r="P530" s="3">
        <v>146.822</v>
      </c>
      <c r="Q530" s="3" t="s">
        <v>1304</v>
      </c>
      <c r="R530" s="4"/>
      <c r="S530" s="3" t="s">
        <v>168</v>
      </c>
      <c r="T530" s="16">
        <f t="shared" si="1"/>
        <v>40394.30208</v>
      </c>
      <c r="U530" s="4" t="b">
        <f t="shared" si="2"/>
        <v>1</v>
      </c>
      <c r="V530" s="4" t="b">
        <f t="shared" si="3"/>
        <v>1</v>
      </c>
      <c r="W530" s="4" t="str">
        <f t="shared" si="8"/>
        <v>Distance/Location</v>
      </c>
      <c r="X530" s="4" t="str">
        <f t="shared" si="4"/>
        <v>mwc</v>
      </c>
      <c r="Y530" s="4">
        <f t="shared" si="5"/>
        <v>1</v>
      </c>
      <c r="Z530" s="4" t="str">
        <f t="shared" si="6"/>
        <v>Unique</v>
      </c>
      <c r="AA530" s="4" t="str">
        <f t="shared" si="7"/>
        <v>Valid</v>
      </c>
    </row>
    <row r="531">
      <c r="A531" s="3" t="s">
        <v>1305</v>
      </c>
      <c r="B531" s="3">
        <v>7.6</v>
      </c>
      <c r="C531" s="3" t="s">
        <v>1306</v>
      </c>
      <c r="D531" s="3">
        <v>5.0</v>
      </c>
      <c r="E531" s="3">
        <v>3.0</v>
      </c>
      <c r="F531" s="4"/>
      <c r="G531" s="3">
        <v>0.0</v>
      </c>
      <c r="H531" s="3">
        <v>902.0</v>
      </c>
      <c r="I531" s="3" t="s">
        <v>110</v>
      </c>
      <c r="J531" s="3">
        <v>340.0</v>
      </c>
      <c r="K531" s="3">
        <v>0.0</v>
      </c>
      <c r="L531" s="3">
        <v>15.1</v>
      </c>
      <c r="M531" s="3" t="s">
        <v>204</v>
      </c>
      <c r="N531" s="3">
        <v>578.0</v>
      </c>
      <c r="O531" s="3">
        <v>6.497</v>
      </c>
      <c r="P531" s="3">
        <v>123.48</v>
      </c>
      <c r="Q531" s="3" t="s">
        <v>1307</v>
      </c>
      <c r="R531" s="4"/>
      <c r="S531" s="3" t="s">
        <v>258</v>
      </c>
      <c r="T531" s="16">
        <f t="shared" si="1"/>
        <v>40382.95208</v>
      </c>
      <c r="U531" s="4" t="b">
        <f t="shared" si="2"/>
        <v>1</v>
      </c>
      <c r="V531" s="4" t="b">
        <f t="shared" si="3"/>
        <v>0</v>
      </c>
      <c r="W531" s="4" t="str">
        <f t="shared" si="8"/>
        <v>Distance/Location</v>
      </c>
      <c r="X531" s="4" t="str">
        <f t="shared" si="4"/>
        <v>mwc</v>
      </c>
      <c r="Y531" s="4">
        <f t="shared" si="5"/>
        <v>1</v>
      </c>
      <c r="Z531" s="4" t="str">
        <f t="shared" si="6"/>
        <v>Unique</v>
      </c>
      <c r="AA531" s="4" t="str">
        <f t="shared" si="7"/>
        <v>Valid</v>
      </c>
    </row>
    <row r="532">
      <c r="A532" s="3" t="s">
        <v>1308</v>
      </c>
      <c r="B532" s="3">
        <v>7.3</v>
      </c>
      <c r="C532" s="3" t="s">
        <v>1309</v>
      </c>
      <c r="D532" s="3">
        <v>8.0</v>
      </c>
      <c r="E532" s="3">
        <v>7.0</v>
      </c>
      <c r="F532" s="4"/>
      <c r="G532" s="3">
        <v>0.0</v>
      </c>
      <c r="H532" s="3">
        <v>831.0</v>
      </c>
      <c r="I532" s="3" t="s">
        <v>110</v>
      </c>
      <c r="J532" s="3">
        <v>397.0</v>
      </c>
      <c r="K532" s="3">
        <v>0.0</v>
      </c>
      <c r="L532" s="3">
        <v>18.2</v>
      </c>
      <c r="M532" s="3" t="s">
        <v>204</v>
      </c>
      <c r="N532" s="3">
        <v>35.0</v>
      </c>
      <c r="O532" s="3">
        <v>-5.931</v>
      </c>
      <c r="P532" s="3">
        <v>150.59</v>
      </c>
      <c r="Q532" s="3" t="s">
        <v>1310</v>
      </c>
      <c r="R532" s="4"/>
      <c r="S532" s="3" t="s">
        <v>168</v>
      </c>
      <c r="T532" s="16">
        <f t="shared" si="1"/>
        <v>40377.56528</v>
      </c>
      <c r="U532" s="4" t="b">
        <f t="shared" si="2"/>
        <v>1</v>
      </c>
      <c r="V532" s="4" t="b">
        <f t="shared" si="3"/>
        <v>0</v>
      </c>
      <c r="W532" s="4" t="str">
        <f t="shared" si="8"/>
        <v>Named Region</v>
      </c>
      <c r="X532" s="4" t="str">
        <f t="shared" si="4"/>
        <v>mwc</v>
      </c>
      <c r="Y532" s="4">
        <f t="shared" si="5"/>
        <v>1</v>
      </c>
      <c r="Z532" s="4" t="str">
        <f t="shared" si="6"/>
        <v>Unique</v>
      </c>
      <c r="AA532" s="4" t="str">
        <f t="shared" si="7"/>
        <v>Valid</v>
      </c>
    </row>
    <row r="533">
      <c r="A533" s="3" t="s">
        <v>1311</v>
      </c>
      <c r="B533" s="3">
        <v>6.9</v>
      </c>
      <c r="C533" s="3" t="s">
        <v>1312</v>
      </c>
      <c r="D533" s="3">
        <v>4.0</v>
      </c>
      <c r="E533" s="3">
        <v>7.0</v>
      </c>
      <c r="F533" s="4"/>
      <c r="G533" s="3">
        <v>0.0</v>
      </c>
      <c r="H533" s="3">
        <v>737.0</v>
      </c>
      <c r="I533" s="3" t="s">
        <v>110</v>
      </c>
      <c r="J533" s="3">
        <v>456.0</v>
      </c>
      <c r="K533" s="3">
        <v>0.0</v>
      </c>
      <c r="L533" s="3">
        <v>15.7</v>
      </c>
      <c r="M533" s="3" t="s">
        <v>204</v>
      </c>
      <c r="N533" s="3">
        <v>28.0</v>
      </c>
      <c r="O533" s="3">
        <v>-5.966</v>
      </c>
      <c r="P533" s="3">
        <v>150.428</v>
      </c>
      <c r="Q533" s="3" t="s">
        <v>187</v>
      </c>
      <c r="R533" s="4"/>
      <c r="S533" s="3" t="s">
        <v>168</v>
      </c>
      <c r="T533" s="16">
        <f t="shared" si="1"/>
        <v>40377.54444</v>
      </c>
      <c r="U533" s="4" t="b">
        <f t="shared" si="2"/>
        <v>1</v>
      </c>
      <c r="V533" s="4" t="b">
        <f t="shared" si="3"/>
        <v>0</v>
      </c>
      <c r="W533" s="4" t="str">
        <f t="shared" si="8"/>
        <v>Distance/Location</v>
      </c>
      <c r="X533" s="4" t="str">
        <f t="shared" si="4"/>
        <v>mwc</v>
      </c>
      <c r="Y533" s="4">
        <f t="shared" si="5"/>
        <v>1</v>
      </c>
      <c r="Z533" s="4" t="str">
        <f t="shared" si="6"/>
        <v>Unique</v>
      </c>
      <c r="AA533" s="4" t="str">
        <f t="shared" si="7"/>
        <v>Valid</v>
      </c>
    </row>
    <row r="534">
      <c r="A534" s="3" t="s">
        <v>1313</v>
      </c>
      <c r="B534" s="3">
        <v>6.6</v>
      </c>
      <c r="C534" s="3" t="s">
        <v>1314</v>
      </c>
      <c r="D534" s="3">
        <v>6.0</v>
      </c>
      <c r="E534" s="3">
        <v>7.0</v>
      </c>
      <c r="F534" s="4"/>
      <c r="G534" s="3">
        <v>0.0</v>
      </c>
      <c r="H534" s="3">
        <v>753.0</v>
      </c>
      <c r="I534" s="3" t="s">
        <v>110</v>
      </c>
      <c r="J534" s="3">
        <v>295.0</v>
      </c>
      <c r="K534" s="3">
        <v>0.0</v>
      </c>
      <c r="L534" s="3">
        <v>52.8</v>
      </c>
      <c r="M534" s="3" t="s">
        <v>204</v>
      </c>
      <c r="N534" s="3">
        <v>22.0</v>
      </c>
      <c r="O534" s="3">
        <v>-38.067</v>
      </c>
      <c r="P534" s="3">
        <v>-73.31</v>
      </c>
      <c r="Q534" s="3" t="s">
        <v>1315</v>
      </c>
      <c r="R534" s="3" t="s">
        <v>121</v>
      </c>
      <c r="S534" s="3" t="s">
        <v>414</v>
      </c>
      <c r="T534" s="16">
        <f t="shared" si="1"/>
        <v>40373.35556</v>
      </c>
      <c r="U534" s="4" t="b">
        <f t="shared" si="2"/>
        <v>1</v>
      </c>
      <c r="V534" s="4" t="b">
        <f t="shared" si="3"/>
        <v>0</v>
      </c>
      <c r="W534" s="4" t="str">
        <f t="shared" si="8"/>
        <v>Distance/Location</v>
      </c>
      <c r="X534" s="4" t="str">
        <f t="shared" si="4"/>
        <v>mwc</v>
      </c>
      <c r="Y534" s="4">
        <f t="shared" si="5"/>
        <v>1</v>
      </c>
      <c r="Z534" s="4" t="str">
        <f t="shared" si="6"/>
        <v>Unique</v>
      </c>
      <c r="AA534" s="4" t="str">
        <f t="shared" si="7"/>
        <v>Valid</v>
      </c>
    </row>
    <row r="535">
      <c r="A535" s="3" t="s">
        <v>1316</v>
      </c>
      <c r="B535" s="3">
        <v>6.7</v>
      </c>
      <c r="C535" s="3" t="s">
        <v>1317</v>
      </c>
      <c r="D535" s="3">
        <v>5.0</v>
      </c>
      <c r="E535" s="3">
        <v>6.0</v>
      </c>
      <c r="F535" s="4"/>
      <c r="G535" s="3">
        <v>0.0</v>
      </c>
      <c r="H535" s="3">
        <v>696.0</v>
      </c>
      <c r="I535" s="3" t="s">
        <v>110</v>
      </c>
      <c r="J535" s="3">
        <v>392.0</v>
      </c>
      <c r="K535" s="3">
        <v>0.0</v>
      </c>
      <c r="L535" s="3">
        <v>18.7</v>
      </c>
      <c r="M535" s="3" t="s">
        <v>204</v>
      </c>
      <c r="N535" s="3">
        <v>35.0</v>
      </c>
      <c r="O535" s="3">
        <v>-10.627</v>
      </c>
      <c r="P535" s="3">
        <v>161.447</v>
      </c>
      <c r="Q535" s="3" t="s">
        <v>595</v>
      </c>
      <c r="R535" s="4"/>
      <c r="S535" s="3" t="s">
        <v>214</v>
      </c>
      <c r="T535" s="16">
        <f t="shared" si="1"/>
        <v>40355.22917</v>
      </c>
      <c r="U535" s="4" t="b">
        <f t="shared" si="2"/>
        <v>1</v>
      </c>
      <c r="V535" s="4" t="b">
        <f t="shared" si="3"/>
        <v>0</v>
      </c>
      <c r="W535" s="4" t="str">
        <f t="shared" si="8"/>
        <v>Distance/Location</v>
      </c>
      <c r="X535" s="4" t="str">
        <f t="shared" si="4"/>
        <v>mwc</v>
      </c>
      <c r="Y535" s="4">
        <f t="shared" si="5"/>
        <v>1</v>
      </c>
      <c r="Z535" s="4" t="str">
        <f t="shared" si="6"/>
        <v>Unique</v>
      </c>
      <c r="AA535" s="4" t="str">
        <f t="shared" si="7"/>
        <v>Valid</v>
      </c>
    </row>
    <row r="536">
      <c r="A536" s="3" t="s">
        <v>1318</v>
      </c>
      <c r="B536" s="3">
        <v>6.6</v>
      </c>
      <c r="C536" s="3" t="s">
        <v>1319</v>
      </c>
      <c r="D536" s="3">
        <v>0.0</v>
      </c>
      <c r="E536" s="3">
        <v>7.0</v>
      </c>
      <c r="F536" s="4"/>
      <c r="G536" s="3">
        <v>0.0</v>
      </c>
      <c r="H536" s="3">
        <v>670.0</v>
      </c>
      <c r="I536" s="3" t="s">
        <v>110</v>
      </c>
      <c r="J536" s="3">
        <v>309.0</v>
      </c>
      <c r="K536" s="3">
        <v>0.0</v>
      </c>
      <c r="L536" s="3">
        <v>25.0</v>
      </c>
      <c r="M536" s="3" t="s">
        <v>204</v>
      </c>
      <c r="N536" s="3">
        <v>10.5</v>
      </c>
      <c r="O536" s="3">
        <v>-2.329</v>
      </c>
      <c r="P536" s="3">
        <v>136.484</v>
      </c>
      <c r="Q536" s="3" t="s">
        <v>1320</v>
      </c>
      <c r="R536" s="4"/>
      <c r="S536" s="3" t="s">
        <v>153</v>
      </c>
      <c r="T536" s="16">
        <f t="shared" si="1"/>
        <v>40345.16528</v>
      </c>
      <c r="U536" s="4" t="b">
        <f t="shared" si="2"/>
        <v>1</v>
      </c>
      <c r="V536" s="4" t="b">
        <f t="shared" si="3"/>
        <v>0</v>
      </c>
      <c r="W536" s="4" t="str">
        <f t="shared" si="8"/>
        <v>Distance/Location</v>
      </c>
      <c r="X536" s="4" t="str">
        <f t="shared" si="4"/>
        <v>mwc</v>
      </c>
      <c r="Y536" s="4">
        <f t="shared" si="5"/>
        <v>1</v>
      </c>
      <c r="Z536" s="4" t="str">
        <f t="shared" si="6"/>
        <v>Unique</v>
      </c>
      <c r="AA536" s="4" t="str">
        <f t="shared" si="7"/>
        <v>Valid</v>
      </c>
    </row>
    <row r="537">
      <c r="A537" s="3" t="s">
        <v>1321</v>
      </c>
      <c r="B537" s="3">
        <v>7.0</v>
      </c>
      <c r="C537" s="3" t="s">
        <v>1322</v>
      </c>
      <c r="D537" s="3">
        <v>3.0</v>
      </c>
      <c r="E537" s="3">
        <v>7.0</v>
      </c>
      <c r="F537" s="4"/>
      <c r="G537" s="3">
        <v>0.0</v>
      </c>
      <c r="H537" s="3">
        <v>755.0</v>
      </c>
      <c r="I537" s="3" t="s">
        <v>110</v>
      </c>
      <c r="J537" s="3">
        <v>307.0</v>
      </c>
      <c r="K537" s="3">
        <v>0.0</v>
      </c>
      <c r="L537" s="3">
        <v>18.1</v>
      </c>
      <c r="M537" s="3" t="s">
        <v>204</v>
      </c>
      <c r="N537" s="3">
        <v>18.0</v>
      </c>
      <c r="O537" s="3">
        <v>-2.174</v>
      </c>
      <c r="P537" s="3">
        <v>136.543</v>
      </c>
      <c r="Q537" s="3" t="s">
        <v>1320</v>
      </c>
      <c r="R537" s="4"/>
      <c r="S537" s="3" t="s">
        <v>153</v>
      </c>
      <c r="T537" s="16">
        <f t="shared" si="1"/>
        <v>40345.13611</v>
      </c>
      <c r="U537" s="4" t="b">
        <f t="shared" si="2"/>
        <v>1</v>
      </c>
      <c r="V537" s="4" t="b">
        <f t="shared" si="3"/>
        <v>0</v>
      </c>
      <c r="W537" s="4" t="str">
        <f t="shared" si="8"/>
        <v>Distance/Location</v>
      </c>
      <c r="X537" s="4" t="str">
        <f t="shared" si="4"/>
        <v>mwc</v>
      </c>
      <c r="Y537" s="4">
        <f t="shared" si="5"/>
        <v>1</v>
      </c>
      <c r="Z537" s="4" t="str">
        <f t="shared" si="6"/>
        <v>Unique</v>
      </c>
      <c r="AA537" s="4" t="str">
        <f t="shared" si="7"/>
        <v>Valid</v>
      </c>
    </row>
    <row r="538">
      <c r="A538" s="3" t="s">
        <v>1323</v>
      </c>
      <c r="B538" s="3">
        <v>7.5</v>
      </c>
      <c r="C538" s="17">
        <v>40518.80972222222</v>
      </c>
      <c r="D538" s="3">
        <v>6.0</v>
      </c>
      <c r="E538" s="3">
        <v>5.0</v>
      </c>
      <c r="F538" s="4"/>
      <c r="G538" s="3">
        <v>0.0</v>
      </c>
      <c r="H538" s="3">
        <v>1144.0</v>
      </c>
      <c r="I538" s="3" t="s">
        <v>110</v>
      </c>
      <c r="J538" s="3">
        <v>514.0</v>
      </c>
      <c r="K538" s="3">
        <v>0.0</v>
      </c>
      <c r="L538" s="3">
        <v>18.6</v>
      </c>
      <c r="M538" s="3" t="s">
        <v>204</v>
      </c>
      <c r="N538" s="3">
        <v>35.0</v>
      </c>
      <c r="O538" s="3">
        <v>7.881</v>
      </c>
      <c r="P538" s="3">
        <v>91.936</v>
      </c>
      <c r="Q538" s="3" t="s">
        <v>860</v>
      </c>
      <c r="R538" s="4"/>
      <c r="S538" s="4"/>
      <c r="T538" s="16">
        <f t="shared" si="1"/>
        <v>40341.80972</v>
      </c>
      <c r="U538" s="4" t="b">
        <f t="shared" si="2"/>
        <v>1</v>
      </c>
      <c r="V538" s="4" t="b">
        <f t="shared" si="3"/>
        <v>1</v>
      </c>
      <c r="W538" s="4" t="str">
        <f t="shared" si="8"/>
        <v>Named Region</v>
      </c>
      <c r="X538" s="4" t="str">
        <f t="shared" si="4"/>
        <v>mwc</v>
      </c>
      <c r="Y538" s="4">
        <f t="shared" si="5"/>
        <v>1</v>
      </c>
      <c r="Z538" s="4" t="str">
        <f t="shared" si="6"/>
        <v>Unique</v>
      </c>
      <c r="AA538" s="4" t="str">
        <f t="shared" si="7"/>
        <v>Valid</v>
      </c>
    </row>
    <row r="539">
      <c r="A539" s="3" t="s">
        <v>1324</v>
      </c>
      <c r="B539" s="3">
        <v>7.2</v>
      </c>
      <c r="C539" s="3" t="s">
        <v>1325</v>
      </c>
      <c r="D539" s="3">
        <v>5.0</v>
      </c>
      <c r="E539" s="3">
        <v>6.0</v>
      </c>
      <c r="F539" s="4"/>
      <c r="G539" s="3">
        <v>0.0</v>
      </c>
      <c r="H539" s="3">
        <v>804.0</v>
      </c>
      <c r="I539" s="3" t="s">
        <v>110</v>
      </c>
      <c r="J539" s="3">
        <v>327.0</v>
      </c>
      <c r="K539" s="3">
        <v>0.0</v>
      </c>
      <c r="L539" s="3">
        <v>11.7</v>
      </c>
      <c r="M539" s="3" t="s">
        <v>204</v>
      </c>
      <c r="N539" s="3">
        <v>31.0</v>
      </c>
      <c r="O539" s="3">
        <v>-13.698</v>
      </c>
      <c r="P539" s="3">
        <v>166.643</v>
      </c>
      <c r="Q539" s="3" t="s">
        <v>112</v>
      </c>
      <c r="R539" s="4"/>
      <c r="S539" s="3" t="s">
        <v>113</v>
      </c>
      <c r="T539" s="16">
        <f t="shared" si="1"/>
        <v>40325.71806</v>
      </c>
      <c r="U539" s="4" t="b">
        <f t="shared" si="2"/>
        <v>1</v>
      </c>
      <c r="V539" s="4" t="b">
        <f t="shared" si="3"/>
        <v>0</v>
      </c>
      <c r="W539" s="4" t="str">
        <f t="shared" si="8"/>
        <v>Distance/Location</v>
      </c>
      <c r="X539" s="4" t="str">
        <f t="shared" si="4"/>
        <v>mwc</v>
      </c>
      <c r="Y539" s="4">
        <f t="shared" si="5"/>
        <v>1</v>
      </c>
      <c r="Z539" s="4" t="str">
        <f t="shared" si="6"/>
        <v>Unique</v>
      </c>
      <c r="AA539" s="4" t="str">
        <f t="shared" si="7"/>
        <v>Valid</v>
      </c>
    </row>
    <row r="540">
      <c r="A540" s="3" t="s">
        <v>1326</v>
      </c>
      <c r="B540" s="3">
        <v>7.2</v>
      </c>
      <c r="C540" s="17">
        <v>40426.24930555555</v>
      </c>
      <c r="D540" s="3">
        <v>5.0</v>
      </c>
      <c r="E540" s="3">
        <v>6.0</v>
      </c>
      <c r="F540" s="4"/>
      <c r="G540" s="3">
        <v>0.0</v>
      </c>
      <c r="H540" s="3">
        <v>918.0</v>
      </c>
      <c r="I540" s="3" t="s">
        <v>110</v>
      </c>
      <c r="J540" s="3">
        <v>611.0</v>
      </c>
      <c r="K540" s="3">
        <v>0.0</v>
      </c>
      <c r="L540" s="3">
        <v>20.6</v>
      </c>
      <c r="M540" s="3" t="s">
        <v>204</v>
      </c>
      <c r="N540" s="3">
        <v>38.0</v>
      </c>
      <c r="O540" s="3">
        <v>3.748</v>
      </c>
      <c r="P540" s="3">
        <v>96.018</v>
      </c>
      <c r="Q540" s="3" t="s">
        <v>1327</v>
      </c>
      <c r="R540" s="4"/>
      <c r="S540" s="3" t="s">
        <v>153</v>
      </c>
      <c r="T540" s="16">
        <f t="shared" si="1"/>
        <v>40307.24931</v>
      </c>
      <c r="U540" s="4" t="b">
        <f t="shared" si="2"/>
        <v>1</v>
      </c>
      <c r="V540" s="4" t="b">
        <f t="shared" si="3"/>
        <v>1</v>
      </c>
      <c r="W540" s="4" t="str">
        <f t="shared" si="8"/>
        <v>Distance/Location</v>
      </c>
      <c r="X540" s="4" t="str">
        <f t="shared" si="4"/>
        <v>mwc</v>
      </c>
      <c r="Y540" s="4">
        <f t="shared" si="5"/>
        <v>1</v>
      </c>
      <c r="Z540" s="4" t="str">
        <f t="shared" si="6"/>
        <v>Unique</v>
      </c>
      <c r="AA540" s="4" t="str">
        <f t="shared" si="7"/>
        <v>Valid</v>
      </c>
    </row>
    <row r="541">
      <c r="A541" s="3" t="s">
        <v>1328</v>
      </c>
      <c r="B541" s="3">
        <v>6.9</v>
      </c>
      <c r="C541" s="3" t="s">
        <v>1329</v>
      </c>
      <c r="D541" s="3">
        <v>6.0</v>
      </c>
      <c r="E541" s="3">
        <v>9.0</v>
      </c>
      <c r="F541" s="4"/>
      <c r="G541" s="3">
        <v>0.0</v>
      </c>
      <c r="H541" s="3">
        <v>773.0</v>
      </c>
      <c r="I541" s="3" t="s">
        <v>110</v>
      </c>
      <c r="J541" s="3">
        <v>410.0</v>
      </c>
      <c r="K541" s="3">
        <v>0.0</v>
      </c>
      <c r="L541" s="3">
        <v>14.9</v>
      </c>
      <c r="M541" s="3" t="s">
        <v>204</v>
      </c>
      <c r="N541" s="3">
        <v>17.0</v>
      </c>
      <c r="O541" s="3">
        <v>33.165</v>
      </c>
      <c r="P541" s="3">
        <v>96.548</v>
      </c>
      <c r="Q541" s="3" t="s">
        <v>1330</v>
      </c>
      <c r="R541" s="3" t="s">
        <v>164</v>
      </c>
      <c r="S541" s="3" t="s">
        <v>251</v>
      </c>
      <c r="T541" s="16">
        <f t="shared" si="1"/>
        <v>40281.99236</v>
      </c>
      <c r="U541" s="4" t="b">
        <f t="shared" si="2"/>
        <v>1</v>
      </c>
      <c r="V541" s="4" t="b">
        <f t="shared" si="3"/>
        <v>0</v>
      </c>
      <c r="W541" s="4" t="str">
        <f t="shared" si="8"/>
        <v>Distance/Location</v>
      </c>
      <c r="X541" s="4" t="str">
        <f t="shared" si="4"/>
        <v>mwc</v>
      </c>
      <c r="Y541" s="4">
        <f t="shared" si="5"/>
        <v>1</v>
      </c>
      <c r="Z541" s="4" t="str">
        <f t="shared" si="6"/>
        <v>Unique</v>
      </c>
      <c r="AA541" s="4" t="str">
        <f t="shared" si="7"/>
        <v>Valid</v>
      </c>
    </row>
    <row r="542">
      <c r="A542" s="3" t="s">
        <v>1331</v>
      </c>
      <c r="B542" s="3">
        <v>6.9</v>
      </c>
      <c r="C542" s="17">
        <v>40486.40277777778</v>
      </c>
      <c r="D542" s="3">
        <v>4.0</v>
      </c>
      <c r="E542" s="3">
        <v>5.0</v>
      </c>
      <c r="F542" s="4"/>
      <c r="G542" s="3">
        <v>0.0</v>
      </c>
      <c r="H542" s="3">
        <v>740.0</v>
      </c>
      <c r="I542" s="3" t="s">
        <v>110</v>
      </c>
      <c r="J542" s="3">
        <v>399.0</v>
      </c>
      <c r="K542" s="3">
        <v>0.0</v>
      </c>
      <c r="L542" s="3">
        <v>12.1</v>
      </c>
      <c r="M542" s="3" t="s">
        <v>204</v>
      </c>
      <c r="N542" s="3">
        <v>21.0</v>
      </c>
      <c r="O542" s="3">
        <v>-10.878</v>
      </c>
      <c r="P542" s="3">
        <v>161.116</v>
      </c>
      <c r="Q542" s="3" t="s">
        <v>595</v>
      </c>
      <c r="R542" s="4"/>
      <c r="S542" s="4"/>
      <c r="T542" s="16">
        <f t="shared" si="1"/>
        <v>40279.40278</v>
      </c>
      <c r="U542" s="4" t="b">
        <f t="shared" si="2"/>
        <v>1</v>
      </c>
      <c r="V542" s="4" t="b">
        <f t="shared" si="3"/>
        <v>1</v>
      </c>
      <c r="W542" s="4" t="str">
        <f t="shared" si="8"/>
        <v>Distance/Location</v>
      </c>
      <c r="X542" s="4" t="str">
        <f t="shared" si="4"/>
        <v>mwc</v>
      </c>
      <c r="Y542" s="4">
        <f t="shared" si="5"/>
        <v>1</v>
      </c>
      <c r="Z542" s="4" t="str">
        <f t="shared" si="6"/>
        <v>Unique</v>
      </c>
      <c r="AA542" s="4" t="str">
        <f t="shared" si="7"/>
        <v>Valid</v>
      </c>
    </row>
    <row r="543">
      <c r="A543" s="3" t="s">
        <v>1332</v>
      </c>
      <c r="B543" s="3">
        <v>7.8</v>
      </c>
      <c r="C543" s="17">
        <v>40333.927083333336</v>
      </c>
      <c r="D543" s="3">
        <v>0.0</v>
      </c>
      <c r="E543" s="3">
        <v>7.0</v>
      </c>
      <c r="F543" s="4"/>
      <c r="G543" s="3">
        <v>0.0</v>
      </c>
      <c r="H543" s="3">
        <v>936.0</v>
      </c>
      <c r="I543" s="3" t="s">
        <v>110</v>
      </c>
      <c r="J543" s="3">
        <v>352.0</v>
      </c>
      <c r="K543" s="3">
        <v>0.0</v>
      </c>
      <c r="L543" s="3">
        <v>19.2</v>
      </c>
      <c r="M543" s="3" t="s">
        <v>204</v>
      </c>
      <c r="N543" s="3">
        <v>31.0</v>
      </c>
      <c r="O543" s="3">
        <v>2.383</v>
      </c>
      <c r="P543" s="3">
        <v>97.048</v>
      </c>
      <c r="Q543" s="3" t="s">
        <v>368</v>
      </c>
      <c r="R543" s="4"/>
      <c r="S543" s="3" t="s">
        <v>153</v>
      </c>
      <c r="T543" s="16">
        <f t="shared" si="1"/>
        <v>40274.92708</v>
      </c>
      <c r="U543" s="4" t="b">
        <f t="shared" si="2"/>
        <v>1</v>
      </c>
      <c r="V543" s="4" t="b">
        <f t="shared" si="3"/>
        <v>1</v>
      </c>
      <c r="W543" s="4" t="str">
        <f t="shared" si="8"/>
        <v>Distance/Location</v>
      </c>
      <c r="X543" s="4" t="str">
        <f t="shared" si="4"/>
        <v>mwc</v>
      </c>
      <c r="Y543" s="4">
        <f t="shared" si="5"/>
        <v>1</v>
      </c>
      <c r="Z543" s="4" t="str">
        <f t="shared" si="6"/>
        <v>Unique</v>
      </c>
      <c r="AA543" s="4" t="str">
        <f t="shared" si="7"/>
        <v>Valid</v>
      </c>
    </row>
    <row r="544">
      <c r="A544" s="3" t="s">
        <v>1333</v>
      </c>
      <c r="B544" s="3">
        <v>7.2</v>
      </c>
      <c r="C544" s="17">
        <v>40272.944444444445</v>
      </c>
      <c r="D544" s="3">
        <v>9.0</v>
      </c>
      <c r="E544" s="3">
        <v>9.0</v>
      </c>
      <c r="F544" s="3" t="s">
        <v>198</v>
      </c>
      <c r="G544" s="3">
        <v>0.0</v>
      </c>
      <c r="H544" s="3">
        <v>2910.0</v>
      </c>
      <c r="I544" s="3" t="s">
        <v>513</v>
      </c>
      <c r="J544" s="3">
        <v>10.0</v>
      </c>
      <c r="K544" s="3">
        <v>0.5137</v>
      </c>
      <c r="L544" s="3">
        <v>239.0</v>
      </c>
      <c r="M544" s="3" t="s">
        <v>514</v>
      </c>
      <c r="N544" s="3">
        <v>9.987</v>
      </c>
      <c r="O544" s="3">
        <v>32.2862</v>
      </c>
      <c r="P544" s="3">
        <v>-115.295</v>
      </c>
      <c r="Q544" s="3" t="s">
        <v>1334</v>
      </c>
      <c r="R544" s="3" t="s">
        <v>233</v>
      </c>
      <c r="S544" s="3" t="s">
        <v>234</v>
      </c>
      <c r="T544" s="16">
        <f t="shared" si="1"/>
        <v>40272.94444</v>
      </c>
      <c r="U544" s="4" t="b">
        <f t="shared" si="2"/>
        <v>1</v>
      </c>
      <c r="V544" s="4" t="b">
        <f t="shared" si="3"/>
        <v>1</v>
      </c>
      <c r="W544" s="4" t="str">
        <f t="shared" si="8"/>
        <v>Named Region</v>
      </c>
      <c r="X544" s="4" t="str">
        <f t="shared" si="4"/>
        <v>mw</v>
      </c>
      <c r="Y544" s="4">
        <f t="shared" si="5"/>
        <v>1</v>
      </c>
      <c r="Z544" s="4" t="str">
        <f t="shared" si="6"/>
        <v>Unique</v>
      </c>
      <c r="AA544" s="4" t="str">
        <f t="shared" si="7"/>
        <v>Valid</v>
      </c>
    </row>
    <row r="545">
      <c r="A545" s="3" t="s">
        <v>1335</v>
      </c>
      <c r="B545" s="3">
        <v>6.6</v>
      </c>
      <c r="C545" s="3" t="s">
        <v>1336</v>
      </c>
      <c r="D545" s="3">
        <v>5.0</v>
      </c>
      <c r="E545" s="3">
        <v>6.0</v>
      </c>
      <c r="F545" s="4"/>
      <c r="G545" s="3">
        <v>0.0</v>
      </c>
      <c r="H545" s="3">
        <v>701.0</v>
      </c>
      <c r="I545" s="3" t="s">
        <v>110</v>
      </c>
      <c r="J545" s="3">
        <v>413.0</v>
      </c>
      <c r="K545" s="3">
        <v>0.0</v>
      </c>
      <c r="L545" s="3">
        <v>16.7</v>
      </c>
      <c r="M545" s="3" t="s">
        <v>204</v>
      </c>
      <c r="N545" s="3">
        <v>34.0</v>
      </c>
      <c r="O545" s="3">
        <v>13.667</v>
      </c>
      <c r="P545" s="3">
        <v>92.831</v>
      </c>
      <c r="Q545" s="3" t="s">
        <v>1337</v>
      </c>
      <c r="R545" s="4"/>
      <c r="S545" s="3" t="s">
        <v>835</v>
      </c>
      <c r="T545" s="16">
        <f t="shared" si="1"/>
        <v>40267.70417</v>
      </c>
      <c r="U545" s="4" t="b">
        <f t="shared" si="2"/>
        <v>1</v>
      </c>
      <c r="V545" s="4" t="b">
        <f t="shared" si="3"/>
        <v>0</v>
      </c>
      <c r="W545" s="4" t="str">
        <f t="shared" si="8"/>
        <v>Distance/Location</v>
      </c>
      <c r="X545" s="4" t="str">
        <f t="shared" si="4"/>
        <v>mwc</v>
      </c>
      <c r="Y545" s="4">
        <f t="shared" si="5"/>
        <v>1</v>
      </c>
      <c r="Z545" s="4" t="str">
        <f t="shared" si="6"/>
        <v>Unique</v>
      </c>
      <c r="AA545" s="4" t="str">
        <f t="shared" si="7"/>
        <v>Valid</v>
      </c>
    </row>
    <row r="546">
      <c r="A546" s="3" t="s">
        <v>1338</v>
      </c>
      <c r="B546" s="3">
        <v>6.7</v>
      </c>
      <c r="C546" s="3" t="s">
        <v>1339</v>
      </c>
      <c r="D546" s="3">
        <v>5.0</v>
      </c>
      <c r="E546" s="3">
        <v>6.0</v>
      </c>
      <c r="F546" s="4"/>
      <c r="G546" s="3">
        <v>0.0</v>
      </c>
      <c r="H546" s="3">
        <v>856.0</v>
      </c>
      <c r="I546" s="3" t="s">
        <v>110</v>
      </c>
      <c r="J546" s="3">
        <v>312.0</v>
      </c>
      <c r="K546" s="3">
        <v>0.0</v>
      </c>
      <c r="L546" s="3">
        <v>34.7</v>
      </c>
      <c r="M546" s="3" t="s">
        <v>204</v>
      </c>
      <c r="N546" s="3">
        <v>18.0</v>
      </c>
      <c r="O546" s="3">
        <v>-36.217</v>
      </c>
      <c r="P546" s="3">
        <v>-73.257</v>
      </c>
      <c r="Q546" s="3" t="s">
        <v>1276</v>
      </c>
      <c r="R546" s="4"/>
      <c r="S546" s="4"/>
      <c r="T546" s="16">
        <f t="shared" si="1"/>
        <v>40253.09792</v>
      </c>
      <c r="U546" s="4" t="b">
        <f t="shared" si="2"/>
        <v>1</v>
      </c>
      <c r="V546" s="4" t="b">
        <f t="shared" si="3"/>
        <v>0</v>
      </c>
      <c r="W546" s="4" t="str">
        <f t="shared" si="8"/>
        <v>Distance/Location</v>
      </c>
      <c r="X546" s="4" t="str">
        <f t="shared" si="4"/>
        <v>mwc</v>
      </c>
      <c r="Y546" s="4">
        <f t="shared" si="5"/>
        <v>1</v>
      </c>
      <c r="Z546" s="4" t="str">
        <f t="shared" si="6"/>
        <v>Unique</v>
      </c>
      <c r="AA546" s="4" t="str">
        <f t="shared" si="7"/>
        <v>Valid</v>
      </c>
    </row>
    <row r="547">
      <c r="A547" s="3" t="s">
        <v>1340</v>
      </c>
      <c r="B547" s="3">
        <v>6.5</v>
      </c>
      <c r="C547" s="3" t="s">
        <v>1341</v>
      </c>
      <c r="D547" s="3">
        <v>6.0</v>
      </c>
      <c r="E547" s="3">
        <v>5.0</v>
      </c>
      <c r="F547" s="4"/>
      <c r="G547" s="3">
        <v>0.0</v>
      </c>
      <c r="H547" s="3">
        <v>810.0</v>
      </c>
      <c r="I547" s="3" t="s">
        <v>110</v>
      </c>
      <c r="J547" s="3">
        <v>491.0</v>
      </c>
      <c r="K547" s="3">
        <v>0.0</v>
      </c>
      <c r="L547" s="3">
        <v>27.0</v>
      </c>
      <c r="M547" s="3" t="s">
        <v>204</v>
      </c>
      <c r="N547" s="3">
        <v>32.0</v>
      </c>
      <c r="O547" s="3">
        <v>37.745</v>
      </c>
      <c r="P547" s="3">
        <v>141.59</v>
      </c>
      <c r="Q547" s="3" t="s">
        <v>282</v>
      </c>
      <c r="R547" s="4"/>
      <c r="S547" s="4"/>
      <c r="T547" s="16">
        <f t="shared" si="1"/>
        <v>40251.33889</v>
      </c>
      <c r="U547" s="4" t="b">
        <f t="shared" si="2"/>
        <v>1</v>
      </c>
      <c r="V547" s="4" t="b">
        <f t="shared" si="3"/>
        <v>0</v>
      </c>
      <c r="W547" s="4" t="str">
        <f t="shared" si="8"/>
        <v>Distance/Location</v>
      </c>
      <c r="X547" s="4" t="str">
        <f t="shared" si="4"/>
        <v>mwc</v>
      </c>
      <c r="Y547" s="4">
        <f t="shared" si="5"/>
        <v>1</v>
      </c>
      <c r="Z547" s="4" t="str">
        <f t="shared" si="6"/>
        <v>Unique</v>
      </c>
      <c r="AA547" s="4" t="str">
        <f t="shared" si="7"/>
        <v>Valid</v>
      </c>
    </row>
    <row r="548">
      <c r="A548" s="3" t="s">
        <v>1342</v>
      </c>
      <c r="B548" s="3">
        <v>7.0</v>
      </c>
      <c r="C548" s="17">
        <v>40485.62152777778</v>
      </c>
      <c r="D548" s="3">
        <v>7.0</v>
      </c>
      <c r="E548" s="3">
        <v>7.0</v>
      </c>
      <c r="F548" s="4"/>
      <c r="G548" s="3">
        <v>0.0</v>
      </c>
      <c r="H548" s="3">
        <v>874.0</v>
      </c>
      <c r="I548" s="3" t="s">
        <v>110</v>
      </c>
      <c r="J548" s="3">
        <v>403.0</v>
      </c>
      <c r="K548" s="3">
        <v>0.0</v>
      </c>
      <c r="L548" s="3">
        <v>17.1</v>
      </c>
      <c r="M548" s="3" t="s">
        <v>204</v>
      </c>
      <c r="N548" s="3">
        <v>18.0</v>
      </c>
      <c r="O548" s="3">
        <v>-34.326</v>
      </c>
      <c r="P548" s="3">
        <v>-71.799</v>
      </c>
      <c r="Q548" s="3" t="s">
        <v>1343</v>
      </c>
      <c r="R548" s="3" t="s">
        <v>121</v>
      </c>
      <c r="S548" s="3" t="s">
        <v>414</v>
      </c>
      <c r="T548" s="16">
        <f t="shared" si="1"/>
        <v>40248.62153</v>
      </c>
      <c r="U548" s="4" t="b">
        <f t="shared" si="2"/>
        <v>1</v>
      </c>
      <c r="V548" s="4" t="b">
        <f t="shared" si="3"/>
        <v>1</v>
      </c>
      <c r="W548" s="4" t="str">
        <f t="shared" si="8"/>
        <v>Distance/Location</v>
      </c>
      <c r="X548" s="4" t="str">
        <f t="shared" si="4"/>
        <v>mwc</v>
      </c>
      <c r="Y548" s="4">
        <f t="shared" si="5"/>
        <v>1</v>
      </c>
      <c r="Z548" s="4" t="str">
        <f t="shared" si="6"/>
        <v>Unique</v>
      </c>
      <c r="AA548" s="4" t="str">
        <f t="shared" si="7"/>
        <v>Valid</v>
      </c>
    </row>
    <row r="549">
      <c r="A549" s="3" t="s">
        <v>1344</v>
      </c>
      <c r="B549" s="3">
        <v>6.9</v>
      </c>
      <c r="C549" s="17">
        <v>40485.61041666667</v>
      </c>
      <c r="D549" s="3">
        <v>7.0</v>
      </c>
      <c r="E549" s="3">
        <v>7.0</v>
      </c>
      <c r="F549" s="4"/>
      <c r="G549" s="3">
        <v>0.0</v>
      </c>
      <c r="H549" s="3">
        <v>1280.0</v>
      </c>
      <c r="I549" s="3" t="s">
        <v>110</v>
      </c>
      <c r="J549" s="3">
        <v>415.0</v>
      </c>
      <c r="K549" s="3">
        <v>0.0</v>
      </c>
      <c r="L549" s="3">
        <v>12.5</v>
      </c>
      <c r="M549" s="3" t="s">
        <v>204</v>
      </c>
      <c r="N549" s="3">
        <v>11.0</v>
      </c>
      <c r="O549" s="3">
        <v>-34.29</v>
      </c>
      <c r="P549" s="3">
        <v>-71.891</v>
      </c>
      <c r="Q549" s="3" t="s">
        <v>1343</v>
      </c>
      <c r="R549" s="3" t="s">
        <v>121</v>
      </c>
      <c r="S549" s="3" t="s">
        <v>414</v>
      </c>
      <c r="T549" s="16">
        <f t="shared" si="1"/>
        <v>40248.61042</v>
      </c>
      <c r="U549" s="4" t="b">
        <f t="shared" si="2"/>
        <v>1</v>
      </c>
      <c r="V549" s="4" t="b">
        <f t="shared" si="3"/>
        <v>1</v>
      </c>
      <c r="W549" s="4" t="str">
        <f t="shared" si="8"/>
        <v>Distance/Location</v>
      </c>
      <c r="X549" s="4" t="str">
        <f t="shared" si="4"/>
        <v>mwc</v>
      </c>
      <c r="Y549" s="4">
        <f t="shared" si="5"/>
        <v>1</v>
      </c>
      <c r="Z549" s="4" t="str">
        <f t="shared" si="6"/>
        <v>Unique</v>
      </c>
      <c r="AA549" s="4" t="str">
        <f t="shared" si="7"/>
        <v>Valid</v>
      </c>
    </row>
    <row r="550">
      <c r="A550" s="3" t="s">
        <v>1345</v>
      </c>
      <c r="B550" s="3">
        <v>6.8</v>
      </c>
      <c r="C550" s="17">
        <v>40301.67152777778</v>
      </c>
      <c r="D550" s="3">
        <v>4.0</v>
      </c>
      <c r="E550" s="3">
        <v>6.0</v>
      </c>
      <c r="F550" s="4"/>
      <c r="G550" s="3">
        <v>0.0</v>
      </c>
      <c r="H550" s="3">
        <v>717.0</v>
      </c>
      <c r="I550" s="3" t="s">
        <v>110</v>
      </c>
      <c r="J550" s="3">
        <v>401.0</v>
      </c>
      <c r="K550" s="3">
        <v>0.0</v>
      </c>
      <c r="L550" s="3">
        <v>23.2</v>
      </c>
      <c r="M550" s="3" t="s">
        <v>204</v>
      </c>
      <c r="N550" s="3">
        <v>26.0</v>
      </c>
      <c r="O550" s="3">
        <v>-3.762</v>
      </c>
      <c r="P550" s="3">
        <v>100.991</v>
      </c>
      <c r="Q550" s="3" t="s">
        <v>217</v>
      </c>
      <c r="R550" s="4"/>
      <c r="S550" s="3" t="s">
        <v>153</v>
      </c>
      <c r="T550" s="16">
        <f t="shared" si="1"/>
        <v>40242.67153</v>
      </c>
      <c r="U550" s="4" t="b">
        <f t="shared" si="2"/>
        <v>1</v>
      </c>
      <c r="V550" s="4" t="b">
        <f t="shared" si="3"/>
        <v>1</v>
      </c>
      <c r="W550" s="4" t="str">
        <f t="shared" si="8"/>
        <v>Distance/Location</v>
      </c>
      <c r="X550" s="4" t="str">
        <f t="shared" si="4"/>
        <v>mwc</v>
      </c>
      <c r="Y550" s="4">
        <f t="shared" si="5"/>
        <v>1</v>
      </c>
      <c r="Z550" s="4" t="str">
        <f t="shared" si="6"/>
        <v>Unique</v>
      </c>
      <c r="AA550" s="4" t="str">
        <f t="shared" si="7"/>
        <v>Valid</v>
      </c>
    </row>
    <row r="551">
      <c r="A551" s="3" t="s">
        <v>1346</v>
      </c>
      <c r="B551" s="3">
        <v>6.6</v>
      </c>
      <c r="C551" s="17">
        <v>40301.49097222222</v>
      </c>
      <c r="D551" s="3">
        <v>7.0</v>
      </c>
      <c r="E551" s="3">
        <v>7.0</v>
      </c>
      <c r="F551" s="4"/>
      <c r="G551" s="3">
        <v>0.0</v>
      </c>
      <c r="H551" s="3">
        <v>736.0</v>
      </c>
      <c r="I551" s="3" t="s">
        <v>110</v>
      </c>
      <c r="J551" s="3">
        <v>255.0</v>
      </c>
      <c r="K551" s="3">
        <v>0.0</v>
      </c>
      <c r="L551" s="3">
        <v>27.8</v>
      </c>
      <c r="M551" s="3" t="s">
        <v>224</v>
      </c>
      <c r="N551" s="3">
        <v>18.0</v>
      </c>
      <c r="O551" s="3">
        <v>-36.665</v>
      </c>
      <c r="P551" s="3">
        <v>-73.374</v>
      </c>
      <c r="Q551" s="3" t="s">
        <v>1347</v>
      </c>
      <c r="R551" s="4"/>
      <c r="S551" s="3" t="s">
        <v>414</v>
      </c>
      <c r="T551" s="16">
        <f t="shared" si="1"/>
        <v>40242.49097</v>
      </c>
      <c r="U551" s="4" t="b">
        <f t="shared" si="2"/>
        <v>1</v>
      </c>
      <c r="V551" s="4" t="b">
        <f t="shared" si="3"/>
        <v>1</v>
      </c>
      <c r="W551" s="4" t="str">
        <f t="shared" si="8"/>
        <v>Distance/Location</v>
      </c>
      <c r="X551" s="4" t="str">
        <f t="shared" si="4"/>
        <v>mwb</v>
      </c>
      <c r="Y551" s="4">
        <f t="shared" si="5"/>
        <v>1</v>
      </c>
      <c r="Z551" s="4" t="str">
        <f t="shared" si="6"/>
        <v>Unique</v>
      </c>
      <c r="AA551" s="4" t="str">
        <f t="shared" si="7"/>
        <v>Valid</v>
      </c>
    </row>
    <row r="552">
      <c r="A552" s="3" t="s">
        <v>1348</v>
      </c>
      <c r="B552" s="3">
        <v>6.5</v>
      </c>
      <c r="C552" s="17">
        <v>40271.58472222222</v>
      </c>
      <c r="D552" s="3">
        <v>0.0</v>
      </c>
      <c r="E552" s="3">
        <v>4.0</v>
      </c>
      <c r="F552" s="4"/>
      <c r="G552" s="3">
        <v>0.0</v>
      </c>
      <c r="H552" s="3">
        <v>650.0</v>
      </c>
      <c r="I552" s="3" t="s">
        <v>110</v>
      </c>
      <c r="J552" s="3">
        <v>426.0</v>
      </c>
      <c r="K552" s="3">
        <v>0.0</v>
      </c>
      <c r="L552" s="3">
        <v>18.7</v>
      </c>
      <c r="M552" s="3" t="s">
        <v>224</v>
      </c>
      <c r="N552" s="3">
        <v>176.0</v>
      </c>
      <c r="O552" s="3">
        <v>-13.571</v>
      </c>
      <c r="P552" s="3">
        <v>167.227</v>
      </c>
      <c r="Q552" s="3" t="s">
        <v>112</v>
      </c>
      <c r="R552" s="4"/>
      <c r="S552" s="3" t="s">
        <v>113</v>
      </c>
      <c r="T552" s="16">
        <f t="shared" si="1"/>
        <v>40241.58472</v>
      </c>
      <c r="U552" s="4" t="b">
        <f t="shared" si="2"/>
        <v>1</v>
      </c>
      <c r="V552" s="4" t="b">
        <f t="shared" si="3"/>
        <v>1</v>
      </c>
      <c r="W552" s="4" t="str">
        <f t="shared" si="8"/>
        <v>Distance/Location</v>
      </c>
      <c r="X552" s="4" t="str">
        <f t="shared" si="4"/>
        <v>mwb</v>
      </c>
      <c r="Y552" s="4">
        <f t="shared" si="5"/>
        <v>1</v>
      </c>
      <c r="Z552" s="4" t="str">
        <f t="shared" si="6"/>
        <v>Unique</v>
      </c>
      <c r="AA552" s="4" t="str">
        <f t="shared" si="7"/>
        <v>Valid</v>
      </c>
    </row>
    <row r="553">
      <c r="A553" s="3" t="s">
        <v>1349</v>
      </c>
      <c r="B553" s="3">
        <v>7.4</v>
      </c>
      <c r="C553" s="3" t="s">
        <v>1350</v>
      </c>
      <c r="D553" s="3">
        <v>0.0</v>
      </c>
      <c r="E553" s="3">
        <v>5.0</v>
      </c>
      <c r="F553" s="4"/>
      <c r="G553" s="3">
        <v>0.0</v>
      </c>
      <c r="H553" s="3">
        <v>842.0</v>
      </c>
      <c r="I553" s="3" t="s">
        <v>110</v>
      </c>
      <c r="J553" s="3">
        <v>409.0</v>
      </c>
      <c r="K553" s="3">
        <v>0.0</v>
      </c>
      <c r="L553" s="3">
        <v>17.6</v>
      </c>
      <c r="M553" s="3" t="s">
        <v>204</v>
      </c>
      <c r="N553" s="3">
        <v>35.0</v>
      </c>
      <c r="O553" s="3">
        <v>-37.773</v>
      </c>
      <c r="P553" s="3">
        <v>-75.048</v>
      </c>
      <c r="Q553" s="3" t="s">
        <v>1351</v>
      </c>
      <c r="R553" s="4"/>
      <c r="S553" s="4"/>
      <c r="T553" s="16">
        <f t="shared" si="1"/>
        <v>40236.33403</v>
      </c>
      <c r="U553" s="4" t="b">
        <f t="shared" si="2"/>
        <v>1</v>
      </c>
      <c r="V553" s="4" t="b">
        <f t="shared" si="3"/>
        <v>0</v>
      </c>
      <c r="W553" s="4" t="str">
        <f t="shared" si="8"/>
        <v>Distance/Location</v>
      </c>
      <c r="X553" s="4" t="str">
        <f t="shared" si="4"/>
        <v>mwc</v>
      </c>
      <c r="Y553" s="4">
        <f t="shared" si="5"/>
        <v>1</v>
      </c>
      <c r="Z553" s="4" t="str">
        <f t="shared" si="6"/>
        <v>Unique</v>
      </c>
      <c r="AA553" s="4" t="str">
        <f t="shared" si="7"/>
        <v>Valid</v>
      </c>
    </row>
    <row r="554">
      <c r="A554" s="3" t="s">
        <v>1352</v>
      </c>
      <c r="B554" s="3">
        <v>8.8</v>
      </c>
      <c r="C554" s="3" t="s">
        <v>1353</v>
      </c>
      <c r="D554" s="3">
        <v>8.0</v>
      </c>
      <c r="E554" s="3">
        <v>8.0</v>
      </c>
      <c r="F554" s="4"/>
      <c r="G554" s="3">
        <v>0.0</v>
      </c>
      <c r="H554" s="3">
        <v>1991.0</v>
      </c>
      <c r="I554" s="3" t="s">
        <v>1196</v>
      </c>
      <c r="J554" s="3">
        <v>454.0</v>
      </c>
      <c r="K554" s="3">
        <v>0.0</v>
      </c>
      <c r="L554" s="3">
        <v>17.8</v>
      </c>
      <c r="M554" s="3" t="s">
        <v>111</v>
      </c>
      <c r="N554" s="3">
        <v>22.9</v>
      </c>
      <c r="O554" s="3">
        <v>-36.122</v>
      </c>
      <c r="P554" s="3">
        <v>-72.898</v>
      </c>
      <c r="Q554" s="3" t="s">
        <v>1354</v>
      </c>
      <c r="R554" s="3" t="s">
        <v>121</v>
      </c>
      <c r="S554" s="3" t="s">
        <v>414</v>
      </c>
      <c r="T554" s="16">
        <f t="shared" si="1"/>
        <v>40236.27361</v>
      </c>
      <c r="U554" s="4" t="b">
        <f t="shared" si="2"/>
        <v>1</v>
      </c>
      <c r="V554" s="4" t="b">
        <f t="shared" si="3"/>
        <v>0</v>
      </c>
      <c r="W554" s="4" t="str">
        <f t="shared" si="8"/>
        <v>Distance/Location</v>
      </c>
      <c r="X554" s="4" t="str">
        <f t="shared" si="4"/>
        <v>mww</v>
      </c>
      <c r="Y554" s="4">
        <f t="shared" si="5"/>
        <v>1</v>
      </c>
      <c r="Z554" s="4" t="str">
        <f t="shared" si="6"/>
        <v>Unique</v>
      </c>
      <c r="AA554" s="4" t="str">
        <f t="shared" si="7"/>
        <v>Valid</v>
      </c>
    </row>
    <row r="555">
      <c r="A555" s="3" t="s">
        <v>1355</v>
      </c>
      <c r="B555" s="3">
        <v>7.0</v>
      </c>
      <c r="C555" s="3" t="s">
        <v>1356</v>
      </c>
      <c r="D555" s="3">
        <v>6.0</v>
      </c>
      <c r="E555" s="3">
        <v>6.0</v>
      </c>
      <c r="F555" s="4"/>
      <c r="G555" s="3">
        <v>0.0</v>
      </c>
      <c r="H555" s="3">
        <v>1180.0</v>
      </c>
      <c r="I555" s="3" t="s">
        <v>110</v>
      </c>
      <c r="J555" s="3">
        <v>487.0</v>
      </c>
      <c r="K555" s="3">
        <v>0.0</v>
      </c>
      <c r="L555" s="3">
        <v>15.7</v>
      </c>
      <c r="M555" s="3" t="s">
        <v>204</v>
      </c>
      <c r="N555" s="3">
        <v>25.0</v>
      </c>
      <c r="O555" s="3">
        <v>25.93</v>
      </c>
      <c r="P555" s="3">
        <v>128.425</v>
      </c>
      <c r="Q555" s="3" t="s">
        <v>1357</v>
      </c>
      <c r="R555" s="4"/>
      <c r="S555" s="4"/>
      <c r="T555" s="16">
        <f t="shared" si="1"/>
        <v>40235.85486</v>
      </c>
      <c r="U555" s="4" t="b">
        <f t="shared" si="2"/>
        <v>1</v>
      </c>
      <c r="V555" s="4" t="b">
        <f t="shared" si="3"/>
        <v>0</v>
      </c>
      <c r="W555" s="4" t="str">
        <f t="shared" si="8"/>
        <v>Distance/Location</v>
      </c>
      <c r="X555" s="4" t="str">
        <f t="shared" si="4"/>
        <v>mwc</v>
      </c>
      <c r="Y555" s="4">
        <f t="shared" si="5"/>
        <v>1</v>
      </c>
      <c r="Z555" s="4" t="str">
        <f t="shared" si="6"/>
        <v>Unique</v>
      </c>
      <c r="AA555" s="4" t="str">
        <f t="shared" si="7"/>
        <v>Valid</v>
      </c>
    </row>
    <row r="556">
      <c r="A556" s="3" t="s">
        <v>1358</v>
      </c>
      <c r="B556" s="3">
        <v>7.0</v>
      </c>
      <c r="C556" s="17">
        <v>40513.91180555556</v>
      </c>
      <c r="D556" s="3">
        <v>9.0</v>
      </c>
      <c r="E556" s="3">
        <v>9.0</v>
      </c>
      <c r="F556" s="4"/>
      <c r="G556" s="3">
        <v>0.0</v>
      </c>
      <c r="H556" s="3">
        <v>1623.0</v>
      </c>
      <c r="I556" s="3" t="s">
        <v>110</v>
      </c>
      <c r="J556" s="3">
        <v>500.0</v>
      </c>
      <c r="K556" s="3">
        <v>0.0</v>
      </c>
      <c r="L556" s="3">
        <v>22.7</v>
      </c>
      <c r="M556" s="3" t="s">
        <v>204</v>
      </c>
      <c r="N556" s="3">
        <v>13.0</v>
      </c>
      <c r="O556" s="3">
        <v>18.443</v>
      </c>
      <c r="P556" s="3">
        <v>-72.571</v>
      </c>
      <c r="Q556" s="3" t="s">
        <v>1359</v>
      </c>
      <c r="R556" s="4"/>
      <c r="S556" s="3" t="s">
        <v>340</v>
      </c>
      <c r="T556" s="16">
        <f t="shared" si="1"/>
        <v>40190.91181</v>
      </c>
      <c r="U556" s="4" t="b">
        <f t="shared" si="2"/>
        <v>1</v>
      </c>
      <c r="V556" s="4" t="b">
        <f t="shared" si="3"/>
        <v>1</v>
      </c>
      <c r="W556" s="4" t="str">
        <f t="shared" si="8"/>
        <v>Distance/Location</v>
      </c>
      <c r="X556" s="4" t="str">
        <f t="shared" si="4"/>
        <v>mwc</v>
      </c>
      <c r="Y556" s="4">
        <f t="shared" si="5"/>
        <v>1</v>
      </c>
      <c r="Z556" s="4" t="str">
        <f t="shared" si="6"/>
        <v>Unique</v>
      </c>
      <c r="AA556" s="4" t="str">
        <f t="shared" si="7"/>
        <v>Valid</v>
      </c>
    </row>
    <row r="557">
      <c r="A557" s="3" t="s">
        <v>1360</v>
      </c>
      <c r="B557" s="3">
        <v>6.5</v>
      </c>
      <c r="C557" s="17">
        <v>40452.01875</v>
      </c>
      <c r="D557" s="3">
        <v>7.0</v>
      </c>
      <c r="E557" s="3">
        <v>7.0</v>
      </c>
      <c r="F557" s="4"/>
      <c r="G557" s="3">
        <v>0.0</v>
      </c>
      <c r="H557" s="3">
        <v>1360.0</v>
      </c>
      <c r="I557" s="3" t="s">
        <v>1026</v>
      </c>
      <c r="J557" s="3">
        <v>51.0</v>
      </c>
      <c r="K557" s="3">
        <v>0.3225</v>
      </c>
      <c r="L557" s="3">
        <v>220.0</v>
      </c>
      <c r="M557" s="3" t="s">
        <v>514</v>
      </c>
      <c r="N557" s="3">
        <v>28.737</v>
      </c>
      <c r="O557" s="3">
        <v>40.652</v>
      </c>
      <c r="P557" s="3">
        <v>-124.692</v>
      </c>
      <c r="Q557" s="3" t="s">
        <v>746</v>
      </c>
      <c r="R557" s="3" t="s">
        <v>233</v>
      </c>
      <c r="S557" s="4"/>
      <c r="T557" s="16">
        <f t="shared" si="1"/>
        <v>40188.01875</v>
      </c>
      <c r="U557" s="4" t="b">
        <f t="shared" si="2"/>
        <v>1</v>
      </c>
      <c r="V557" s="4" t="b">
        <f t="shared" si="3"/>
        <v>1</v>
      </c>
      <c r="W557" s="4" t="str">
        <f t="shared" si="8"/>
        <v>Distance/Location</v>
      </c>
      <c r="X557" s="4" t="str">
        <f t="shared" si="4"/>
        <v>mw</v>
      </c>
      <c r="Y557" s="4">
        <f t="shared" si="5"/>
        <v>1</v>
      </c>
      <c r="Z557" s="4" t="str">
        <f t="shared" si="6"/>
        <v>Unique</v>
      </c>
      <c r="AA557" s="4" t="str">
        <f t="shared" si="7"/>
        <v>Valid</v>
      </c>
    </row>
    <row r="558">
      <c r="A558" s="3" t="s">
        <v>1361</v>
      </c>
      <c r="B558" s="3">
        <v>6.8</v>
      </c>
      <c r="C558" s="17">
        <v>40299.510416666664</v>
      </c>
      <c r="D558" s="3">
        <v>3.0</v>
      </c>
      <c r="E558" s="3">
        <v>6.0</v>
      </c>
      <c r="F558" s="4"/>
      <c r="G558" s="3">
        <v>0.0</v>
      </c>
      <c r="H558" s="3">
        <v>713.0</v>
      </c>
      <c r="I558" s="3" t="s">
        <v>110</v>
      </c>
      <c r="J558" s="3">
        <v>338.0</v>
      </c>
      <c r="K558" s="3">
        <v>0.0</v>
      </c>
      <c r="L558" s="3">
        <v>15.0</v>
      </c>
      <c r="M558" s="3" t="s">
        <v>204</v>
      </c>
      <c r="N558" s="3">
        <v>15.4</v>
      </c>
      <c r="O558" s="3">
        <v>-9.019</v>
      </c>
      <c r="P558" s="3">
        <v>157.551</v>
      </c>
      <c r="Q558" s="3" t="s">
        <v>888</v>
      </c>
      <c r="R558" s="4"/>
      <c r="S558" s="4"/>
      <c r="T558" s="16">
        <f t="shared" si="1"/>
        <v>40183.51042</v>
      </c>
      <c r="U558" s="4" t="b">
        <f t="shared" si="2"/>
        <v>1</v>
      </c>
      <c r="V558" s="4" t="b">
        <f t="shared" si="3"/>
        <v>1</v>
      </c>
      <c r="W558" s="4" t="str">
        <f t="shared" si="8"/>
        <v>Distance/Location</v>
      </c>
      <c r="X558" s="4" t="str">
        <f t="shared" si="4"/>
        <v>mwc</v>
      </c>
      <c r="Y558" s="4">
        <f t="shared" si="5"/>
        <v>1</v>
      </c>
      <c r="Z558" s="4" t="str">
        <f t="shared" si="6"/>
        <v>Unique</v>
      </c>
      <c r="AA558" s="4" t="str">
        <f t="shared" si="7"/>
        <v>Valid</v>
      </c>
    </row>
    <row r="559">
      <c r="A559" s="3" t="s">
        <v>1362</v>
      </c>
      <c r="B559" s="3">
        <v>7.1</v>
      </c>
      <c r="C559" s="17">
        <v>40238.941666666666</v>
      </c>
      <c r="D559" s="3">
        <v>5.0</v>
      </c>
      <c r="E559" s="3">
        <v>7.0</v>
      </c>
      <c r="F559" s="4"/>
      <c r="G559" s="3">
        <v>0.0</v>
      </c>
      <c r="H559" s="3">
        <v>780.0</v>
      </c>
      <c r="I559" s="3" t="s">
        <v>110</v>
      </c>
      <c r="J559" s="3">
        <v>377.0</v>
      </c>
      <c r="K559" s="3">
        <v>0.0</v>
      </c>
      <c r="L559" s="3">
        <v>15.0</v>
      </c>
      <c r="M559" s="3" t="s">
        <v>204</v>
      </c>
      <c r="N559" s="3">
        <v>10.0</v>
      </c>
      <c r="O559" s="3">
        <v>-8.783</v>
      </c>
      <c r="P559" s="3">
        <v>157.354</v>
      </c>
      <c r="Q559" s="3" t="s">
        <v>888</v>
      </c>
      <c r="R559" s="4"/>
      <c r="S559" s="3" t="s">
        <v>214</v>
      </c>
      <c r="T559" s="16">
        <f t="shared" si="1"/>
        <v>40181.94167</v>
      </c>
      <c r="U559" s="4" t="b">
        <f t="shared" si="2"/>
        <v>1</v>
      </c>
      <c r="V559" s="4" t="b">
        <f t="shared" si="3"/>
        <v>1</v>
      </c>
      <c r="W559" s="4" t="str">
        <f t="shared" si="8"/>
        <v>Distance/Location</v>
      </c>
      <c r="X559" s="4" t="str">
        <f t="shared" si="4"/>
        <v>mwc</v>
      </c>
      <c r="Y559" s="4">
        <f t="shared" si="5"/>
        <v>1</v>
      </c>
      <c r="Z559" s="4" t="str">
        <f t="shared" si="6"/>
        <v>Unique</v>
      </c>
      <c r="AA559" s="4" t="str">
        <f t="shared" si="7"/>
        <v>Valid</v>
      </c>
    </row>
    <row r="560">
      <c r="A560" s="3" t="s">
        <v>1363</v>
      </c>
      <c r="B560" s="3">
        <v>6.6</v>
      </c>
      <c r="C560" s="17">
        <v>40238.90833333333</v>
      </c>
      <c r="D560" s="3">
        <v>5.0</v>
      </c>
      <c r="E560" s="3">
        <v>7.0</v>
      </c>
      <c r="F560" s="4"/>
      <c r="G560" s="3">
        <v>0.0</v>
      </c>
      <c r="H560" s="3">
        <v>672.0</v>
      </c>
      <c r="I560" s="3" t="s">
        <v>110</v>
      </c>
      <c r="J560" s="3">
        <v>282.0</v>
      </c>
      <c r="K560" s="3">
        <v>0.0</v>
      </c>
      <c r="L560" s="3">
        <v>16.6</v>
      </c>
      <c r="M560" s="3" t="s">
        <v>204</v>
      </c>
      <c r="N560" s="3">
        <v>10.0</v>
      </c>
      <c r="O560" s="3">
        <v>-8.726</v>
      </c>
      <c r="P560" s="3">
        <v>157.487</v>
      </c>
      <c r="Q560" s="3" t="s">
        <v>888</v>
      </c>
      <c r="R560" s="4"/>
      <c r="S560" s="3" t="s">
        <v>214</v>
      </c>
      <c r="T560" s="16">
        <f t="shared" si="1"/>
        <v>40181.90833</v>
      </c>
      <c r="U560" s="4" t="b">
        <f t="shared" si="2"/>
        <v>1</v>
      </c>
      <c r="V560" s="4" t="b">
        <f t="shared" si="3"/>
        <v>1</v>
      </c>
      <c r="W560" s="4" t="str">
        <f t="shared" si="8"/>
        <v>Distance/Location</v>
      </c>
      <c r="X560" s="4" t="str">
        <f t="shared" si="4"/>
        <v>mwc</v>
      </c>
      <c r="Y560" s="4">
        <f t="shared" si="5"/>
        <v>1</v>
      </c>
      <c r="Z560" s="4" t="str">
        <f t="shared" si="6"/>
        <v>Unique</v>
      </c>
      <c r="AA560" s="4" t="str">
        <f t="shared" si="7"/>
        <v>Valid</v>
      </c>
    </row>
    <row r="561">
      <c r="A561" s="3" t="s">
        <v>1364</v>
      </c>
      <c r="B561" s="3">
        <v>6.5</v>
      </c>
      <c r="C561" s="3" t="s">
        <v>1365</v>
      </c>
      <c r="D561" s="3">
        <v>6.0</v>
      </c>
      <c r="E561" s="3">
        <v>7.0</v>
      </c>
      <c r="F561" s="4"/>
      <c r="G561" s="3">
        <v>0.0</v>
      </c>
      <c r="H561" s="3">
        <v>698.0</v>
      </c>
      <c r="I561" s="3" t="s">
        <v>110</v>
      </c>
      <c r="J561" s="3">
        <v>390.0</v>
      </c>
      <c r="K561" s="3">
        <v>0.0</v>
      </c>
      <c r="L561" s="3">
        <v>17.7</v>
      </c>
      <c r="M561" s="3" t="s">
        <v>204</v>
      </c>
      <c r="N561" s="3">
        <v>27.0</v>
      </c>
      <c r="O561" s="3">
        <v>-19.394</v>
      </c>
      <c r="P561" s="3">
        <v>-70.321</v>
      </c>
      <c r="Q561" s="3" t="s">
        <v>1019</v>
      </c>
      <c r="R561" s="3" t="s">
        <v>121</v>
      </c>
      <c r="S561" s="3" t="s">
        <v>414</v>
      </c>
      <c r="T561" s="16">
        <f t="shared" si="1"/>
        <v>40130.12847</v>
      </c>
      <c r="U561" s="4" t="b">
        <f t="shared" si="2"/>
        <v>1</v>
      </c>
      <c r="V561" s="4" t="b">
        <f t="shared" si="3"/>
        <v>0</v>
      </c>
      <c r="W561" s="4" t="str">
        <f t="shared" si="8"/>
        <v>Distance/Location</v>
      </c>
      <c r="X561" s="4" t="str">
        <f t="shared" si="4"/>
        <v>mwc</v>
      </c>
      <c r="Y561" s="4">
        <f t="shared" si="5"/>
        <v>1</v>
      </c>
      <c r="Z561" s="4" t="str">
        <f t="shared" si="6"/>
        <v>Unique</v>
      </c>
      <c r="AA561" s="4" t="str">
        <f t="shared" si="7"/>
        <v>Valid</v>
      </c>
    </row>
    <row r="562">
      <c r="A562" s="3" t="s">
        <v>1366</v>
      </c>
      <c r="B562" s="3">
        <v>7.3</v>
      </c>
      <c r="C562" s="17">
        <v>40067.447222222225</v>
      </c>
      <c r="D562" s="3">
        <v>0.0</v>
      </c>
      <c r="E562" s="3">
        <v>4.0</v>
      </c>
      <c r="F562" s="4"/>
      <c r="G562" s="3">
        <v>0.0</v>
      </c>
      <c r="H562" s="3">
        <v>820.0</v>
      </c>
      <c r="I562" s="3" t="s">
        <v>110</v>
      </c>
      <c r="J562" s="3">
        <v>430.0</v>
      </c>
      <c r="K562" s="3">
        <v>0.0</v>
      </c>
      <c r="L562" s="3">
        <v>15.0</v>
      </c>
      <c r="M562" s="3" t="s">
        <v>204</v>
      </c>
      <c r="N562" s="3">
        <v>595.0</v>
      </c>
      <c r="O562" s="3">
        <v>-17.239</v>
      </c>
      <c r="P562" s="3">
        <v>178.331</v>
      </c>
      <c r="Q562" s="3" t="s">
        <v>1367</v>
      </c>
      <c r="R562" s="4"/>
      <c r="S562" s="3" t="s">
        <v>219</v>
      </c>
      <c r="T562" s="16">
        <f t="shared" si="1"/>
        <v>40126.44722</v>
      </c>
      <c r="U562" s="4" t="b">
        <f t="shared" si="2"/>
        <v>1</v>
      </c>
      <c r="V562" s="4" t="b">
        <f t="shared" si="3"/>
        <v>1</v>
      </c>
      <c r="W562" s="4" t="str">
        <f t="shared" si="8"/>
        <v>Distance/Location</v>
      </c>
      <c r="X562" s="4" t="str">
        <f t="shared" si="4"/>
        <v>mwc</v>
      </c>
      <c r="Y562" s="4">
        <f t="shared" si="5"/>
        <v>1</v>
      </c>
      <c r="Z562" s="4" t="str">
        <f t="shared" si="6"/>
        <v>Unique</v>
      </c>
      <c r="AA562" s="4" t="str">
        <f t="shared" si="7"/>
        <v>Valid</v>
      </c>
    </row>
    <row r="563">
      <c r="A563" s="3" t="s">
        <v>1368</v>
      </c>
      <c r="B563" s="3">
        <v>6.6</v>
      </c>
      <c r="C563" s="17">
        <v>40036.82013888889</v>
      </c>
      <c r="D563" s="3">
        <v>7.0</v>
      </c>
      <c r="E563" s="3">
        <v>6.0</v>
      </c>
      <c r="F563" s="4"/>
      <c r="G563" s="3">
        <v>0.0</v>
      </c>
      <c r="H563" s="3">
        <v>677.0</v>
      </c>
      <c r="I563" s="3" t="s">
        <v>110</v>
      </c>
      <c r="J563" s="3">
        <v>305.0</v>
      </c>
      <c r="K563" s="3">
        <v>0.0</v>
      </c>
      <c r="L563" s="3">
        <v>20.4</v>
      </c>
      <c r="M563" s="3" t="s">
        <v>204</v>
      </c>
      <c r="N563" s="3">
        <v>18.0</v>
      </c>
      <c r="O563" s="3">
        <v>-8.207</v>
      </c>
      <c r="P563" s="3">
        <v>118.631</v>
      </c>
      <c r="Q563" s="3" t="s">
        <v>1369</v>
      </c>
      <c r="R563" s="4"/>
      <c r="S563" s="3" t="s">
        <v>153</v>
      </c>
      <c r="T563" s="16">
        <f t="shared" si="1"/>
        <v>40125.82014</v>
      </c>
      <c r="U563" s="4" t="b">
        <f t="shared" si="2"/>
        <v>1</v>
      </c>
      <c r="V563" s="4" t="b">
        <f t="shared" si="3"/>
        <v>1</v>
      </c>
      <c r="W563" s="4" t="str">
        <f t="shared" si="8"/>
        <v>Distance/Location</v>
      </c>
      <c r="X563" s="4" t="str">
        <f t="shared" si="4"/>
        <v>mwc</v>
      </c>
      <c r="Y563" s="4">
        <f t="shared" si="5"/>
        <v>1</v>
      </c>
      <c r="Z563" s="4" t="str">
        <f t="shared" si="6"/>
        <v>Unique</v>
      </c>
      <c r="AA563" s="4" t="str">
        <f t="shared" si="7"/>
        <v>Valid</v>
      </c>
    </row>
    <row r="564">
      <c r="A564" s="3" t="s">
        <v>1370</v>
      </c>
      <c r="B564" s="3">
        <v>6.8</v>
      </c>
      <c r="C564" s="3" t="s">
        <v>1371</v>
      </c>
      <c r="D564" s="3">
        <v>0.0</v>
      </c>
      <c r="E564" s="3">
        <v>6.0</v>
      </c>
      <c r="F564" s="4"/>
      <c r="G564" s="3">
        <v>0.0</v>
      </c>
      <c r="H564" s="3">
        <v>711.0</v>
      </c>
      <c r="I564" s="3" t="s">
        <v>110</v>
      </c>
      <c r="J564" s="3">
        <v>424.0</v>
      </c>
      <c r="K564" s="3">
        <v>0.0</v>
      </c>
      <c r="L564" s="3">
        <v>21.4</v>
      </c>
      <c r="M564" s="3" t="s">
        <v>204</v>
      </c>
      <c r="N564" s="3">
        <v>34.0</v>
      </c>
      <c r="O564" s="3">
        <v>29.218</v>
      </c>
      <c r="P564" s="3">
        <v>129.782</v>
      </c>
      <c r="Q564" s="3" t="s">
        <v>441</v>
      </c>
      <c r="R564" s="4"/>
      <c r="S564" s="4"/>
      <c r="T564" s="16">
        <f t="shared" si="1"/>
        <v>40116.29375</v>
      </c>
      <c r="U564" s="4" t="b">
        <f t="shared" si="2"/>
        <v>1</v>
      </c>
      <c r="V564" s="4" t="b">
        <f t="shared" si="3"/>
        <v>0</v>
      </c>
      <c r="W564" s="4" t="str">
        <f t="shared" si="8"/>
        <v>Distance/Location</v>
      </c>
      <c r="X564" s="4" t="str">
        <f t="shared" si="4"/>
        <v>mwc</v>
      </c>
      <c r="Y564" s="4">
        <f t="shared" si="5"/>
        <v>1</v>
      </c>
      <c r="Z564" s="4" t="str">
        <f t="shared" si="6"/>
        <v>Unique</v>
      </c>
      <c r="AA564" s="4" t="str">
        <f t="shared" si="7"/>
        <v>Valid</v>
      </c>
    </row>
    <row r="565">
      <c r="A565" s="3" t="s">
        <v>1372</v>
      </c>
      <c r="B565" s="3">
        <v>6.9</v>
      </c>
      <c r="C565" s="3" t="s">
        <v>1373</v>
      </c>
      <c r="D565" s="3">
        <v>4.0</v>
      </c>
      <c r="E565" s="3">
        <v>6.0</v>
      </c>
      <c r="F565" s="4"/>
      <c r="G565" s="3">
        <v>0.0</v>
      </c>
      <c r="H565" s="3">
        <v>972.0</v>
      </c>
      <c r="I565" s="3" t="s">
        <v>110</v>
      </c>
      <c r="J565" s="3">
        <v>397.0</v>
      </c>
      <c r="K565" s="3">
        <v>0.0</v>
      </c>
      <c r="L565" s="3">
        <v>11.0</v>
      </c>
      <c r="M565" s="3" t="s">
        <v>204</v>
      </c>
      <c r="N565" s="3">
        <v>130.0</v>
      </c>
      <c r="O565" s="3">
        <v>-6.133</v>
      </c>
      <c r="P565" s="3">
        <v>130.385</v>
      </c>
      <c r="Q565" s="3" t="s">
        <v>1160</v>
      </c>
      <c r="R565" s="4"/>
      <c r="S565" s="3" t="s">
        <v>153</v>
      </c>
      <c r="T565" s="16">
        <f t="shared" si="1"/>
        <v>40110.61111</v>
      </c>
      <c r="U565" s="4" t="b">
        <f t="shared" si="2"/>
        <v>1</v>
      </c>
      <c r="V565" s="4" t="b">
        <f t="shared" si="3"/>
        <v>0</v>
      </c>
      <c r="W565" s="4" t="str">
        <f t="shared" si="8"/>
        <v>Distance/Location</v>
      </c>
      <c r="X565" s="4" t="str">
        <f t="shared" si="4"/>
        <v>mwc</v>
      </c>
      <c r="Y565" s="4">
        <f t="shared" si="5"/>
        <v>1</v>
      </c>
      <c r="Z565" s="4" t="str">
        <f t="shared" si="6"/>
        <v>Unique</v>
      </c>
      <c r="AA565" s="4" t="str">
        <f t="shared" si="7"/>
        <v>Valid</v>
      </c>
    </row>
    <row r="566">
      <c r="A566" s="3" t="s">
        <v>1374</v>
      </c>
      <c r="B566" s="3">
        <v>6.8</v>
      </c>
      <c r="C566" s="17">
        <v>40035.35277777778</v>
      </c>
      <c r="D566" s="3">
        <v>0.0</v>
      </c>
      <c r="E566" s="3">
        <v>5.0</v>
      </c>
      <c r="F566" s="4"/>
      <c r="G566" s="3">
        <v>0.0</v>
      </c>
      <c r="H566" s="3">
        <v>711.0</v>
      </c>
      <c r="I566" s="3" t="s">
        <v>110</v>
      </c>
      <c r="J566" s="3">
        <v>174.0</v>
      </c>
      <c r="K566" s="3">
        <v>0.0</v>
      </c>
      <c r="L566" s="3">
        <v>30.2</v>
      </c>
      <c r="M566" s="3" t="s">
        <v>204</v>
      </c>
      <c r="N566" s="3">
        <v>35.0</v>
      </c>
      <c r="O566" s="3">
        <v>-13.298</v>
      </c>
      <c r="P566" s="3">
        <v>165.91</v>
      </c>
      <c r="Q566" s="3" t="s">
        <v>112</v>
      </c>
      <c r="R566" s="4"/>
      <c r="S566" s="4"/>
      <c r="T566" s="16">
        <f t="shared" si="1"/>
        <v>40094.35278</v>
      </c>
      <c r="U566" s="4" t="b">
        <f t="shared" si="2"/>
        <v>1</v>
      </c>
      <c r="V566" s="4" t="b">
        <f t="shared" si="3"/>
        <v>1</v>
      </c>
      <c r="W566" s="4" t="str">
        <f t="shared" si="8"/>
        <v>Distance/Location</v>
      </c>
      <c r="X566" s="4" t="str">
        <f t="shared" si="4"/>
        <v>mwc</v>
      </c>
      <c r="Y566" s="4">
        <f t="shared" si="5"/>
        <v>1</v>
      </c>
      <c r="Z566" s="4" t="str">
        <f t="shared" si="6"/>
        <v>Unique</v>
      </c>
      <c r="AA566" s="4" t="str">
        <f t="shared" si="7"/>
        <v>Valid</v>
      </c>
    </row>
    <row r="567">
      <c r="A567" s="3" t="s">
        <v>1375</v>
      </c>
      <c r="B567" s="3">
        <v>7.4</v>
      </c>
      <c r="C567" s="17">
        <v>40004.967361111114</v>
      </c>
      <c r="D567" s="3">
        <v>0.0</v>
      </c>
      <c r="E567" s="3">
        <v>7.0</v>
      </c>
      <c r="F567" s="4"/>
      <c r="G567" s="3">
        <v>0.0</v>
      </c>
      <c r="H567" s="3">
        <v>842.0</v>
      </c>
      <c r="I567" s="3" t="s">
        <v>110</v>
      </c>
      <c r="J567" s="3">
        <v>314.0</v>
      </c>
      <c r="K567" s="3">
        <v>0.0</v>
      </c>
      <c r="L567" s="3">
        <v>20.2</v>
      </c>
      <c r="M567" s="3" t="s">
        <v>204</v>
      </c>
      <c r="N567" s="3">
        <v>31.1</v>
      </c>
      <c r="O567" s="3">
        <v>-13.093</v>
      </c>
      <c r="P567" s="3">
        <v>166.497</v>
      </c>
      <c r="Q567" s="3" t="s">
        <v>112</v>
      </c>
      <c r="R567" s="4"/>
      <c r="S567" s="3" t="s">
        <v>113</v>
      </c>
      <c r="T567" s="16">
        <f t="shared" si="1"/>
        <v>40093.96736</v>
      </c>
      <c r="U567" s="4" t="b">
        <f t="shared" si="2"/>
        <v>1</v>
      </c>
      <c r="V567" s="4" t="b">
        <f t="shared" si="3"/>
        <v>1</v>
      </c>
      <c r="W567" s="4" t="str">
        <f t="shared" si="8"/>
        <v>Distance/Location</v>
      </c>
      <c r="X567" s="4" t="str">
        <f t="shared" si="4"/>
        <v>mwc</v>
      </c>
      <c r="Y567" s="4">
        <f t="shared" si="5"/>
        <v>1</v>
      </c>
      <c r="Z567" s="4" t="str">
        <f t="shared" si="6"/>
        <v>Unique</v>
      </c>
      <c r="AA567" s="4" t="str">
        <f t="shared" si="7"/>
        <v>Valid</v>
      </c>
    </row>
    <row r="568">
      <c r="A568" s="3" t="s">
        <v>1376</v>
      </c>
      <c r="B568" s="3">
        <v>7.8</v>
      </c>
      <c r="C568" s="17">
        <v>40004.92916666667</v>
      </c>
      <c r="D568" s="3">
        <v>0.0</v>
      </c>
      <c r="E568" s="3">
        <v>6.0</v>
      </c>
      <c r="F568" s="4"/>
      <c r="G568" s="3">
        <v>0.0</v>
      </c>
      <c r="H568" s="3">
        <v>936.0</v>
      </c>
      <c r="I568" s="3" t="s">
        <v>110</v>
      </c>
      <c r="J568" s="3">
        <v>195.0</v>
      </c>
      <c r="K568" s="3">
        <v>0.0</v>
      </c>
      <c r="L568" s="3">
        <v>20.3</v>
      </c>
      <c r="M568" s="3" t="s">
        <v>204</v>
      </c>
      <c r="N568" s="3">
        <v>35.0</v>
      </c>
      <c r="O568" s="3">
        <v>-12.517</v>
      </c>
      <c r="P568" s="3">
        <v>166.382</v>
      </c>
      <c r="Q568" s="3" t="s">
        <v>112</v>
      </c>
      <c r="R568" s="4"/>
      <c r="S568" s="4"/>
      <c r="T568" s="16">
        <f t="shared" si="1"/>
        <v>40093.92917</v>
      </c>
      <c r="U568" s="4" t="b">
        <f t="shared" si="2"/>
        <v>1</v>
      </c>
      <c r="V568" s="4" t="b">
        <f t="shared" si="3"/>
        <v>1</v>
      </c>
      <c r="W568" s="4" t="str">
        <f t="shared" si="8"/>
        <v>Distance/Location</v>
      </c>
      <c r="X568" s="4" t="str">
        <f t="shared" si="4"/>
        <v>mwc</v>
      </c>
      <c r="Y568" s="4">
        <f t="shared" si="5"/>
        <v>1</v>
      </c>
      <c r="Z568" s="4" t="str">
        <f t="shared" si="6"/>
        <v>Unique</v>
      </c>
      <c r="AA568" s="4" t="str">
        <f t="shared" si="7"/>
        <v>Valid</v>
      </c>
    </row>
    <row r="569">
      <c r="A569" s="3" t="s">
        <v>1377</v>
      </c>
      <c r="B569" s="3">
        <v>7.7</v>
      </c>
      <c r="C569" s="17">
        <v>40004.91875</v>
      </c>
      <c r="D569" s="3">
        <v>4.0</v>
      </c>
      <c r="E569" s="3">
        <v>7.0</v>
      </c>
      <c r="F569" s="4"/>
      <c r="G569" s="3">
        <v>0.0</v>
      </c>
      <c r="H569" s="3">
        <v>916.0</v>
      </c>
      <c r="I569" s="3" t="s">
        <v>110</v>
      </c>
      <c r="J569" s="3">
        <v>283.0</v>
      </c>
      <c r="K569" s="3">
        <v>0.0</v>
      </c>
      <c r="L569" s="3">
        <v>23.2</v>
      </c>
      <c r="M569" s="3" t="s">
        <v>111</v>
      </c>
      <c r="N569" s="3">
        <v>45.0</v>
      </c>
      <c r="O569" s="3">
        <v>-13.006</v>
      </c>
      <c r="P569" s="3">
        <v>166.51</v>
      </c>
      <c r="Q569" s="3" t="s">
        <v>112</v>
      </c>
      <c r="R569" s="4"/>
      <c r="S569" s="3" t="s">
        <v>113</v>
      </c>
      <c r="T569" s="16">
        <f t="shared" si="1"/>
        <v>40093.91875</v>
      </c>
      <c r="U569" s="4" t="b">
        <f t="shared" si="2"/>
        <v>1</v>
      </c>
      <c r="V569" s="4" t="b">
        <f t="shared" si="3"/>
        <v>1</v>
      </c>
      <c r="W569" s="4" t="str">
        <f t="shared" si="8"/>
        <v>Distance/Location</v>
      </c>
      <c r="X569" s="4" t="str">
        <f t="shared" si="4"/>
        <v>mww</v>
      </c>
      <c r="Y569" s="4">
        <f t="shared" si="5"/>
        <v>1</v>
      </c>
      <c r="Z569" s="4" t="str">
        <f t="shared" si="6"/>
        <v>Unique</v>
      </c>
      <c r="AA569" s="4" t="str">
        <f t="shared" si="7"/>
        <v>Valid</v>
      </c>
    </row>
    <row r="570">
      <c r="A570" s="3" t="s">
        <v>1378</v>
      </c>
      <c r="B570" s="3">
        <v>6.6</v>
      </c>
      <c r="C570" s="17">
        <v>39823.07777777778</v>
      </c>
      <c r="D570" s="3">
        <v>7.0</v>
      </c>
      <c r="E570" s="3">
        <v>7.0</v>
      </c>
      <c r="F570" s="4"/>
      <c r="G570" s="3">
        <v>0.0</v>
      </c>
      <c r="H570" s="3">
        <v>787.0</v>
      </c>
      <c r="I570" s="3" t="s">
        <v>110</v>
      </c>
      <c r="J570" s="3">
        <v>417.0</v>
      </c>
      <c r="K570" s="3">
        <v>0.0</v>
      </c>
      <c r="L570" s="3">
        <v>30.1</v>
      </c>
      <c r="M570" s="3" t="s">
        <v>204</v>
      </c>
      <c r="N570" s="3">
        <v>9.0</v>
      </c>
      <c r="O570" s="3">
        <v>-2.482</v>
      </c>
      <c r="P570" s="3">
        <v>101.524</v>
      </c>
      <c r="Q570" s="3" t="s">
        <v>791</v>
      </c>
      <c r="R570" s="4"/>
      <c r="S570" s="3" t="s">
        <v>153</v>
      </c>
      <c r="T570" s="16">
        <f t="shared" si="1"/>
        <v>40087.07778</v>
      </c>
      <c r="U570" s="4" t="b">
        <f t="shared" si="2"/>
        <v>1</v>
      </c>
      <c r="V570" s="4" t="b">
        <f t="shared" si="3"/>
        <v>1</v>
      </c>
      <c r="W570" s="4" t="str">
        <f t="shared" si="8"/>
        <v>Distance/Location</v>
      </c>
      <c r="X570" s="4" t="str">
        <f t="shared" si="4"/>
        <v>mwc</v>
      </c>
      <c r="Y570" s="4">
        <f t="shared" si="5"/>
        <v>1</v>
      </c>
      <c r="Z570" s="4" t="str">
        <f t="shared" si="6"/>
        <v>Unique</v>
      </c>
      <c r="AA570" s="4" t="str">
        <f t="shared" si="7"/>
        <v>Valid</v>
      </c>
    </row>
    <row r="571">
      <c r="A571" s="3" t="s">
        <v>1379</v>
      </c>
      <c r="B571" s="3">
        <v>7.6</v>
      </c>
      <c r="C571" s="3" t="s">
        <v>1380</v>
      </c>
      <c r="D571" s="3">
        <v>8.0</v>
      </c>
      <c r="E571" s="3">
        <v>8.0</v>
      </c>
      <c r="F571" s="4"/>
      <c r="G571" s="3">
        <v>0.0</v>
      </c>
      <c r="H571" s="3">
        <v>1639.0</v>
      </c>
      <c r="I571" s="3" t="s">
        <v>110</v>
      </c>
      <c r="J571" s="3">
        <v>498.0</v>
      </c>
      <c r="K571" s="3">
        <v>0.0</v>
      </c>
      <c r="L571" s="3">
        <v>14.0</v>
      </c>
      <c r="M571" s="3" t="s">
        <v>204</v>
      </c>
      <c r="N571" s="3">
        <v>81.0</v>
      </c>
      <c r="O571" s="3">
        <v>-0.72</v>
      </c>
      <c r="P571" s="3">
        <v>99.867</v>
      </c>
      <c r="Q571" s="3" t="s">
        <v>285</v>
      </c>
      <c r="R571" s="4"/>
      <c r="S571" s="3" t="s">
        <v>153</v>
      </c>
      <c r="T571" s="16">
        <f t="shared" si="1"/>
        <v>40086.42778</v>
      </c>
      <c r="U571" s="4" t="b">
        <f t="shared" si="2"/>
        <v>1</v>
      </c>
      <c r="V571" s="4" t="b">
        <f t="shared" si="3"/>
        <v>0</v>
      </c>
      <c r="W571" s="4" t="str">
        <f t="shared" si="8"/>
        <v>Distance/Location</v>
      </c>
      <c r="X571" s="4" t="str">
        <f t="shared" si="4"/>
        <v>mwc</v>
      </c>
      <c r="Y571" s="4">
        <f t="shared" si="5"/>
        <v>1</v>
      </c>
      <c r="Z571" s="4" t="str">
        <f t="shared" si="6"/>
        <v>Unique</v>
      </c>
      <c r="AA571" s="4" t="str">
        <f t="shared" si="7"/>
        <v>Valid</v>
      </c>
    </row>
    <row r="572">
      <c r="A572" s="3" t="s">
        <v>1381</v>
      </c>
      <c r="B572" s="3">
        <v>8.1</v>
      </c>
      <c r="C572" s="3" t="s">
        <v>1382</v>
      </c>
      <c r="D572" s="3">
        <v>7.0</v>
      </c>
      <c r="E572" s="3">
        <v>6.0</v>
      </c>
      <c r="F572" s="4"/>
      <c r="G572" s="3">
        <v>0.0</v>
      </c>
      <c r="H572" s="3">
        <v>1055.0</v>
      </c>
      <c r="I572" s="3" t="s">
        <v>110</v>
      </c>
      <c r="J572" s="3">
        <v>520.0</v>
      </c>
      <c r="K572" s="3">
        <v>0.0</v>
      </c>
      <c r="L572" s="3">
        <v>20.8</v>
      </c>
      <c r="M572" s="3" t="s">
        <v>204</v>
      </c>
      <c r="N572" s="3">
        <v>18.0</v>
      </c>
      <c r="O572" s="3">
        <v>-15.489</v>
      </c>
      <c r="P572" s="3">
        <v>-172.095</v>
      </c>
      <c r="Q572" s="3" t="s">
        <v>1383</v>
      </c>
      <c r="R572" s="4"/>
      <c r="S572" s="4"/>
      <c r="T572" s="16">
        <f t="shared" si="1"/>
        <v>40085.74167</v>
      </c>
      <c r="U572" s="4" t="b">
        <f t="shared" si="2"/>
        <v>1</v>
      </c>
      <c r="V572" s="4" t="b">
        <f t="shared" si="3"/>
        <v>0</v>
      </c>
      <c r="W572" s="4" t="str">
        <f t="shared" si="8"/>
        <v>Distance/Location</v>
      </c>
      <c r="X572" s="4" t="str">
        <f t="shared" si="4"/>
        <v>mwc</v>
      </c>
      <c r="Y572" s="4">
        <f t="shared" si="5"/>
        <v>1</v>
      </c>
      <c r="Z572" s="4" t="str">
        <f t="shared" si="6"/>
        <v>Unique</v>
      </c>
      <c r="AA572" s="4" t="str">
        <f t="shared" si="7"/>
        <v>Valid</v>
      </c>
    </row>
    <row r="573">
      <c r="A573" s="3" t="s">
        <v>1384</v>
      </c>
      <c r="B573" s="3">
        <v>7.0</v>
      </c>
      <c r="C573" s="17">
        <v>39853.32986111111</v>
      </c>
      <c r="D573" s="3">
        <v>7.0</v>
      </c>
      <c r="E573" s="3">
        <v>7.0</v>
      </c>
      <c r="F573" s="4"/>
      <c r="G573" s="3">
        <v>0.0</v>
      </c>
      <c r="H573" s="3">
        <v>1175.0</v>
      </c>
      <c r="I573" s="3" t="s">
        <v>110</v>
      </c>
      <c r="J573" s="3">
        <v>312.0</v>
      </c>
      <c r="K573" s="3">
        <v>0.0</v>
      </c>
      <c r="L573" s="3">
        <v>16.3</v>
      </c>
      <c r="M573" s="3" t="s">
        <v>204</v>
      </c>
      <c r="N573" s="3">
        <v>46.0</v>
      </c>
      <c r="O573" s="3">
        <v>-7.782</v>
      </c>
      <c r="P573" s="3">
        <v>107.297</v>
      </c>
      <c r="Q573" s="3" t="s">
        <v>1385</v>
      </c>
      <c r="R573" s="4"/>
      <c r="S573" s="3" t="s">
        <v>153</v>
      </c>
      <c r="T573" s="16">
        <f t="shared" si="1"/>
        <v>40058.32986</v>
      </c>
      <c r="U573" s="4" t="b">
        <f t="shared" si="2"/>
        <v>1</v>
      </c>
      <c r="V573" s="4" t="b">
        <f t="shared" si="3"/>
        <v>1</v>
      </c>
      <c r="W573" s="4" t="str">
        <f t="shared" si="8"/>
        <v>Distance/Location</v>
      </c>
      <c r="X573" s="4" t="str">
        <f t="shared" si="4"/>
        <v>mwc</v>
      </c>
      <c r="Y573" s="4">
        <f t="shared" si="5"/>
        <v>1</v>
      </c>
      <c r="Z573" s="4" t="str">
        <f t="shared" si="6"/>
        <v>Unique</v>
      </c>
      <c r="AA573" s="4" t="str">
        <f t="shared" si="7"/>
        <v>Valid</v>
      </c>
    </row>
    <row r="574">
      <c r="A574" s="3" t="s">
        <v>1386</v>
      </c>
      <c r="B574" s="3">
        <v>6.7</v>
      </c>
      <c r="C574" s="3" t="s">
        <v>1387</v>
      </c>
      <c r="D574" s="3">
        <v>5.0</v>
      </c>
      <c r="E574" s="3">
        <v>6.0</v>
      </c>
      <c r="F574" s="4"/>
      <c r="G574" s="3">
        <v>0.0</v>
      </c>
      <c r="H574" s="3">
        <v>753.0</v>
      </c>
      <c r="I574" s="3" t="s">
        <v>110</v>
      </c>
      <c r="J574" s="3">
        <v>369.0</v>
      </c>
      <c r="K574" s="3">
        <v>0.0</v>
      </c>
      <c r="L574" s="3">
        <v>14.9</v>
      </c>
      <c r="M574" s="3" t="s">
        <v>204</v>
      </c>
      <c r="N574" s="3">
        <v>20.0</v>
      </c>
      <c r="O574" s="3">
        <v>-1.479</v>
      </c>
      <c r="P574" s="3">
        <v>99.49</v>
      </c>
      <c r="Q574" s="3" t="s">
        <v>1388</v>
      </c>
      <c r="R574" s="4"/>
      <c r="S574" s="3" t="s">
        <v>153</v>
      </c>
      <c r="T574" s="16">
        <f t="shared" si="1"/>
        <v>40041.31806</v>
      </c>
      <c r="U574" s="4" t="b">
        <f t="shared" si="2"/>
        <v>1</v>
      </c>
      <c r="V574" s="4" t="b">
        <f t="shared" si="3"/>
        <v>0</v>
      </c>
      <c r="W574" s="4" t="str">
        <f t="shared" si="8"/>
        <v>Distance/Location</v>
      </c>
      <c r="X574" s="4" t="str">
        <f t="shared" si="4"/>
        <v>mwc</v>
      </c>
      <c r="Y574" s="4">
        <f t="shared" si="5"/>
        <v>1</v>
      </c>
      <c r="Z574" s="4" t="str">
        <f t="shared" si="6"/>
        <v>Unique</v>
      </c>
      <c r="AA574" s="4" t="str">
        <f t="shared" si="7"/>
        <v>Valid</v>
      </c>
    </row>
    <row r="575">
      <c r="A575" s="3" t="s">
        <v>1389</v>
      </c>
      <c r="B575" s="3">
        <v>6.6</v>
      </c>
      <c r="C575" s="17">
        <v>40155.95</v>
      </c>
      <c r="D575" s="3">
        <v>4.0</v>
      </c>
      <c r="E575" s="3">
        <v>5.0</v>
      </c>
      <c r="F575" s="4"/>
      <c r="G575" s="3">
        <v>0.0</v>
      </c>
      <c r="H575" s="3">
        <v>703.0</v>
      </c>
      <c r="I575" s="3" t="s">
        <v>110</v>
      </c>
      <c r="J575" s="3">
        <v>336.0</v>
      </c>
      <c r="K575" s="3">
        <v>0.0</v>
      </c>
      <c r="L575" s="3">
        <v>14.1</v>
      </c>
      <c r="M575" s="3" t="s">
        <v>204</v>
      </c>
      <c r="N575" s="3">
        <v>53.0</v>
      </c>
      <c r="O575" s="3">
        <v>32.821</v>
      </c>
      <c r="P575" s="3">
        <v>140.395</v>
      </c>
      <c r="Q575" s="3" t="s">
        <v>1390</v>
      </c>
      <c r="R575" s="4"/>
      <c r="S575" s="4"/>
      <c r="T575" s="16">
        <f t="shared" si="1"/>
        <v>40037.95</v>
      </c>
      <c r="U575" s="4" t="b">
        <f t="shared" si="2"/>
        <v>1</v>
      </c>
      <c r="V575" s="4" t="b">
        <f t="shared" si="3"/>
        <v>1</v>
      </c>
      <c r="W575" s="4" t="str">
        <f t="shared" si="8"/>
        <v>Distance/Location</v>
      </c>
      <c r="X575" s="4" t="str">
        <f t="shared" si="4"/>
        <v>mwc</v>
      </c>
      <c r="Y575" s="4">
        <f t="shared" si="5"/>
        <v>1</v>
      </c>
      <c r="Z575" s="4" t="str">
        <f t="shared" si="6"/>
        <v>Unique</v>
      </c>
      <c r="AA575" s="4" t="str">
        <f t="shared" si="7"/>
        <v>Valid</v>
      </c>
    </row>
    <row r="576">
      <c r="A576" s="3" t="s">
        <v>1391</v>
      </c>
      <c r="B576" s="3">
        <v>7.5</v>
      </c>
      <c r="C576" s="17">
        <v>40094.82986111111</v>
      </c>
      <c r="D576" s="3">
        <v>7.0</v>
      </c>
      <c r="E576" s="3">
        <v>6.0</v>
      </c>
      <c r="F576" s="4"/>
      <c r="G576" s="3">
        <v>0.0</v>
      </c>
      <c r="H576" s="3">
        <v>1248.0</v>
      </c>
      <c r="I576" s="3" t="s">
        <v>110</v>
      </c>
      <c r="J576" s="3">
        <v>303.0</v>
      </c>
      <c r="K576" s="3">
        <v>0.0</v>
      </c>
      <c r="L576" s="3">
        <v>18.2</v>
      </c>
      <c r="M576" s="3" t="s">
        <v>204</v>
      </c>
      <c r="N576" s="3">
        <v>24.0</v>
      </c>
      <c r="O576" s="3">
        <v>14.099</v>
      </c>
      <c r="P576" s="3">
        <v>92.902</v>
      </c>
      <c r="Q576" s="3" t="s">
        <v>1337</v>
      </c>
      <c r="R576" s="4"/>
      <c r="S576" s="4"/>
      <c r="T576" s="16">
        <f t="shared" si="1"/>
        <v>40035.82986</v>
      </c>
      <c r="U576" s="4" t="b">
        <f t="shared" si="2"/>
        <v>1</v>
      </c>
      <c r="V576" s="4" t="b">
        <f t="shared" si="3"/>
        <v>1</v>
      </c>
      <c r="W576" s="4" t="str">
        <f t="shared" si="8"/>
        <v>Distance/Location</v>
      </c>
      <c r="X576" s="4" t="str">
        <f t="shared" si="4"/>
        <v>mwc</v>
      </c>
      <c r="Y576" s="4">
        <f t="shared" si="5"/>
        <v>1</v>
      </c>
      <c r="Z576" s="4" t="str">
        <f t="shared" si="6"/>
        <v>Unique</v>
      </c>
      <c r="AA576" s="4" t="str">
        <f t="shared" si="7"/>
        <v>Valid</v>
      </c>
    </row>
    <row r="577">
      <c r="A577" s="3" t="s">
        <v>1392</v>
      </c>
      <c r="B577" s="3">
        <v>7.1</v>
      </c>
      <c r="C577" s="17">
        <v>40064.45486111111</v>
      </c>
      <c r="D577" s="3">
        <v>5.0</v>
      </c>
      <c r="E577" s="3">
        <v>4.0</v>
      </c>
      <c r="F577" s="4"/>
      <c r="G577" s="3">
        <v>0.0</v>
      </c>
      <c r="H577" s="3">
        <v>1005.0</v>
      </c>
      <c r="I577" s="3" t="s">
        <v>110</v>
      </c>
      <c r="J577" s="3">
        <v>447.0</v>
      </c>
      <c r="K577" s="3">
        <v>0.0</v>
      </c>
      <c r="L577" s="3">
        <v>14.2</v>
      </c>
      <c r="M577" s="3" t="s">
        <v>204</v>
      </c>
      <c r="N577" s="3">
        <v>292.0</v>
      </c>
      <c r="O577" s="3">
        <v>33.167</v>
      </c>
      <c r="P577" s="3">
        <v>137.944</v>
      </c>
      <c r="Q577" s="3" t="s">
        <v>1393</v>
      </c>
      <c r="R577" s="4"/>
      <c r="S577" s="4"/>
      <c r="T577" s="16">
        <f t="shared" si="1"/>
        <v>40034.45486</v>
      </c>
      <c r="U577" s="4" t="b">
        <f t="shared" si="2"/>
        <v>1</v>
      </c>
      <c r="V577" s="4" t="b">
        <f t="shared" si="3"/>
        <v>1</v>
      </c>
      <c r="W577" s="4" t="str">
        <f t="shared" si="8"/>
        <v>Distance/Location</v>
      </c>
      <c r="X577" s="4" t="str">
        <f t="shared" si="4"/>
        <v>mwc</v>
      </c>
      <c r="Y577" s="4">
        <f t="shared" si="5"/>
        <v>1</v>
      </c>
      <c r="Z577" s="4" t="str">
        <f t="shared" si="6"/>
        <v>Unique</v>
      </c>
      <c r="AA577" s="4" t="str">
        <f t="shared" si="7"/>
        <v>Valid</v>
      </c>
    </row>
    <row r="578">
      <c r="A578" s="3" t="s">
        <v>1394</v>
      </c>
      <c r="B578" s="3">
        <v>6.9</v>
      </c>
      <c r="C578" s="17">
        <v>39880.74930555555</v>
      </c>
      <c r="D578" s="3">
        <v>5.0</v>
      </c>
      <c r="E578" s="3">
        <v>7.0</v>
      </c>
      <c r="F578" s="4"/>
      <c r="G578" s="3">
        <v>0.0</v>
      </c>
      <c r="H578" s="3">
        <v>1202.0</v>
      </c>
      <c r="I578" s="3" t="s">
        <v>110</v>
      </c>
      <c r="J578" s="3">
        <v>243.0</v>
      </c>
      <c r="K578" s="3">
        <v>0.0</v>
      </c>
      <c r="L578" s="3">
        <v>35.0</v>
      </c>
      <c r="M578" s="3" t="s">
        <v>204</v>
      </c>
      <c r="N578" s="3">
        <v>10.0</v>
      </c>
      <c r="O578" s="3">
        <v>29.039</v>
      </c>
      <c r="P578" s="3">
        <v>-112.903</v>
      </c>
      <c r="Q578" s="3" t="s">
        <v>1395</v>
      </c>
      <c r="R578" s="3" t="s">
        <v>233</v>
      </c>
      <c r="S578" s="3" t="s">
        <v>234</v>
      </c>
      <c r="T578" s="16">
        <f t="shared" si="1"/>
        <v>40028.74931</v>
      </c>
      <c r="U578" s="4" t="b">
        <f t="shared" si="2"/>
        <v>1</v>
      </c>
      <c r="V578" s="4" t="b">
        <f t="shared" si="3"/>
        <v>1</v>
      </c>
      <c r="W578" s="4" t="str">
        <f t="shared" si="8"/>
        <v>Distance/Location</v>
      </c>
      <c r="X578" s="4" t="str">
        <f t="shared" si="4"/>
        <v>mwc</v>
      </c>
      <c r="Y578" s="4">
        <f t="shared" si="5"/>
        <v>1</v>
      </c>
      <c r="Z578" s="4" t="str">
        <f t="shared" si="6"/>
        <v>Unique</v>
      </c>
      <c r="AA578" s="4" t="str">
        <f t="shared" si="7"/>
        <v>Valid</v>
      </c>
    </row>
    <row r="579">
      <c r="A579" s="3" t="s">
        <v>1396</v>
      </c>
      <c r="B579" s="3">
        <v>7.8</v>
      </c>
      <c r="C579" s="3" t="s">
        <v>1397</v>
      </c>
      <c r="D579" s="3">
        <v>6.0</v>
      </c>
      <c r="E579" s="3">
        <v>8.0</v>
      </c>
      <c r="F579" s="4"/>
      <c r="G579" s="3">
        <v>0.0</v>
      </c>
      <c r="H579" s="3">
        <v>1165.0</v>
      </c>
      <c r="I579" s="3" t="s">
        <v>110</v>
      </c>
      <c r="J579" s="3">
        <v>434.0</v>
      </c>
      <c r="K579" s="3">
        <v>0.0</v>
      </c>
      <c r="L579" s="3">
        <v>16.8</v>
      </c>
      <c r="M579" s="3" t="s">
        <v>204</v>
      </c>
      <c r="N579" s="3">
        <v>12.0</v>
      </c>
      <c r="O579" s="3">
        <v>-45.762</v>
      </c>
      <c r="P579" s="3">
        <v>166.562</v>
      </c>
      <c r="Q579" s="3" t="s">
        <v>1398</v>
      </c>
      <c r="R579" s="4"/>
      <c r="S579" s="3" t="s">
        <v>759</v>
      </c>
      <c r="T579" s="16">
        <f t="shared" si="1"/>
        <v>40009.39028</v>
      </c>
      <c r="U579" s="4" t="b">
        <f t="shared" si="2"/>
        <v>1</v>
      </c>
      <c r="V579" s="4" t="b">
        <f t="shared" si="3"/>
        <v>0</v>
      </c>
      <c r="W579" s="4" t="str">
        <f t="shared" si="8"/>
        <v>Distance/Location</v>
      </c>
      <c r="X579" s="4" t="str">
        <f t="shared" si="4"/>
        <v>mwc</v>
      </c>
      <c r="Y579" s="4">
        <f t="shared" si="5"/>
        <v>1</v>
      </c>
      <c r="Z579" s="4" t="str">
        <f t="shared" si="6"/>
        <v>Unique</v>
      </c>
      <c r="AA579" s="4" t="str">
        <f t="shared" si="7"/>
        <v>Valid</v>
      </c>
    </row>
    <row r="580">
      <c r="A580" s="3" t="s">
        <v>1399</v>
      </c>
      <c r="B580" s="3">
        <v>6.7</v>
      </c>
      <c r="C580" s="3" t="s">
        <v>1400</v>
      </c>
      <c r="D580" s="3">
        <v>5.0</v>
      </c>
      <c r="E580" s="3">
        <v>5.0</v>
      </c>
      <c r="F580" s="4"/>
      <c r="G580" s="3">
        <v>0.0</v>
      </c>
      <c r="H580" s="3">
        <v>693.0</v>
      </c>
      <c r="I580" s="3" t="s">
        <v>110</v>
      </c>
      <c r="J580" s="3">
        <v>269.0</v>
      </c>
      <c r="K580" s="3">
        <v>0.0</v>
      </c>
      <c r="L580" s="3">
        <v>13.8</v>
      </c>
      <c r="M580" s="3" t="s">
        <v>204</v>
      </c>
      <c r="N580" s="3">
        <v>64.0</v>
      </c>
      <c r="O580" s="3">
        <v>-5.157</v>
      </c>
      <c r="P580" s="3">
        <v>153.782</v>
      </c>
      <c r="Q580" s="3" t="s">
        <v>633</v>
      </c>
      <c r="R580" s="4"/>
      <c r="S580" s="3" t="s">
        <v>168</v>
      </c>
      <c r="T580" s="16">
        <f t="shared" si="1"/>
        <v>39987.59653</v>
      </c>
      <c r="U580" s="4" t="b">
        <f t="shared" si="2"/>
        <v>1</v>
      </c>
      <c r="V580" s="4" t="b">
        <f t="shared" si="3"/>
        <v>0</v>
      </c>
      <c r="W580" s="4" t="str">
        <f t="shared" si="8"/>
        <v>Distance/Location</v>
      </c>
      <c r="X580" s="4" t="str">
        <f t="shared" si="4"/>
        <v>mwc</v>
      </c>
      <c r="Y580" s="4">
        <f t="shared" si="5"/>
        <v>1</v>
      </c>
      <c r="Z580" s="4" t="str">
        <f t="shared" si="6"/>
        <v>Unique</v>
      </c>
      <c r="AA580" s="4" t="str">
        <f t="shared" si="7"/>
        <v>Valid</v>
      </c>
    </row>
    <row r="581">
      <c r="A581" s="3" t="s">
        <v>1401</v>
      </c>
      <c r="B581" s="3">
        <v>7.3</v>
      </c>
      <c r="C581" s="3" t="s">
        <v>1402</v>
      </c>
      <c r="D581" s="3">
        <v>7.0</v>
      </c>
      <c r="E581" s="3">
        <v>8.0</v>
      </c>
      <c r="F581" s="4"/>
      <c r="G581" s="3">
        <v>0.0</v>
      </c>
      <c r="H581" s="3">
        <v>1560.0</v>
      </c>
      <c r="I581" s="3" t="s">
        <v>110</v>
      </c>
      <c r="J581" s="3">
        <v>464.0</v>
      </c>
      <c r="K581" s="3">
        <v>0.0</v>
      </c>
      <c r="L581" s="3">
        <v>27.2</v>
      </c>
      <c r="M581" s="3" t="s">
        <v>204</v>
      </c>
      <c r="N581" s="3">
        <v>19.0</v>
      </c>
      <c r="O581" s="3">
        <v>16.731</v>
      </c>
      <c r="P581" s="3">
        <v>-86.217</v>
      </c>
      <c r="Q581" s="3" t="s">
        <v>1403</v>
      </c>
      <c r="R581" s="4"/>
      <c r="S581" s="4"/>
      <c r="T581" s="16">
        <f t="shared" si="1"/>
        <v>39961.35</v>
      </c>
      <c r="U581" s="4" t="b">
        <f t="shared" si="2"/>
        <v>1</v>
      </c>
      <c r="V581" s="4" t="b">
        <f t="shared" si="3"/>
        <v>0</v>
      </c>
      <c r="W581" s="4" t="str">
        <f t="shared" si="8"/>
        <v>Distance/Location</v>
      </c>
      <c r="X581" s="4" t="str">
        <f t="shared" si="4"/>
        <v>mwc</v>
      </c>
      <c r="Y581" s="4">
        <f t="shared" si="5"/>
        <v>1</v>
      </c>
      <c r="Z581" s="4" t="str">
        <f t="shared" si="6"/>
        <v>Unique</v>
      </c>
      <c r="AA581" s="4" t="str">
        <f t="shared" si="7"/>
        <v>Valid</v>
      </c>
    </row>
    <row r="582">
      <c r="A582" s="3" t="s">
        <v>1404</v>
      </c>
      <c r="B582" s="3">
        <v>7.6</v>
      </c>
      <c r="C582" s="3" t="s">
        <v>1405</v>
      </c>
      <c r="D582" s="3">
        <v>7.0</v>
      </c>
      <c r="E582" s="3">
        <v>5.0</v>
      </c>
      <c r="F582" s="4"/>
      <c r="G582" s="3">
        <v>0.0</v>
      </c>
      <c r="H582" s="3">
        <v>916.0</v>
      </c>
      <c r="I582" s="3" t="s">
        <v>110</v>
      </c>
      <c r="J582" s="3">
        <v>504.0</v>
      </c>
      <c r="K582" s="3">
        <v>0.0</v>
      </c>
      <c r="L582" s="3">
        <v>14.0</v>
      </c>
      <c r="M582" s="3" t="s">
        <v>204</v>
      </c>
      <c r="N582" s="3">
        <v>31.0</v>
      </c>
      <c r="O582" s="3">
        <v>-23.043</v>
      </c>
      <c r="P582" s="3">
        <v>-174.66</v>
      </c>
      <c r="Q582" s="3" t="s">
        <v>1406</v>
      </c>
      <c r="R582" s="4"/>
      <c r="S582" s="4"/>
      <c r="T582" s="16">
        <f t="shared" si="1"/>
        <v>39891.76181</v>
      </c>
      <c r="U582" s="4" t="b">
        <f t="shared" si="2"/>
        <v>1</v>
      </c>
      <c r="V582" s="4" t="b">
        <f t="shared" si="3"/>
        <v>0</v>
      </c>
      <c r="W582" s="4" t="str">
        <f t="shared" si="8"/>
        <v>Distance/Location</v>
      </c>
      <c r="X582" s="4" t="str">
        <f t="shared" si="4"/>
        <v>mwc</v>
      </c>
      <c r="Y582" s="4">
        <f t="shared" si="5"/>
        <v>1</v>
      </c>
      <c r="Z582" s="4" t="str">
        <f t="shared" si="6"/>
        <v>Unique</v>
      </c>
      <c r="AA582" s="4" t="str">
        <f t="shared" si="7"/>
        <v>Valid</v>
      </c>
    </row>
    <row r="583">
      <c r="A583" s="3" t="s">
        <v>1407</v>
      </c>
      <c r="B583" s="3">
        <v>7.2</v>
      </c>
      <c r="C583" s="17">
        <v>40119.731944444444</v>
      </c>
      <c r="D583" s="3">
        <v>3.0</v>
      </c>
      <c r="E583" s="3">
        <v>7.0</v>
      </c>
      <c r="F583" s="4"/>
      <c r="G583" s="3">
        <v>0.0</v>
      </c>
      <c r="H583" s="3">
        <v>802.0</v>
      </c>
      <c r="I583" s="3" t="s">
        <v>110</v>
      </c>
      <c r="J583" s="3">
        <v>432.0</v>
      </c>
      <c r="K583" s="3">
        <v>0.0</v>
      </c>
      <c r="L583" s="3">
        <v>18.6</v>
      </c>
      <c r="M583" s="3" t="s">
        <v>204</v>
      </c>
      <c r="N583" s="3">
        <v>20.0</v>
      </c>
      <c r="O583" s="3">
        <v>3.886</v>
      </c>
      <c r="P583" s="3">
        <v>126.387</v>
      </c>
      <c r="Q583" s="3" t="s">
        <v>832</v>
      </c>
      <c r="R583" s="4"/>
      <c r="S583" s="3" t="s">
        <v>153</v>
      </c>
      <c r="T583" s="16">
        <f t="shared" si="1"/>
        <v>39855.73194</v>
      </c>
      <c r="U583" s="4" t="b">
        <f t="shared" si="2"/>
        <v>1</v>
      </c>
      <c r="V583" s="4" t="b">
        <f t="shared" si="3"/>
        <v>1</v>
      </c>
      <c r="W583" s="4" t="str">
        <f t="shared" si="8"/>
        <v>Distance/Location</v>
      </c>
      <c r="X583" s="4" t="str">
        <f t="shared" si="4"/>
        <v>mwc</v>
      </c>
      <c r="Y583" s="4">
        <f t="shared" si="5"/>
        <v>1</v>
      </c>
      <c r="Z583" s="4" t="str">
        <f t="shared" si="6"/>
        <v>Unique</v>
      </c>
      <c r="AA583" s="4" t="str">
        <f t="shared" si="7"/>
        <v>Valid</v>
      </c>
    </row>
    <row r="584">
      <c r="A584" s="3" t="s">
        <v>1408</v>
      </c>
      <c r="B584" s="3">
        <v>7.4</v>
      </c>
      <c r="C584" s="17">
        <v>39873.93958333333</v>
      </c>
      <c r="D584" s="3">
        <v>7.0</v>
      </c>
      <c r="E584" s="3">
        <v>7.0</v>
      </c>
      <c r="F584" s="4"/>
      <c r="G584" s="3">
        <v>0.0</v>
      </c>
      <c r="H584" s="3">
        <v>846.0</v>
      </c>
      <c r="I584" s="3" t="s">
        <v>110</v>
      </c>
      <c r="J584" s="3">
        <v>314.0</v>
      </c>
      <c r="K584" s="3">
        <v>0.0</v>
      </c>
      <c r="L584" s="3">
        <v>21.1</v>
      </c>
      <c r="M584" s="3" t="s">
        <v>204</v>
      </c>
      <c r="N584" s="3">
        <v>23.0</v>
      </c>
      <c r="O584" s="3">
        <v>-0.691</v>
      </c>
      <c r="P584" s="3">
        <v>133.305</v>
      </c>
      <c r="Q584" s="3" t="s">
        <v>1182</v>
      </c>
      <c r="R584" s="4"/>
      <c r="S584" s="3" t="s">
        <v>153</v>
      </c>
      <c r="T584" s="16">
        <f t="shared" si="1"/>
        <v>39816.93958</v>
      </c>
      <c r="U584" s="4" t="b">
        <f t="shared" si="2"/>
        <v>1</v>
      </c>
      <c r="V584" s="4" t="b">
        <f t="shared" si="3"/>
        <v>1</v>
      </c>
      <c r="W584" s="4" t="str">
        <f t="shared" si="8"/>
        <v>Distance/Location</v>
      </c>
      <c r="X584" s="4" t="str">
        <f t="shared" si="4"/>
        <v>mwc</v>
      </c>
      <c r="Y584" s="4">
        <f t="shared" si="5"/>
        <v>1</v>
      </c>
      <c r="Z584" s="4" t="str">
        <f t="shared" si="6"/>
        <v>Unique</v>
      </c>
      <c r="AA584" s="4" t="str">
        <f t="shared" si="7"/>
        <v>Valid</v>
      </c>
    </row>
    <row r="585">
      <c r="A585" s="3" t="s">
        <v>1409</v>
      </c>
      <c r="B585" s="3">
        <v>6.6</v>
      </c>
      <c r="C585" s="17">
        <v>39873.84930555556</v>
      </c>
      <c r="D585" s="3">
        <v>5.0</v>
      </c>
      <c r="E585" s="3">
        <v>4.0</v>
      </c>
      <c r="F585" s="4"/>
      <c r="G585" s="3">
        <v>0.0</v>
      </c>
      <c r="H585" s="3">
        <v>765.0</v>
      </c>
      <c r="I585" s="3" t="s">
        <v>110</v>
      </c>
      <c r="J585" s="3">
        <v>344.0</v>
      </c>
      <c r="K585" s="3">
        <v>0.0</v>
      </c>
      <c r="L585" s="3">
        <v>22.6</v>
      </c>
      <c r="M585" s="3" t="s">
        <v>204</v>
      </c>
      <c r="N585" s="3">
        <v>204.8</v>
      </c>
      <c r="O585" s="3">
        <v>36.419</v>
      </c>
      <c r="P585" s="3">
        <v>70.743</v>
      </c>
      <c r="Q585" s="3" t="s">
        <v>174</v>
      </c>
      <c r="R585" s="3" t="s">
        <v>164</v>
      </c>
      <c r="S585" s="3" t="s">
        <v>175</v>
      </c>
      <c r="T585" s="16">
        <f t="shared" si="1"/>
        <v>39816.84931</v>
      </c>
      <c r="U585" s="4" t="b">
        <f t="shared" si="2"/>
        <v>1</v>
      </c>
      <c r="V585" s="4" t="b">
        <f t="shared" si="3"/>
        <v>1</v>
      </c>
      <c r="W585" s="4" t="str">
        <f t="shared" si="8"/>
        <v>Distance/Location</v>
      </c>
      <c r="X585" s="4" t="str">
        <f t="shared" si="4"/>
        <v>mwc</v>
      </c>
      <c r="Y585" s="4">
        <f t="shared" si="5"/>
        <v>1</v>
      </c>
      <c r="Z585" s="4" t="str">
        <f t="shared" si="6"/>
        <v>Unique</v>
      </c>
      <c r="AA585" s="4" t="str">
        <f t="shared" si="7"/>
        <v>Valid</v>
      </c>
    </row>
    <row r="586">
      <c r="A586" s="3" t="s">
        <v>1410</v>
      </c>
      <c r="B586" s="3">
        <v>7.7</v>
      </c>
      <c r="C586" s="17">
        <v>39873.82152777778</v>
      </c>
      <c r="D586" s="3">
        <v>5.0</v>
      </c>
      <c r="E586" s="3">
        <v>7.0</v>
      </c>
      <c r="F586" s="4"/>
      <c r="G586" s="3">
        <v>0.0</v>
      </c>
      <c r="H586" s="3">
        <v>918.0</v>
      </c>
      <c r="I586" s="3" t="s">
        <v>110</v>
      </c>
      <c r="J586" s="3">
        <v>288.0</v>
      </c>
      <c r="K586" s="3">
        <v>0.0</v>
      </c>
      <c r="L586" s="3">
        <v>29.8</v>
      </c>
      <c r="M586" s="3" t="s">
        <v>204</v>
      </c>
      <c r="N586" s="3">
        <v>17.0</v>
      </c>
      <c r="O586" s="3">
        <v>-0.414</v>
      </c>
      <c r="P586" s="3">
        <v>132.885</v>
      </c>
      <c r="Q586" s="3" t="s">
        <v>1182</v>
      </c>
      <c r="R586" s="4"/>
      <c r="S586" s="3" t="s">
        <v>153</v>
      </c>
      <c r="T586" s="16">
        <f t="shared" si="1"/>
        <v>39816.82153</v>
      </c>
      <c r="U586" s="4" t="b">
        <f t="shared" si="2"/>
        <v>1</v>
      </c>
      <c r="V586" s="4" t="b">
        <f t="shared" si="3"/>
        <v>1</v>
      </c>
      <c r="W586" s="4" t="str">
        <f t="shared" si="8"/>
        <v>Distance/Location</v>
      </c>
      <c r="X586" s="4" t="str">
        <f t="shared" si="4"/>
        <v>mwc</v>
      </c>
      <c r="Y586" s="4">
        <f t="shared" si="5"/>
        <v>1</v>
      </c>
      <c r="Z586" s="4" t="str">
        <f t="shared" si="6"/>
        <v>Unique</v>
      </c>
      <c r="AA586" s="4" t="str">
        <f t="shared" si="7"/>
        <v>Valid</v>
      </c>
    </row>
    <row r="587">
      <c r="A587" s="3" t="s">
        <v>1411</v>
      </c>
      <c r="B587" s="3">
        <v>7.4</v>
      </c>
      <c r="C587" s="3" t="s">
        <v>1412</v>
      </c>
      <c r="D587" s="3">
        <v>9.0</v>
      </c>
      <c r="E587" s="3">
        <v>7.0</v>
      </c>
      <c r="F587" s="4"/>
      <c r="G587" s="3">
        <v>0.0</v>
      </c>
      <c r="H587" s="3">
        <v>848.0</v>
      </c>
      <c r="I587" s="3" t="s">
        <v>110</v>
      </c>
      <c r="J587" s="3">
        <v>365.0</v>
      </c>
      <c r="K587" s="3">
        <v>0.0</v>
      </c>
      <c r="L587" s="3">
        <v>33.7</v>
      </c>
      <c r="M587" s="3" t="s">
        <v>111</v>
      </c>
      <c r="N587" s="3">
        <v>30.0</v>
      </c>
      <c r="O587" s="3">
        <v>1.271</v>
      </c>
      <c r="P587" s="3">
        <v>122.091</v>
      </c>
      <c r="Q587" s="3" t="s">
        <v>1413</v>
      </c>
      <c r="R587" s="4"/>
      <c r="S587" s="3" t="s">
        <v>153</v>
      </c>
      <c r="T587" s="16">
        <f t="shared" si="1"/>
        <v>39768.70972</v>
      </c>
      <c r="U587" s="4" t="b">
        <f t="shared" si="2"/>
        <v>1</v>
      </c>
      <c r="V587" s="4" t="b">
        <f t="shared" si="3"/>
        <v>0</v>
      </c>
      <c r="W587" s="4" t="str">
        <f t="shared" si="8"/>
        <v>Distance/Location</v>
      </c>
      <c r="X587" s="4" t="str">
        <f t="shared" si="4"/>
        <v>mww</v>
      </c>
      <c r="Y587" s="4">
        <f t="shared" si="5"/>
        <v>1</v>
      </c>
      <c r="Z587" s="4" t="str">
        <f t="shared" si="6"/>
        <v>Unique</v>
      </c>
      <c r="AA587" s="4" t="str">
        <f t="shared" si="7"/>
        <v>Valid</v>
      </c>
    </row>
    <row r="588">
      <c r="A588" s="3" t="s">
        <v>1414</v>
      </c>
      <c r="B588" s="3">
        <v>6.7</v>
      </c>
      <c r="C588" s="3" t="s">
        <v>1415</v>
      </c>
      <c r="D588" s="3">
        <v>5.0</v>
      </c>
      <c r="E588" s="3">
        <v>6.0</v>
      </c>
      <c r="F588" s="4"/>
      <c r="G588" s="3">
        <v>0.0</v>
      </c>
      <c r="H588" s="3">
        <v>731.0</v>
      </c>
      <c r="I588" s="3" t="s">
        <v>110</v>
      </c>
      <c r="J588" s="3">
        <v>481.0</v>
      </c>
      <c r="K588" s="3">
        <v>0.0</v>
      </c>
      <c r="L588" s="3">
        <v>28.6</v>
      </c>
      <c r="M588" s="3" t="s">
        <v>204</v>
      </c>
      <c r="N588" s="3">
        <v>24.0</v>
      </c>
      <c r="O588" s="3">
        <v>14.423</v>
      </c>
      <c r="P588" s="3">
        <v>-92.364</v>
      </c>
      <c r="Q588" s="3" t="s">
        <v>1416</v>
      </c>
      <c r="R588" s="4"/>
      <c r="S588" s="3" t="s">
        <v>234</v>
      </c>
      <c r="T588" s="16">
        <f t="shared" si="1"/>
        <v>39737.82014</v>
      </c>
      <c r="U588" s="4" t="b">
        <f t="shared" si="2"/>
        <v>1</v>
      </c>
      <c r="V588" s="4" t="b">
        <f t="shared" si="3"/>
        <v>0</v>
      </c>
      <c r="W588" s="4" t="str">
        <f t="shared" si="8"/>
        <v>Distance/Location</v>
      </c>
      <c r="X588" s="4" t="str">
        <f t="shared" si="4"/>
        <v>mwc</v>
      </c>
      <c r="Y588" s="4">
        <f t="shared" si="5"/>
        <v>1</v>
      </c>
      <c r="Z588" s="4" t="str">
        <f t="shared" si="6"/>
        <v>Unique</v>
      </c>
      <c r="AA588" s="4" t="str">
        <f t="shared" si="7"/>
        <v>Valid</v>
      </c>
    </row>
    <row r="589">
      <c r="A589" s="3" t="s">
        <v>1417</v>
      </c>
      <c r="B589" s="3">
        <v>6.7</v>
      </c>
      <c r="C589" s="17">
        <v>39578.66111111111</v>
      </c>
      <c r="D589" s="3">
        <v>0.0</v>
      </c>
      <c r="E589" s="3">
        <v>6.0</v>
      </c>
      <c r="F589" s="4"/>
      <c r="G589" s="3">
        <v>0.0</v>
      </c>
      <c r="H589" s="3">
        <v>691.0</v>
      </c>
      <c r="I589" s="3" t="s">
        <v>110</v>
      </c>
      <c r="J589" s="3">
        <v>529.0</v>
      </c>
      <c r="K589" s="3">
        <v>0.0</v>
      </c>
      <c r="L589" s="3">
        <v>22.3</v>
      </c>
      <c r="M589" s="3" t="s">
        <v>204</v>
      </c>
      <c r="N589" s="3">
        <v>27.4</v>
      </c>
      <c r="O589" s="3">
        <v>39.533</v>
      </c>
      <c r="P589" s="3">
        <v>73.824</v>
      </c>
      <c r="Q589" s="3" t="s">
        <v>1418</v>
      </c>
      <c r="R589" s="3" t="s">
        <v>164</v>
      </c>
      <c r="S589" s="3" t="s">
        <v>1419</v>
      </c>
      <c r="T589" s="16">
        <f t="shared" si="1"/>
        <v>39726.66111</v>
      </c>
      <c r="U589" s="4" t="b">
        <f t="shared" si="2"/>
        <v>1</v>
      </c>
      <c r="V589" s="4" t="b">
        <f t="shared" si="3"/>
        <v>1</v>
      </c>
      <c r="W589" s="4" t="str">
        <f t="shared" si="8"/>
        <v>Distance/Location</v>
      </c>
      <c r="X589" s="4" t="str">
        <f t="shared" si="4"/>
        <v>mwc</v>
      </c>
      <c r="Y589" s="4">
        <f t="shared" si="5"/>
        <v>1</v>
      </c>
      <c r="Z589" s="4" t="str">
        <f t="shared" si="6"/>
        <v>Unique</v>
      </c>
      <c r="AA589" s="4" t="str">
        <f t="shared" si="7"/>
        <v>Valid</v>
      </c>
    </row>
    <row r="590">
      <c r="A590" s="3" t="s">
        <v>1420</v>
      </c>
      <c r="B590" s="3">
        <v>6.8</v>
      </c>
      <c r="C590" s="17">
        <v>39761.01388888889</v>
      </c>
      <c r="D590" s="3">
        <v>0.0</v>
      </c>
      <c r="E590" s="3">
        <v>6.0</v>
      </c>
      <c r="F590" s="4"/>
      <c r="G590" s="3">
        <v>0.0</v>
      </c>
      <c r="H590" s="3">
        <v>711.0</v>
      </c>
      <c r="I590" s="3" t="s">
        <v>110</v>
      </c>
      <c r="J590" s="3">
        <v>500.0</v>
      </c>
      <c r="K590" s="3">
        <v>0.0</v>
      </c>
      <c r="L590" s="3">
        <v>22.2</v>
      </c>
      <c r="M590" s="3" t="s">
        <v>204</v>
      </c>
      <c r="N590" s="3">
        <v>25.0</v>
      </c>
      <c r="O590" s="3">
        <v>41.892</v>
      </c>
      <c r="P590" s="3">
        <v>143.754</v>
      </c>
      <c r="Q590" s="3" t="s">
        <v>1139</v>
      </c>
      <c r="R590" s="4"/>
      <c r="S590" s="4"/>
      <c r="T590" s="16">
        <f t="shared" si="1"/>
        <v>39702.01389</v>
      </c>
      <c r="U590" s="4" t="b">
        <f t="shared" si="2"/>
        <v>1</v>
      </c>
      <c r="V590" s="4" t="b">
        <f t="shared" si="3"/>
        <v>1</v>
      </c>
      <c r="W590" s="4" t="str">
        <f t="shared" si="8"/>
        <v>Distance/Location</v>
      </c>
      <c r="X590" s="4" t="str">
        <f t="shared" si="4"/>
        <v>mwc</v>
      </c>
      <c r="Y590" s="4">
        <f t="shared" si="5"/>
        <v>1</v>
      </c>
      <c r="Z590" s="4" t="str">
        <f t="shared" si="6"/>
        <v>Unique</v>
      </c>
      <c r="AA590" s="4" t="str">
        <f t="shared" si="7"/>
        <v>Valid</v>
      </c>
    </row>
    <row r="591">
      <c r="A591" s="3" t="s">
        <v>1421</v>
      </c>
      <c r="B591" s="3">
        <v>6.6</v>
      </c>
      <c r="C591" s="17">
        <v>39761.0</v>
      </c>
      <c r="D591" s="3">
        <v>0.0</v>
      </c>
      <c r="E591" s="3">
        <v>6.0</v>
      </c>
      <c r="F591" s="4"/>
      <c r="G591" s="3">
        <v>0.0</v>
      </c>
      <c r="H591" s="3">
        <v>670.0</v>
      </c>
      <c r="I591" s="3" t="s">
        <v>110</v>
      </c>
      <c r="J591" s="3">
        <v>463.0</v>
      </c>
      <c r="K591" s="3">
        <v>0.0</v>
      </c>
      <c r="L591" s="3">
        <v>14.1</v>
      </c>
      <c r="M591" s="3" t="s">
        <v>204</v>
      </c>
      <c r="N591" s="3">
        <v>96.0</v>
      </c>
      <c r="O591" s="3">
        <v>1.885</v>
      </c>
      <c r="P591" s="3">
        <v>127.363</v>
      </c>
      <c r="Q591" s="3" t="s">
        <v>205</v>
      </c>
      <c r="R591" s="4"/>
      <c r="S591" s="3" t="s">
        <v>153</v>
      </c>
      <c r="T591" s="16">
        <f t="shared" si="1"/>
        <v>39702</v>
      </c>
      <c r="U591" s="4" t="b">
        <f t="shared" si="2"/>
        <v>1</v>
      </c>
      <c r="V591" s="4" t="b">
        <f t="shared" si="3"/>
        <v>1</v>
      </c>
      <c r="W591" s="4" t="str">
        <f t="shared" si="8"/>
        <v>Distance/Location</v>
      </c>
      <c r="X591" s="4" t="str">
        <f t="shared" si="4"/>
        <v>mwc</v>
      </c>
      <c r="Y591" s="4">
        <f t="shared" si="5"/>
        <v>1</v>
      </c>
      <c r="Z591" s="4" t="str">
        <f t="shared" si="6"/>
        <v>Unique</v>
      </c>
      <c r="AA591" s="4" t="str">
        <f t="shared" si="7"/>
        <v>Valid</v>
      </c>
    </row>
    <row r="592">
      <c r="A592" s="3" t="s">
        <v>1422</v>
      </c>
      <c r="B592" s="3">
        <v>6.9</v>
      </c>
      <c r="C592" s="17">
        <v>39669.78611111111</v>
      </c>
      <c r="D592" s="3">
        <v>0.0</v>
      </c>
      <c r="E592" s="3">
        <v>6.0</v>
      </c>
      <c r="F592" s="4"/>
      <c r="G592" s="3">
        <v>0.0</v>
      </c>
      <c r="H592" s="3">
        <v>732.0</v>
      </c>
      <c r="I592" s="3" t="s">
        <v>110</v>
      </c>
      <c r="J592" s="3">
        <v>531.0</v>
      </c>
      <c r="K592" s="3">
        <v>0.0</v>
      </c>
      <c r="L592" s="3">
        <v>14.9</v>
      </c>
      <c r="M592" s="3" t="s">
        <v>204</v>
      </c>
      <c r="N592" s="3">
        <v>110.0</v>
      </c>
      <c r="O592" s="3">
        <v>-13.501</v>
      </c>
      <c r="P592" s="3">
        <v>166.967</v>
      </c>
      <c r="Q592" s="3" t="s">
        <v>112</v>
      </c>
      <c r="R592" s="4"/>
      <c r="S592" s="3" t="s">
        <v>113</v>
      </c>
      <c r="T592" s="16">
        <f t="shared" si="1"/>
        <v>39699.78611</v>
      </c>
      <c r="U592" s="4" t="b">
        <f t="shared" si="2"/>
        <v>1</v>
      </c>
      <c r="V592" s="4" t="b">
        <f t="shared" si="3"/>
        <v>1</v>
      </c>
      <c r="W592" s="4" t="str">
        <f t="shared" si="8"/>
        <v>Distance/Location</v>
      </c>
      <c r="X592" s="4" t="str">
        <f t="shared" si="4"/>
        <v>mwc</v>
      </c>
      <c r="Y592" s="4">
        <f t="shared" si="5"/>
        <v>1</v>
      </c>
      <c r="Z592" s="4" t="str">
        <f t="shared" si="6"/>
        <v>Unique</v>
      </c>
      <c r="AA592" s="4" t="str">
        <f t="shared" si="7"/>
        <v>Valid</v>
      </c>
    </row>
    <row r="593">
      <c r="A593" s="3" t="s">
        <v>1423</v>
      </c>
      <c r="B593" s="3">
        <v>6.7</v>
      </c>
      <c r="C593" s="3" t="s">
        <v>1424</v>
      </c>
      <c r="D593" s="3">
        <v>4.0</v>
      </c>
      <c r="E593" s="3">
        <v>7.0</v>
      </c>
      <c r="F593" s="4"/>
      <c r="G593" s="3">
        <v>0.0</v>
      </c>
      <c r="H593" s="3">
        <v>692.0</v>
      </c>
      <c r="I593" s="3" t="s">
        <v>110</v>
      </c>
      <c r="J593" s="3">
        <v>325.0</v>
      </c>
      <c r="K593" s="3">
        <v>0.0</v>
      </c>
      <c r="L593" s="3">
        <v>28.0</v>
      </c>
      <c r="M593" s="3" t="s">
        <v>204</v>
      </c>
      <c r="N593" s="3">
        <v>12.0</v>
      </c>
      <c r="O593" s="3">
        <v>30.901</v>
      </c>
      <c r="P593" s="3">
        <v>83.52</v>
      </c>
      <c r="Q593" s="3" t="s">
        <v>1425</v>
      </c>
      <c r="R593" s="3" t="s">
        <v>164</v>
      </c>
      <c r="S593" s="3" t="s">
        <v>251</v>
      </c>
      <c r="T593" s="16">
        <f t="shared" si="1"/>
        <v>39685.55625</v>
      </c>
      <c r="U593" s="4" t="b">
        <f t="shared" si="2"/>
        <v>1</v>
      </c>
      <c r="V593" s="4" t="b">
        <f t="shared" si="3"/>
        <v>0</v>
      </c>
      <c r="W593" s="4" t="str">
        <f t="shared" si="8"/>
        <v>Distance/Location</v>
      </c>
      <c r="X593" s="4" t="str">
        <f t="shared" si="4"/>
        <v>mwc</v>
      </c>
      <c r="Y593" s="4">
        <f t="shared" si="5"/>
        <v>1</v>
      </c>
      <c r="Z593" s="4" t="str">
        <f t="shared" si="6"/>
        <v>Unique</v>
      </c>
      <c r="AA593" s="4" t="str">
        <f t="shared" si="7"/>
        <v>Valid</v>
      </c>
    </row>
    <row r="594">
      <c r="A594" s="3" t="s">
        <v>1426</v>
      </c>
      <c r="B594" s="3">
        <v>6.8</v>
      </c>
      <c r="C594" s="3" t="s">
        <v>1427</v>
      </c>
      <c r="D594" s="3">
        <v>8.0</v>
      </c>
      <c r="E594" s="3">
        <v>7.0</v>
      </c>
      <c r="F594" s="4"/>
      <c r="G594" s="3">
        <v>0.0</v>
      </c>
      <c r="H594" s="3">
        <v>1046.0</v>
      </c>
      <c r="I594" s="3" t="s">
        <v>110</v>
      </c>
      <c r="J594" s="3">
        <v>633.0</v>
      </c>
      <c r="K594" s="3">
        <v>0.0</v>
      </c>
      <c r="L594" s="3">
        <v>20.2</v>
      </c>
      <c r="M594" s="3" t="s">
        <v>204</v>
      </c>
      <c r="N594" s="3">
        <v>108.0</v>
      </c>
      <c r="O594" s="3">
        <v>39.802</v>
      </c>
      <c r="P594" s="3">
        <v>141.464</v>
      </c>
      <c r="Q594" s="3" t="s">
        <v>1428</v>
      </c>
      <c r="R594" s="3" t="s">
        <v>164</v>
      </c>
      <c r="S594" s="3" t="s">
        <v>371</v>
      </c>
      <c r="T594" s="16">
        <f t="shared" si="1"/>
        <v>39652.64306</v>
      </c>
      <c r="U594" s="4" t="b">
        <f t="shared" si="2"/>
        <v>1</v>
      </c>
      <c r="V594" s="4" t="b">
        <f t="shared" si="3"/>
        <v>0</v>
      </c>
      <c r="W594" s="4" t="str">
        <f t="shared" si="8"/>
        <v>Distance/Location</v>
      </c>
      <c r="X594" s="4" t="str">
        <f t="shared" si="4"/>
        <v>mwc</v>
      </c>
      <c r="Y594" s="4">
        <f t="shared" si="5"/>
        <v>1</v>
      </c>
      <c r="Z594" s="4" t="str">
        <f t="shared" si="6"/>
        <v>Unique</v>
      </c>
      <c r="AA594" s="4" t="str">
        <f t="shared" si="7"/>
        <v>Valid</v>
      </c>
    </row>
    <row r="595">
      <c r="A595" s="3" t="s">
        <v>1429</v>
      </c>
      <c r="B595" s="3">
        <v>7.0</v>
      </c>
      <c r="C595" s="3" t="s">
        <v>1430</v>
      </c>
      <c r="D595" s="3">
        <v>5.0</v>
      </c>
      <c r="E595" s="3">
        <v>5.0</v>
      </c>
      <c r="F595" s="4"/>
      <c r="G595" s="3">
        <v>0.0</v>
      </c>
      <c r="H595" s="3">
        <v>840.0</v>
      </c>
      <c r="I595" s="3" t="s">
        <v>110</v>
      </c>
      <c r="J595" s="3">
        <v>577.0</v>
      </c>
      <c r="K595" s="3">
        <v>0.0</v>
      </c>
      <c r="L595" s="3">
        <v>18.2</v>
      </c>
      <c r="M595" s="3" t="s">
        <v>204</v>
      </c>
      <c r="N595" s="3">
        <v>22.0</v>
      </c>
      <c r="O595" s="3">
        <v>37.552</v>
      </c>
      <c r="P595" s="3">
        <v>142.214</v>
      </c>
      <c r="Q595" s="3" t="s">
        <v>282</v>
      </c>
      <c r="R595" s="4"/>
      <c r="S595" s="4"/>
      <c r="T595" s="16">
        <f t="shared" si="1"/>
        <v>39648.11042</v>
      </c>
      <c r="U595" s="4" t="b">
        <f t="shared" si="2"/>
        <v>1</v>
      </c>
      <c r="V595" s="4" t="b">
        <f t="shared" si="3"/>
        <v>0</v>
      </c>
      <c r="W595" s="4" t="str">
        <f t="shared" si="8"/>
        <v>Distance/Location</v>
      </c>
      <c r="X595" s="4" t="str">
        <f t="shared" si="4"/>
        <v>mwc</v>
      </c>
      <c r="Y595" s="4">
        <f t="shared" si="5"/>
        <v>1</v>
      </c>
      <c r="Z595" s="4" t="str">
        <f t="shared" si="6"/>
        <v>Unique</v>
      </c>
      <c r="AA595" s="4" t="str">
        <f t="shared" si="7"/>
        <v>Valid</v>
      </c>
    </row>
    <row r="596">
      <c r="A596" s="3" t="s">
        <v>1431</v>
      </c>
      <c r="B596" s="3">
        <v>6.9</v>
      </c>
      <c r="C596" s="3" t="s">
        <v>1430</v>
      </c>
      <c r="D596" s="3">
        <v>5.0</v>
      </c>
      <c r="E596" s="3">
        <v>5.0</v>
      </c>
      <c r="F596" s="4"/>
      <c r="G596" s="3">
        <v>0.0</v>
      </c>
      <c r="H596" s="3">
        <v>825.0</v>
      </c>
      <c r="I596" s="3" t="s">
        <v>1432</v>
      </c>
      <c r="J596" s="3">
        <v>0.0</v>
      </c>
      <c r="K596" s="3">
        <v>0.0</v>
      </c>
      <c r="L596" s="3">
        <v>0.0</v>
      </c>
      <c r="M596" s="3" t="s">
        <v>111</v>
      </c>
      <c r="N596" s="3">
        <v>25.5</v>
      </c>
      <c r="O596" s="3">
        <v>37.55</v>
      </c>
      <c r="P596" s="3">
        <v>142.714</v>
      </c>
      <c r="Q596" s="3" t="s">
        <v>282</v>
      </c>
      <c r="R596" s="4"/>
      <c r="S596" s="4"/>
      <c r="T596" s="16">
        <f t="shared" si="1"/>
        <v>39648.11042</v>
      </c>
      <c r="U596" s="4" t="b">
        <f t="shared" si="2"/>
        <v>1</v>
      </c>
      <c r="V596" s="4" t="b">
        <f t="shared" si="3"/>
        <v>0</v>
      </c>
      <c r="W596" s="4" t="str">
        <f t="shared" si="8"/>
        <v>Distance/Location</v>
      </c>
      <c r="X596" s="4" t="str">
        <f t="shared" si="4"/>
        <v>mww</v>
      </c>
      <c r="Y596" s="4">
        <f t="shared" si="5"/>
        <v>1</v>
      </c>
      <c r="Z596" s="4" t="str">
        <f t="shared" si="6"/>
        <v>Unique</v>
      </c>
      <c r="AA596" s="4" t="str">
        <f t="shared" si="7"/>
        <v>Valid</v>
      </c>
    </row>
    <row r="597">
      <c r="A597" s="3" t="s">
        <v>1433</v>
      </c>
      <c r="B597" s="3">
        <v>6.6</v>
      </c>
      <c r="C597" s="3" t="s">
        <v>1434</v>
      </c>
      <c r="D597" s="3">
        <v>4.0</v>
      </c>
      <c r="E597" s="3">
        <v>5.0</v>
      </c>
      <c r="F597" s="4"/>
      <c r="G597" s="3">
        <v>0.0</v>
      </c>
      <c r="H597" s="3">
        <v>680.0</v>
      </c>
      <c r="I597" s="3" t="s">
        <v>110</v>
      </c>
      <c r="J597" s="3">
        <v>630.0</v>
      </c>
      <c r="K597" s="3">
        <v>0.0</v>
      </c>
      <c r="L597" s="3">
        <v>18.4</v>
      </c>
      <c r="M597" s="3" t="s">
        <v>204</v>
      </c>
      <c r="N597" s="3">
        <v>17.0</v>
      </c>
      <c r="O597" s="3">
        <v>11.005</v>
      </c>
      <c r="P597" s="3">
        <v>91.824</v>
      </c>
      <c r="Q597" s="3" t="s">
        <v>1337</v>
      </c>
      <c r="R597" s="4"/>
      <c r="S597" s="4"/>
      <c r="T597" s="16">
        <f t="shared" si="1"/>
        <v>39626.48611</v>
      </c>
      <c r="U597" s="4" t="b">
        <f t="shared" si="2"/>
        <v>1</v>
      </c>
      <c r="V597" s="4" t="b">
        <f t="shared" si="3"/>
        <v>0</v>
      </c>
      <c r="W597" s="4" t="str">
        <f t="shared" si="8"/>
        <v>Distance/Location</v>
      </c>
      <c r="X597" s="4" t="str">
        <f t="shared" si="4"/>
        <v>mwc</v>
      </c>
      <c r="Y597" s="4">
        <f t="shared" si="5"/>
        <v>1</v>
      </c>
      <c r="Z597" s="4" t="str">
        <f t="shared" si="6"/>
        <v>Unique</v>
      </c>
      <c r="AA597" s="4" t="str">
        <f t="shared" si="7"/>
        <v>Valid</v>
      </c>
    </row>
    <row r="598">
      <c r="A598" s="3" t="s">
        <v>1435</v>
      </c>
      <c r="B598" s="3">
        <v>6.9</v>
      </c>
      <c r="C598" s="3" t="s">
        <v>1436</v>
      </c>
      <c r="D598" s="3">
        <v>7.0</v>
      </c>
      <c r="E598" s="3">
        <v>8.0</v>
      </c>
      <c r="F598" s="4"/>
      <c r="G598" s="3">
        <v>0.0</v>
      </c>
      <c r="H598" s="3">
        <v>888.0</v>
      </c>
      <c r="I598" s="3" t="s">
        <v>110</v>
      </c>
      <c r="J598" s="3">
        <v>654.0</v>
      </c>
      <c r="K598" s="3">
        <v>0.0</v>
      </c>
      <c r="L598" s="3">
        <v>17.1</v>
      </c>
      <c r="M598" s="3" t="s">
        <v>204</v>
      </c>
      <c r="N598" s="3">
        <v>7.8</v>
      </c>
      <c r="O598" s="3">
        <v>39.03</v>
      </c>
      <c r="P598" s="3">
        <v>140.881</v>
      </c>
      <c r="Q598" s="3" t="s">
        <v>1437</v>
      </c>
      <c r="R598" s="3" t="s">
        <v>164</v>
      </c>
      <c r="S598" s="3" t="s">
        <v>371</v>
      </c>
      <c r="T598" s="16">
        <f t="shared" si="1"/>
        <v>39612.98819</v>
      </c>
      <c r="U598" s="4" t="b">
        <f t="shared" si="2"/>
        <v>1</v>
      </c>
      <c r="V598" s="4" t="b">
        <f t="shared" si="3"/>
        <v>0</v>
      </c>
      <c r="W598" s="4" t="str">
        <f t="shared" si="8"/>
        <v>Distance/Location</v>
      </c>
      <c r="X598" s="4" t="str">
        <f t="shared" si="4"/>
        <v>mwc</v>
      </c>
      <c r="Y598" s="4">
        <f t="shared" si="5"/>
        <v>1</v>
      </c>
      <c r="Z598" s="4" t="str">
        <f t="shared" si="6"/>
        <v>Unique</v>
      </c>
      <c r="AA598" s="4" t="str">
        <f t="shared" si="7"/>
        <v>Valid</v>
      </c>
    </row>
    <row r="599">
      <c r="A599" s="3" t="s">
        <v>1438</v>
      </c>
      <c r="B599" s="3">
        <v>7.9</v>
      </c>
      <c r="C599" s="17">
        <v>39787.26944444444</v>
      </c>
      <c r="D599" s="3">
        <v>9.0</v>
      </c>
      <c r="E599" s="3">
        <v>9.0</v>
      </c>
      <c r="F599" s="4"/>
      <c r="G599" s="3">
        <v>0.0</v>
      </c>
      <c r="H599" s="3">
        <v>1870.0</v>
      </c>
      <c r="I599" s="3" t="s">
        <v>110</v>
      </c>
      <c r="J599" s="3">
        <v>774.0</v>
      </c>
      <c r="K599" s="3">
        <v>0.0</v>
      </c>
      <c r="L599" s="3">
        <v>11.3</v>
      </c>
      <c r="M599" s="3" t="s">
        <v>204</v>
      </c>
      <c r="N599" s="3">
        <v>19.0</v>
      </c>
      <c r="O599" s="3">
        <v>31.002</v>
      </c>
      <c r="P599" s="3">
        <v>103.322</v>
      </c>
      <c r="Q599" s="3" t="s">
        <v>1439</v>
      </c>
      <c r="R599" s="3" t="s">
        <v>164</v>
      </c>
      <c r="S599" s="3" t="s">
        <v>251</v>
      </c>
      <c r="T599" s="16">
        <f t="shared" si="1"/>
        <v>39580.26944</v>
      </c>
      <c r="U599" s="4" t="b">
        <f t="shared" si="2"/>
        <v>1</v>
      </c>
      <c r="V599" s="4" t="b">
        <f t="shared" si="3"/>
        <v>1</v>
      </c>
      <c r="W599" s="4" t="str">
        <f t="shared" si="8"/>
        <v>Distance/Location</v>
      </c>
      <c r="X599" s="4" t="str">
        <f t="shared" si="4"/>
        <v>mwc</v>
      </c>
      <c r="Y599" s="4">
        <f t="shared" si="5"/>
        <v>1</v>
      </c>
      <c r="Z599" s="4" t="str">
        <f t="shared" si="6"/>
        <v>Unique</v>
      </c>
      <c r="AA599" s="4" t="str">
        <f t="shared" si="7"/>
        <v>Valid</v>
      </c>
    </row>
    <row r="600">
      <c r="A600" s="3" t="s">
        <v>1440</v>
      </c>
      <c r="B600" s="3">
        <v>6.9</v>
      </c>
      <c r="C600" s="17">
        <v>39634.697916666664</v>
      </c>
      <c r="D600" s="3">
        <v>5.0</v>
      </c>
      <c r="E600" s="3">
        <v>5.0</v>
      </c>
      <c r="F600" s="4"/>
      <c r="G600" s="3">
        <v>0.0</v>
      </c>
      <c r="H600" s="3">
        <v>910.0</v>
      </c>
      <c r="I600" s="3" t="s">
        <v>110</v>
      </c>
      <c r="J600" s="3">
        <v>519.0</v>
      </c>
      <c r="K600" s="3">
        <v>0.0</v>
      </c>
      <c r="L600" s="3">
        <v>21.1</v>
      </c>
      <c r="M600" s="3" t="s">
        <v>204</v>
      </c>
      <c r="N600" s="3">
        <v>27.0</v>
      </c>
      <c r="O600" s="3">
        <v>36.164</v>
      </c>
      <c r="P600" s="3">
        <v>141.526</v>
      </c>
      <c r="Q600" s="3" t="s">
        <v>1265</v>
      </c>
      <c r="R600" s="4"/>
      <c r="S600" s="4"/>
      <c r="T600" s="16">
        <f t="shared" si="1"/>
        <v>39575.69792</v>
      </c>
      <c r="U600" s="4" t="b">
        <f t="shared" si="2"/>
        <v>1</v>
      </c>
      <c r="V600" s="4" t="b">
        <f t="shared" si="3"/>
        <v>1</v>
      </c>
      <c r="W600" s="4" t="str">
        <f t="shared" si="8"/>
        <v>Distance/Location</v>
      </c>
      <c r="X600" s="4" t="str">
        <f t="shared" si="4"/>
        <v>mwc</v>
      </c>
      <c r="Y600" s="4">
        <f t="shared" si="5"/>
        <v>1</v>
      </c>
      <c r="Z600" s="4" t="str">
        <f t="shared" si="6"/>
        <v>Unique</v>
      </c>
      <c r="AA600" s="4" t="str">
        <f t="shared" si="7"/>
        <v>Valid</v>
      </c>
    </row>
    <row r="601">
      <c r="A601" s="3" t="s">
        <v>1441</v>
      </c>
      <c r="B601" s="3">
        <v>7.3</v>
      </c>
      <c r="C601" s="17">
        <v>39695.53194444445</v>
      </c>
      <c r="D601" s="3">
        <v>0.0</v>
      </c>
      <c r="E601" s="3">
        <v>6.0</v>
      </c>
      <c r="F601" s="4"/>
      <c r="G601" s="3">
        <v>0.0</v>
      </c>
      <c r="H601" s="3">
        <v>820.0</v>
      </c>
      <c r="I601" s="3" t="s">
        <v>110</v>
      </c>
      <c r="J601" s="3">
        <v>486.0</v>
      </c>
      <c r="K601" s="3">
        <v>0.0</v>
      </c>
      <c r="L601" s="3">
        <v>13.4</v>
      </c>
      <c r="M601" s="3" t="s">
        <v>204</v>
      </c>
      <c r="N601" s="3">
        <v>33.0</v>
      </c>
      <c r="O601" s="3">
        <v>-20.071</v>
      </c>
      <c r="P601" s="3">
        <v>168.892</v>
      </c>
      <c r="Q601" s="3" t="s">
        <v>246</v>
      </c>
      <c r="R601" s="4"/>
      <c r="S601" s="4"/>
      <c r="T601" s="16">
        <f t="shared" si="1"/>
        <v>39547.53194</v>
      </c>
      <c r="U601" s="4" t="b">
        <f t="shared" si="2"/>
        <v>1</v>
      </c>
      <c r="V601" s="4" t="b">
        <f t="shared" si="3"/>
        <v>1</v>
      </c>
      <c r="W601" s="4" t="str">
        <f t="shared" si="8"/>
        <v>Distance/Location</v>
      </c>
      <c r="X601" s="4" t="str">
        <f t="shared" si="4"/>
        <v>mwc</v>
      </c>
      <c r="Y601" s="4">
        <f t="shared" si="5"/>
        <v>1</v>
      </c>
      <c r="Z601" s="4" t="str">
        <f t="shared" si="6"/>
        <v>Unique</v>
      </c>
      <c r="AA601" s="4" t="str">
        <f t="shared" si="7"/>
        <v>Valid</v>
      </c>
    </row>
    <row r="602">
      <c r="A602" s="3" t="s">
        <v>1442</v>
      </c>
      <c r="B602" s="3">
        <v>7.2</v>
      </c>
      <c r="C602" s="3" t="s">
        <v>1443</v>
      </c>
      <c r="D602" s="3">
        <v>0.0</v>
      </c>
      <c r="E602" s="3">
        <v>7.0</v>
      </c>
      <c r="F602" s="4"/>
      <c r="G602" s="3">
        <v>0.0</v>
      </c>
      <c r="H602" s="3">
        <v>798.0</v>
      </c>
      <c r="I602" s="3" t="s">
        <v>110</v>
      </c>
      <c r="J602" s="3">
        <v>532.0</v>
      </c>
      <c r="K602" s="3">
        <v>0.0</v>
      </c>
      <c r="L602" s="3">
        <v>25.9</v>
      </c>
      <c r="M602" s="3" t="s">
        <v>204</v>
      </c>
      <c r="N602" s="3">
        <v>10.0</v>
      </c>
      <c r="O602" s="3">
        <v>35.49</v>
      </c>
      <c r="P602" s="3">
        <v>81.467</v>
      </c>
      <c r="Q602" s="3" t="s">
        <v>1034</v>
      </c>
      <c r="R602" s="3" t="s">
        <v>164</v>
      </c>
      <c r="S602" s="3" t="s">
        <v>251</v>
      </c>
      <c r="T602" s="16">
        <f t="shared" si="1"/>
        <v>39527.93889</v>
      </c>
      <c r="U602" s="4" t="b">
        <f t="shared" si="2"/>
        <v>1</v>
      </c>
      <c r="V602" s="4" t="b">
        <f t="shared" si="3"/>
        <v>0</v>
      </c>
      <c r="W602" s="4" t="str">
        <f t="shared" si="8"/>
        <v>Distance/Location</v>
      </c>
      <c r="X602" s="4" t="str">
        <f t="shared" si="4"/>
        <v>mwc</v>
      </c>
      <c r="Y602" s="4">
        <f t="shared" si="5"/>
        <v>1</v>
      </c>
      <c r="Z602" s="4" t="str">
        <f t="shared" si="6"/>
        <v>Unique</v>
      </c>
      <c r="AA602" s="4" t="str">
        <f t="shared" si="7"/>
        <v>Valid</v>
      </c>
    </row>
    <row r="603">
      <c r="A603" s="3" t="s">
        <v>1444</v>
      </c>
      <c r="B603" s="3">
        <v>6.9</v>
      </c>
      <c r="C603" s="17">
        <v>39510.59097222222</v>
      </c>
      <c r="D603" s="3">
        <v>4.0</v>
      </c>
      <c r="E603" s="3">
        <v>5.0</v>
      </c>
      <c r="F603" s="4"/>
      <c r="G603" s="3">
        <v>0.0</v>
      </c>
      <c r="H603" s="3">
        <v>740.0</v>
      </c>
      <c r="I603" s="3" t="s">
        <v>110</v>
      </c>
      <c r="J603" s="3">
        <v>544.0</v>
      </c>
      <c r="K603" s="3">
        <v>0.0</v>
      </c>
      <c r="L603" s="3">
        <v>25.9</v>
      </c>
      <c r="M603" s="3" t="s">
        <v>204</v>
      </c>
      <c r="N603" s="3">
        <v>24.0</v>
      </c>
      <c r="O603" s="3">
        <v>13.351</v>
      </c>
      <c r="P603" s="3">
        <v>125.63</v>
      </c>
      <c r="Q603" s="3" t="s">
        <v>1445</v>
      </c>
      <c r="R603" s="4"/>
      <c r="S603" s="4"/>
      <c r="T603" s="16">
        <f t="shared" si="1"/>
        <v>39510.59097</v>
      </c>
      <c r="U603" s="4" t="b">
        <f t="shared" si="2"/>
        <v>1</v>
      </c>
      <c r="V603" s="4" t="b">
        <f t="shared" si="3"/>
        <v>1</v>
      </c>
      <c r="W603" s="4" t="str">
        <f t="shared" si="8"/>
        <v>Named Region</v>
      </c>
      <c r="X603" s="4" t="str">
        <f t="shared" si="4"/>
        <v>mwc</v>
      </c>
      <c r="Y603" s="4">
        <f t="shared" si="5"/>
        <v>1</v>
      </c>
      <c r="Z603" s="4" t="str">
        <f t="shared" si="6"/>
        <v>Unique</v>
      </c>
      <c r="AA603" s="4" t="str">
        <f t="shared" si="7"/>
        <v>Valid</v>
      </c>
    </row>
    <row r="604">
      <c r="A604" s="3" t="s">
        <v>1446</v>
      </c>
      <c r="B604" s="3">
        <v>6.7</v>
      </c>
      <c r="C604" s="3" t="s">
        <v>1447</v>
      </c>
      <c r="D604" s="3">
        <v>5.0</v>
      </c>
      <c r="E604" s="3">
        <v>6.0</v>
      </c>
      <c r="F604" s="4"/>
      <c r="G604" s="3">
        <v>0.0</v>
      </c>
      <c r="H604" s="3">
        <v>696.0</v>
      </c>
      <c r="I604" s="3" t="s">
        <v>110</v>
      </c>
      <c r="J604" s="3">
        <v>543.0</v>
      </c>
      <c r="K604" s="3">
        <v>0.0</v>
      </c>
      <c r="L604" s="3">
        <v>15.1</v>
      </c>
      <c r="M604" s="3" t="s">
        <v>204</v>
      </c>
      <c r="N604" s="3">
        <v>25.0</v>
      </c>
      <c r="O604" s="3">
        <v>-2.245</v>
      </c>
      <c r="P604" s="3">
        <v>99.808</v>
      </c>
      <c r="Q604" s="3" t="s">
        <v>1388</v>
      </c>
      <c r="R604" s="4"/>
      <c r="S604" s="3" t="s">
        <v>153</v>
      </c>
      <c r="T604" s="16">
        <f t="shared" si="1"/>
        <v>39503.87639</v>
      </c>
      <c r="U604" s="4" t="b">
        <f t="shared" si="2"/>
        <v>1</v>
      </c>
      <c r="V604" s="4" t="b">
        <f t="shared" si="3"/>
        <v>0</v>
      </c>
      <c r="W604" s="4" t="str">
        <f t="shared" si="8"/>
        <v>Distance/Location</v>
      </c>
      <c r="X604" s="4" t="str">
        <f t="shared" si="4"/>
        <v>mwc</v>
      </c>
      <c r="Y604" s="4">
        <f t="shared" si="5"/>
        <v>1</v>
      </c>
      <c r="Z604" s="4" t="str">
        <f t="shared" si="6"/>
        <v>Unique</v>
      </c>
      <c r="AA604" s="4" t="str">
        <f t="shared" si="7"/>
        <v>Valid</v>
      </c>
    </row>
    <row r="605">
      <c r="A605" s="3" t="s">
        <v>1448</v>
      </c>
      <c r="B605" s="3">
        <v>6.6</v>
      </c>
      <c r="C605" s="3" t="s">
        <v>1449</v>
      </c>
      <c r="D605" s="3">
        <v>4.0</v>
      </c>
      <c r="E605" s="3">
        <v>6.0</v>
      </c>
      <c r="F605" s="4"/>
      <c r="G605" s="3">
        <v>0.0</v>
      </c>
      <c r="H605" s="3">
        <v>674.0</v>
      </c>
      <c r="I605" s="3" t="s">
        <v>110</v>
      </c>
      <c r="J605" s="3">
        <v>421.0</v>
      </c>
      <c r="K605" s="3">
        <v>0.0</v>
      </c>
      <c r="L605" s="3">
        <v>17.7</v>
      </c>
      <c r="M605" s="3" t="s">
        <v>204</v>
      </c>
      <c r="N605" s="3">
        <v>25.0</v>
      </c>
      <c r="O605" s="3">
        <v>-2.332</v>
      </c>
      <c r="P605" s="3">
        <v>99.891</v>
      </c>
      <c r="Q605" s="3" t="s">
        <v>1388</v>
      </c>
      <c r="R605" s="4"/>
      <c r="S605" s="3" t="s">
        <v>153</v>
      </c>
      <c r="T605" s="16">
        <f t="shared" si="1"/>
        <v>39503.75417</v>
      </c>
      <c r="U605" s="4" t="b">
        <f t="shared" si="2"/>
        <v>1</v>
      </c>
      <c r="V605" s="4" t="b">
        <f t="shared" si="3"/>
        <v>0</v>
      </c>
      <c r="W605" s="4" t="str">
        <f t="shared" si="8"/>
        <v>Distance/Location</v>
      </c>
      <c r="X605" s="4" t="str">
        <f t="shared" si="4"/>
        <v>mwc</v>
      </c>
      <c r="Y605" s="4">
        <f t="shared" si="5"/>
        <v>1</v>
      </c>
      <c r="Z605" s="4" t="str">
        <f t="shared" si="6"/>
        <v>Unique</v>
      </c>
      <c r="AA605" s="4" t="str">
        <f t="shared" si="7"/>
        <v>Valid</v>
      </c>
    </row>
    <row r="606">
      <c r="A606" s="3" t="s">
        <v>1450</v>
      </c>
      <c r="B606" s="3">
        <v>7.2</v>
      </c>
      <c r="C606" s="3" t="s">
        <v>1451</v>
      </c>
      <c r="D606" s="3">
        <v>4.0</v>
      </c>
      <c r="E606" s="3">
        <v>7.0</v>
      </c>
      <c r="F606" s="4"/>
      <c r="G606" s="3">
        <v>0.0</v>
      </c>
      <c r="H606" s="3">
        <v>832.0</v>
      </c>
      <c r="I606" s="3" t="s">
        <v>110</v>
      </c>
      <c r="J606" s="3">
        <v>505.0</v>
      </c>
      <c r="K606" s="3">
        <v>0.0</v>
      </c>
      <c r="L606" s="3">
        <v>18.4</v>
      </c>
      <c r="M606" s="3" t="s">
        <v>204</v>
      </c>
      <c r="N606" s="3">
        <v>25.0</v>
      </c>
      <c r="O606" s="3">
        <v>-2.486</v>
      </c>
      <c r="P606" s="3">
        <v>99.972</v>
      </c>
      <c r="Q606" s="3" t="s">
        <v>791</v>
      </c>
      <c r="R606" s="4"/>
      <c r="S606" s="3" t="s">
        <v>153</v>
      </c>
      <c r="T606" s="16">
        <f t="shared" si="1"/>
        <v>39503.35833</v>
      </c>
      <c r="U606" s="4" t="b">
        <f t="shared" si="2"/>
        <v>1</v>
      </c>
      <c r="V606" s="4" t="b">
        <f t="shared" si="3"/>
        <v>0</v>
      </c>
      <c r="W606" s="4" t="str">
        <f t="shared" si="8"/>
        <v>Distance/Location</v>
      </c>
      <c r="X606" s="4" t="str">
        <f t="shared" si="4"/>
        <v>mwc</v>
      </c>
      <c r="Y606" s="4">
        <f t="shared" si="5"/>
        <v>1</v>
      </c>
      <c r="Z606" s="4" t="str">
        <f t="shared" si="6"/>
        <v>Unique</v>
      </c>
      <c r="AA606" s="4" t="str">
        <f t="shared" si="7"/>
        <v>Valid</v>
      </c>
    </row>
    <row r="607">
      <c r="A607" s="3" t="s">
        <v>1452</v>
      </c>
      <c r="B607" s="3">
        <v>6.5</v>
      </c>
      <c r="C607" s="3" t="s">
        <v>1453</v>
      </c>
      <c r="D607" s="3">
        <v>4.0</v>
      </c>
      <c r="E607" s="3">
        <v>6.0</v>
      </c>
      <c r="F607" s="4"/>
      <c r="G607" s="3">
        <v>0.0</v>
      </c>
      <c r="H607" s="3">
        <v>654.0</v>
      </c>
      <c r="I607" s="3" t="s">
        <v>110</v>
      </c>
      <c r="J607" s="3">
        <v>429.0</v>
      </c>
      <c r="K607" s="3">
        <v>0.0</v>
      </c>
      <c r="L607" s="3">
        <v>28.3</v>
      </c>
      <c r="M607" s="3" t="s">
        <v>204</v>
      </c>
      <c r="N607" s="3">
        <v>22.0</v>
      </c>
      <c r="O607" s="3">
        <v>-2.405</v>
      </c>
      <c r="P607" s="3">
        <v>99.931</v>
      </c>
      <c r="Q607" s="3" t="s">
        <v>791</v>
      </c>
      <c r="R607" s="4"/>
      <c r="S607" s="3" t="s">
        <v>153</v>
      </c>
      <c r="T607" s="16">
        <f t="shared" si="1"/>
        <v>39502.61528</v>
      </c>
      <c r="U607" s="4" t="b">
        <f t="shared" si="2"/>
        <v>1</v>
      </c>
      <c r="V607" s="4" t="b">
        <f t="shared" si="3"/>
        <v>0</v>
      </c>
      <c r="W607" s="4" t="str">
        <f t="shared" si="8"/>
        <v>Distance/Location</v>
      </c>
      <c r="X607" s="4" t="str">
        <f t="shared" si="4"/>
        <v>mwc</v>
      </c>
      <c r="Y607" s="4">
        <f t="shared" si="5"/>
        <v>1</v>
      </c>
      <c r="Z607" s="4" t="str">
        <f t="shared" si="6"/>
        <v>Unique</v>
      </c>
      <c r="AA607" s="4" t="str">
        <f t="shared" si="7"/>
        <v>Valid</v>
      </c>
    </row>
    <row r="608">
      <c r="A608" s="3" t="s">
        <v>1454</v>
      </c>
      <c r="B608" s="3">
        <v>7.4</v>
      </c>
      <c r="C608" s="3" t="s">
        <v>1455</v>
      </c>
      <c r="D608" s="3">
        <v>5.0</v>
      </c>
      <c r="E608" s="3">
        <v>7.0</v>
      </c>
      <c r="F608" s="4"/>
      <c r="G608" s="3">
        <v>0.0</v>
      </c>
      <c r="H608" s="3">
        <v>914.0</v>
      </c>
      <c r="I608" s="3" t="s">
        <v>110</v>
      </c>
      <c r="J608" s="3">
        <v>607.0</v>
      </c>
      <c r="K608" s="3">
        <v>0.0</v>
      </c>
      <c r="L608" s="3">
        <v>16.4</v>
      </c>
      <c r="M608" s="3" t="s">
        <v>204</v>
      </c>
      <c r="N608" s="3">
        <v>26.0</v>
      </c>
      <c r="O608" s="3">
        <v>2.768</v>
      </c>
      <c r="P608" s="3">
        <v>95.964</v>
      </c>
      <c r="Q608" s="3" t="s">
        <v>368</v>
      </c>
      <c r="R608" s="4"/>
      <c r="S608" s="3" t="s">
        <v>153</v>
      </c>
      <c r="T608" s="16">
        <f t="shared" si="1"/>
        <v>39498.33889</v>
      </c>
      <c r="U608" s="4" t="b">
        <f t="shared" si="2"/>
        <v>1</v>
      </c>
      <c r="V608" s="4" t="b">
        <f t="shared" si="3"/>
        <v>0</v>
      </c>
      <c r="W608" s="4" t="str">
        <f t="shared" si="8"/>
        <v>Distance/Location</v>
      </c>
      <c r="X608" s="4" t="str">
        <f t="shared" si="4"/>
        <v>mwc</v>
      </c>
      <c r="Y608" s="4">
        <f t="shared" si="5"/>
        <v>1</v>
      </c>
      <c r="Z608" s="4" t="str">
        <f t="shared" si="6"/>
        <v>Unique</v>
      </c>
      <c r="AA608" s="4" t="str">
        <f t="shared" si="7"/>
        <v>Valid</v>
      </c>
    </row>
    <row r="609">
      <c r="A609" s="3" t="s">
        <v>1456</v>
      </c>
      <c r="B609" s="3">
        <v>6.5</v>
      </c>
      <c r="C609" s="3" t="s">
        <v>1457</v>
      </c>
      <c r="D609" s="3">
        <v>8.0</v>
      </c>
      <c r="E609" s="3">
        <v>5.0</v>
      </c>
      <c r="F609" s="4"/>
      <c r="G609" s="3">
        <v>0.0</v>
      </c>
      <c r="H609" s="3">
        <v>692.0</v>
      </c>
      <c r="I609" s="3" t="s">
        <v>110</v>
      </c>
      <c r="J609" s="3">
        <v>650.0</v>
      </c>
      <c r="K609" s="3">
        <v>0.0</v>
      </c>
      <c r="L609" s="3">
        <v>30.7</v>
      </c>
      <c r="M609" s="3" t="s">
        <v>204</v>
      </c>
      <c r="N609" s="3">
        <v>28.0</v>
      </c>
      <c r="O609" s="3">
        <v>36.345</v>
      </c>
      <c r="P609" s="3">
        <v>21.863</v>
      </c>
      <c r="Q609" s="3" t="s">
        <v>1458</v>
      </c>
      <c r="R609" s="3" t="s">
        <v>404</v>
      </c>
      <c r="S609" s="4"/>
      <c r="T609" s="16">
        <f t="shared" si="1"/>
        <v>39492.50556</v>
      </c>
      <c r="U609" s="4" t="b">
        <f t="shared" si="2"/>
        <v>1</v>
      </c>
      <c r="V609" s="4" t="b">
        <f t="shared" si="3"/>
        <v>0</v>
      </c>
      <c r="W609" s="4" t="str">
        <f t="shared" si="8"/>
        <v>Distance/Location</v>
      </c>
      <c r="X609" s="4" t="str">
        <f t="shared" si="4"/>
        <v>mwc</v>
      </c>
      <c r="Y609" s="4">
        <f t="shared" si="5"/>
        <v>1</v>
      </c>
      <c r="Z609" s="4" t="str">
        <f t="shared" si="6"/>
        <v>Unique</v>
      </c>
      <c r="AA609" s="4" t="str">
        <f t="shared" si="7"/>
        <v>Valid</v>
      </c>
    </row>
    <row r="610">
      <c r="A610" s="3" t="s">
        <v>1459</v>
      </c>
      <c r="B610" s="3">
        <v>6.9</v>
      </c>
      <c r="C610" s="3" t="s">
        <v>1460</v>
      </c>
      <c r="D610" s="3">
        <v>6.0</v>
      </c>
      <c r="E610" s="3">
        <v>6.0</v>
      </c>
      <c r="F610" s="4"/>
      <c r="G610" s="3">
        <v>0.0</v>
      </c>
      <c r="H610" s="3">
        <v>941.0</v>
      </c>
      <c r="I610" s="3" t="s">
        <v>110</v>
      </c>
      <c r="J610" s="3">
        <v>645.0</v>
      </c>
      <c r="K610" s="3">
        <v>0.0</v>
      </c>
      <c r="L610" s="3">
        <v>30.6</v>
      </c>
      <c r="M610" s="3" t="s">
        <v>204</v>
      </c>
      <c r="N610" s="3">
        <v>29.0</v>
      </c>
      <c r="O610" s="3">
        <v>36.501</v>
      </c>
      <c r="P610" s="3">
        <v>21.67</v>
      </c>
      <c r="Q610" s="3" t="s">
        <v>1461</v>
      </c>
      <c r="R610" s="3" t="s">
        <v>404</v>
      </c>
      <c r="S610" s="4"/>
      <c r="T610" s="16">
        <f t="shared" si="1"/>
        <v>39492.42292</v>
      </c>
      <c r="U610" s="4" t="b">
        <f t="shared" si="2"/>
        <v>1</v>
      </c>
      <c r="V610" s="4" t="b">
        <f t="shared" si="3"/>
        <v>0</v>
      </c>
      <c r="W610" s="4" t="str">
        <f t="shared" si="8"/>
        <v>Distance/Location</v>
      </c>
      <c r="X610" s="4" t="str">
        <f t="shared" si="4"/>
        <v>mwc</v>
      </c>
      <c r="Y610" s="4">
        <f t="shared" si="5"/>
        <v>1</v>
      </c>
      <c r="Z610" s="4" t="str">
        <f t="shared" si="6"/>
        <v>Unique</v>
      </c>
      <c r="AA610" s="4" t="str">
        <f t="shared" si="7"/>
        <v>Valid</v>
      </c>
    </row>
    <row r="611">
      <c r="A611" s="3" t="s">
        <v>1462</v>
      </c>
      <c r="B611" s="3">
        <v>6.5</v>
      </c>
      <c r="C611" s="17">
        <v>39784.53472222222</v>
      </c>
      <c r="D611" s="3">
        <v>7.0</v>
      </c>
      <c r="E611" s="3">
        <v>6.0</v>
      </c>
      <c r="F611" s="4"/>
      <c r="G611" s="3">
        <v>0.0</v>
      </c>
      <c r="H611" s="3">
        <v>723.0</v>
      </c>
      <c r="I611" s="3" t="s">
        <v>110</v>
      </c>
      <c r="J611" s="3">
        <v>521.0</v>
      </c>
      <c r="K611" s="3">
        <v>0.0</v>
      </c>
      <c r="L611" s="3">
        <v>27.6</v>
      </c>
      <c r="M611" s="3" t="s">
        <v>204</v>
      </c>
      <c r="N611" s="3">
        <v>83.0</v>
      </c>
      <c r="O611" s="3">
        <v>16.357</v>
      </c>
      <c r="P611" s="3">
        <v>-94.304</v>
      </c>
      <c r="Q611" s="3" t="s">
        <v>1463</v>
      </c>
      <c r="R611" s="4"/>
      <c r="S611" s="3" t="s">
        <v>234</v>
      </c>
      <c r="T611" s="16">
        <f t="shared" si="1"/>
        <v>39490.53472</v>
      </c>
      <c r="U611" s="4" t="b">
        <f t="shared" si="2"/>
        <v>1</v>
      </c>
      <c r="V611" s="4" t="b">
        <f t="shared" si="3"/>
        <v>1</v>
      </c>
      <c r="W611" s="4" t="str">
        <f t="shared" si="8"/>
        <v>Distance/Location</v>
      </c>
      <c r="X611" s="4" t="str">
        <f t="shared" si="4"/>
        <v>mwc</v>
      </c>
      <c r="Y611" s="4">
        <f t="shared" si="5"/>
        <v>1</v>
      </c>
      <c r="Z611" s="4" t="str">
        <f t="shared" si="6"/>
        <v>Unique</v>
      </c>
      <c r="AA611" s="4" t="str">
        <f t="shared" si="7"/>
        <v>Valid</v>
      </c>
    </row>
    <row r="612">
      <c r="A612" s="3" t="s">
        <v>1464</v>
      </c>
      <c r="B612" s="3">
        <v>6.6</v>
      </c>
      <c r="C612" s="3" t="s">
        <v>1465</v>
      </c>
      <c r="D612" s="3">
        <v>7.0</v>
      </c>
      <c r="E612" s="3">
        <v>6.0</v>
      </c>
      <c r="F612" s="4"/>
      <c r="G612" s="3">
        <v>0.0</v>
      </c>
      <c r="H612" s="3">
        <v>808.0</v>
      </c>
      <c r="I612" s="3" t="s">
        <v>110</v>
      </c>
      <c r="J612" s="3">
        <v>461.0</v>
      </c>
      <c r="K612" s="3">
        <v>0.0</v>
      </c>
      <c r="L612" s="3">
        <v>18.8</v>
      </c>
      <c r="M612" s="3" t="s">
        <v>204</v>
      </c>
      <c r="N612" s="3">
        <v>20.0</v>
      </c>
      <c r="O612" s="3">
        <v>-39.011</v>
      </c>
      <c r="P612" s="3">
        <v>178.291</v>
      </c>
      <c r="Q612" s="3" t="s">
        <v>387</v>
      </c>
      <c r="R612" s="4"/>
      <c r="S612" s="4"/>
      <c r="T612" s="16">
        <f t="shared" si="1"/>
        <v>39436.32986</v>
      </c>
      <c r="U612" s="4" t="b">
        <f t="shared" si="2"/>
        <v>1</v>
      </c>
      <c r="V612" s="4" t="b">
        <f t="shared" si="3"/>
        <v>0</v>
      </c>
      <c r="W612" s="4" t="str">
        <f t="shared" si="8"/>
        <v>Distance/Location</v>
      </c>
      <c r="X612" s="4" t="str">
        <f t="shared" si="4"/>
        <v>mwc</v>
      </c>
      <c r="Y612" s="4">
        <f t="shared" si="5"/>
        <v>1</v>
      </c>
      <c r="Z612" s="4" t="str">
        <f t="shared" si="6"/>
        <v>Unique</v>
      </c>
      <c r="AA612" s="4" t="str">
        <f t="shared" si="7"/>
        <v>Valid</v>
      </c>
    </row>
    <row r="613">
      <c r="A613" s="3" t="s">
        <v>1466</v>
      </c>
      <c r="B613" s="3">
        <v>6.7</v>
      </c>
      <c r="C613" s="3" t="s">
        <v>1467</v>
      </c>
      <c r="D613" s="3">
        <v>5.0</v>
      </c>
      <c r="E613" s="3">
        <v>7.0</v>
      </c>
      <c r="F613" s="4"/>
      <c r="G613" s="3">
        <v>0.0</v>
      </c>
      <c r="H613" s="3">
        <v>704.0</v>
      </c>
      <c r="I613" s="3" t="s">
        <v>110</v>
      </c>
      <c r="J613" s="3">
        <v>481.0</v>
      </c>
      <c r="K613" s="3">
        <v>0.0</v>
      </c>
      <c r="L613" s="3">
        <v>30.3</v>
      </c>
      <c r="M613" s="3" t="s">
        <v>224</v>
      </c>
      <c r="N613" s="3">
        <v>45.0</v>
      </c>
      <c r="O613" s="3">
        <v>-22.954</v>
      </c>
      <c r="P613" s="3">
        <v>-70.182</v>
      </c>
      <c r="Q613" s="3" t="s">
        <v>1468</v>
      </c>
      <c r="R613" s="3" t="s">
        <v>121</v>
      </c>
      <c r="S613" s="3" t="s">
        <v>414</v>
      </c>
      <c r="T613" s="16">
        <f t="shared" si="1"/>
        <v>39432.33958</v>
      </c>
      <c r="U613" s="4" t="b">
        <f t="shared" si="2"/>
        <v>1</v>
      </c>
      <c r="V613" s="4" t="b">
        <f t="shared" si="3"/>
        <v>0</v>
      </c>
      <c r="W613" s="4" t="str">
        <f t="shared" si="8"/>
        <v>Distance/Location</v>
      </c>
      <c r="X613" s="4" t="str">
        <f t="shared" si="4"/>
        <v>mwb</v>
      </c>
      <c r="Y613" s="4">
        <f t="shared" si="5"/>
        <v>1</v>
      </c>
      <c r="Z613" s="4" t="str">
        <f t="shared" si="6"/>
        <v>Unique</v>
      </c>
      <c r="AA613" s="4" t="str">
        <f t="shared" si="7"/>
        <v>Valid</v>
      </c>
    </row>
    <row r="614">
      <c r="A614" s="3" t="s">
        <v>1469</v>
      </c>
      <c r="B614" s="3">
        <v>7.4</v>
      </c>
      <c r="C614" s="3" t="s">
        <v>1470</v>
      </c>
      <c r="D614" s="3">
        <v>7.0</v>
      </c>
      <c r="E614" s="3">
        <v>7.0</v>
      </c>
      <c r="F614" s="4"/>
      <c r="G614" s="3">
        <v>0.0</v>
      </c>
      <c r="H614" s="3">
        <v>1542.0</v>
      </c>
      <c r="I614" s="3" t="s">
        <v>110</v>
      </c>
      <c r="J614" s="3">
        <v>663.0</v>
      </c>
      <c r="K614" s="3">
        <v>0.0</v>
      </c>
      <c r="L614" s="3">
        <v>13.4</v>
      </c>
      <c r="M614" s="3" t="s">
        <v>224</v>
      </c>
      <c r="N614" s="3">
        <v>156.0</v>
      </c>
      <c r="O614" s="3">
        <v>14.944</v>
      </c>
      <c r="P614" s="3">
        <v>-61.274</v>
      </c>
      <c r="Q614" s="3" t="s">
        <v>1471</v>
      </c>
      <c r="R614" s="4"/>
      <c r="S614" s="3" t="s">
        <v>1472</v>
      </c>
      <c r="T614" s="16">
        <f t="shared" si="1"/>
        <v>39415.79167</v>
      </c>
      <c r="U614" s="4" t="b">
        <f t="shared" si="2"/>
        <v>1</v>
      </c>
      <c r="V614" s="4" t="b">
        <f t="shared" si="3"/>
        <v>0</v>
      </c>
      <c r="W614" s="4" t="str">
        <f t="shared" si="8"/>
        <v>Distance/Location</v>
      </c>
      <c r="X614" s="4" t="str">
        <f t="shared" si="4"/>
        <v>mwb</v>
      </c>
      <c r="Y614" s="4">
        <f t="shared" si="5"/>
        <v>1</v>
      </c>
      <c r="Z614" s="4" t="str">
        <f t="shared" si="6"/>
        <v>Unique</v>
      </c>
      <c r="AA614" s="4" t="str">
        <f t="shared" si="7"/>
        <v>Valid</v>
      </c>
    </row>
    <row r="615">
      <c r="A615" s="3" t="s">
        <v>1473</v>
      </c>
      <c r="B615" s="3">
        <v>6.6</v>
      </c>
      <c r="C615" s="3" t="s">
        <v>1474</v>
      </c>
      <c r="D615" s="3">
        <v>3.0</v>
      </c>
      <c r="E615" s="3">
        <v>6.0</v>
      </c>
      <c r="F615" s="4"/>
      <c r="G615" s="3">
        <v>0.0</v>
      </c>
      <c r="H615" s="3">
        <v>672.0</v>
      </c>
      <c r="I615" s="3" t="s">
        <v>110</v>
      </c>
      <c r="J615" s="3">
        <v>280.0</v>
      </c>
      <c r="K615" s="3">
        <v>0.0</v>
      </c>
      <c r="L615" s="3">
        <v>26.9</v>
      </c>
      <c r="M615" s="3" t="s">
        <v>204</v>
      </c>
      <c r="N615" s="3">
        <v>16.0</v>
      </c>
      <c r="O615" s="3">
        <v>-10.95</v>
      </c>
      <c r="P615" s="3">
        <v>162.149</v>
      </c>
      <c r="Q615" s="3" t="s">
        <v>595</v>
      </c>
      <c r="R615" s="4"/>
      <c r="S615" s="3" t="s">
        <v>214</v>
      </c>
      <c r="T615" s="16">
        <f t="shared" si="1"/>
        <v>39413.49236</v>
      </c>
      <c r="U615" s="4" t="b">
        <f t="shared" si="2"/>
        <v>1</v>
      </c>
      <c r="V615" s="4" t="b">
        <f t="shared" si="3"/>
        <v>0</v>
      </c>
      <c r="W615" s="4" t="str">
        <f t="shared" si="8"/>
        <v>Distance/Location</v>
      </c>
      <c r="X615" s="4" t="str">
        <f t="shared" si="4"/>
        <v>mwc</v>
      </c>
      <c r="Y615" s="4">
        <f t="shared" si="5"/>
        <v>1</v>
      </c>
      <c r="Z615" s="4" t="str">
        <f t="shared" si="6"/>
        <v>Unique</v>
      </c>
      <c r="AA615" s="4" t="str">
        <f t="shared" si="7"/>
        <v>Valid</v>
      </c>
    </row>
    <row r="616">
      <c r="A616" s="3" t="s">
        <v>1475</v>
      </c>
      <c r="B616" s="3">
        <v>6.5</v>
      </c>
      <c r="C616" s="3" t="s">
        <v>1476</v>
      </c>
      <c r="D616" s="3">
        <v>5.0</v>
      </c>
      <c r="E616" s="3">
        <v>7.0</v>
      </c>
      <c r="F616" s="4"/>
      <c r="G616" s="3">
        <v>0.0</v>
      </c>
      <c r="H616" s="3">
        <v>653.0</v>
      </c>
      <c r="I616" s="3" t="s">
        <v>110</v>
      </c>
      <c r="J616" s="3">
        <v>272.0</v>
      </c>
      <c r="K616" s="3">
        <v>0.0</v>
      </c>
      <c r="L616" s="3">
        <v>27.6</v>
      </c>
      <c r="M616" s="3" t="s">
        <v>204</v>
      </c>
      <c r="N616" s="3">
        <v>18.0</v>
      </c>
      <c r="O616" s="3">
        <v>-8.224</v>
      </c>
      <c r="P616" s="3">
        <v>118.467</v>
      </c>
      <c r="Q616" s="3" t="s">
        <v>1477</v>
      </c>
      <c r="R616" s="4"/>
      <c r="S616" s="3" t="s">
        <v>153</v>
      </c>
      <c r="T616" s="16">
        <f t="shared" si="1"/>
        <v>39411.82847</v>
      </c>
      <c r="U616" s="4" t="b">
        <f t="shared" si="2"/>
        <v>1</v>
      </c>
      <c r="V616" s="4" t="b">
        <f t="shared" si="3"/>
        <v>0</v>
      </c>
      <c r="W616" s="4" t="str">
        <f t="shared" si="8"/>
        <v>Distance/Location</v>
      </c>
      <c r="X616" s="4" t="str">
        <f t="shared" si="4"/>
        <v>mwc</v>
      </c>
      <c r="Y616" s="4">
        <f t="shared" si="5"/>
        <v>1</v>
      </c>
      <c r="Z616" s="4" t="str">
        <f t="shared" si="6"/>
        <v>Unique</v>
      </c>
      <c r="AA616" s="4" t="str">
        <f t="shared" si="7"/>
        <v>Valid</v>
      </c>
    </row>
    <row r="617">
      <c r="A617" s="3" t="s">
        <v>1478</v>
      </c>
      <c r="B617" s="3">
        <v>6.5</v>
      </c>
      <c r="C617" s="3" t="s">
        <v>1479</v>
      </c>
      <c r="D617" s="3">
        <v>7.0</v>
      </c>
      <c r="E617" s="3">
        <v>7.0</v>
      </c>
      <c r="F617" s="4"/>
      <c r="G617" s="3">
        <v>0.0</v>
      </c>
      <c r="H617" s="3">
        <v>657.0</v>
      </c>
      <c r="I617" s="3" t="s">
        <v>110</v>
      </c>
      <c r="J617" s="3">
        <v>353.0</v>
      </c>
      <c r="K617" s="3">
        <v>0.0</v>
      </c>
      <c r="L617" s="3">
        <v>27.5</v>
      </c>
      <c r="M617" s="3" t="s">
        <v>204</v>
      </c>
      <c r="N617" s="3">
        <v>20.0</v>
      </c>
      <c r="O617" s="3">
        <v>-8.292</v>
      </c>
      <c r="P617" s="3">
        <v>118.37</v>
      </c>
      <c r="Q617" s="3" t="s">
        <v>1477</v>
      </c>
      <c r="R617" s="4"/>
      <c r="S617" s="3" t="s">
        <v>153</v>
      </c>
      <c r="T617" s="16">
        <f t="shared" si="1"/>
        <v>39411.66806</v>
      </c>
      <c r="U617" s="4" t="b">
        <f t="shared" si="2"/>
        <v>1</v>
      </c>
      <c r="V617" s="4" t="b">
        <f t="shared" si="3"/>
        <v>0</v>
      </c>
      <c r="W617" s="4" t="str">
        <f t="shared" si="8"/>
        <v>Distance/Location</v>
      </c>
      <c r="X617" s="4" t="str">
        <f t="shared" si="4"/>
        <v>mwc</v>
      </c>
      <c r="Y617" s="4">
        <f t="shared" si="5"/>
        <v>1</v>
      </c>
      <c r="Z617" s="4" t="str">
        <f t="shared" si="6"/>
        <v>Unique</v>
      </c>
      <c r="AA617" s="4" t="str">
        <f t="shared" si="7"/>
        <v>Valid</v>
      </c>
    </row>
    <row r="618">
      <c r="A618" s="3" t="s">
        <v>1480</v>
      </c>
      <c r="B618" s="3">
        <v>6.8</v>
      </c>
      <c r="C618" s="3" t="s">
        <v>1481</v>
      </c>
      <c r="D618" s="3">
        <v>6.0</v>
      </c>
      <c r="E618" s="3">
        <v>6.0</v>
      </c>
      <c r="F618" s="4"/>
      <c r="G618" s="3">
        <v>0.0</v>
      </c>
      <c r="H618" s="3">
        <v>722.0</v>
      </c>
      <c r="I618" s="3" t="s">
        <v>110</v>
      </c>
      <c r="J618" s="3">
        <v>341.0</v>
      </c>
      <c r="K618" s="3">
        <v>0.0</v>
      </c>
      <c r="L618" s="3">
        <v>15.9</v>
      </c>
      <c r="M618" s="3" t="s">
        <v>204</v>
      </c>
      <c r="N618" s="3">
        <v>53.0</v>
      </c>
      <c r="O618" s="3">
        <v>-5.757</v>
      </c>
      <c r="P618" s="3">
        <v>147.098</v>
      </c>
      <c r="Q618" s="3" t="s">
        <v>1185</v>
      </c>
      <c r="R618" s="4"/>
      <c r="S618" s="3" t="s">
        <v>168</v>
      </c>
      <c r="T618" s="16">
        <f t="shared" si="1"/>
        <v>39408.36667</v>
      </c>
      <c r="U618" s="4" t="b">
        <f t="shared" si="2"/>
        <v>1</v>
      </c>
      <c r="V618" s="4" t="b">
        <f t="shared" si="3"/>
        <v>0</v>
      </c>
      <c r="W618" s="4" t="str">
        <f t="shared" si="8"/>
        <v>Distance/Location</v>
      </c>
      <c r="X618" s="4" t="str">
        <f t="shared" si="4"/>
        <v>mwc</v>
      </c>
      <c r="Y618" s="4">
        <f t="shared" si="5"/>
        <v>1</v>
      </c>
      <c r="Z618" s="4" t="str">
        <f t="shared" si="6"/>
        <v>Unique</v>
      </c>
      <c r="AA618" s="4" t="str">
        <f t="shared" si="7"/>
        <v>Valid</v>
      </c>
    </row>
    <row r="619">
      <c r="A619" s="3" t="s">
        <v>1482</v>
      </c>
      <c r="B619" s="3">
        <v>6.8</v>
      </c>
      <c r="C619" s="3" t="s">
        <v>1483</v>
      </c>
      <c r="D619" s="3">
        <v>7.0</v>
      </c>
      <c r="E619" s="3">
        <v>6.0</v>
      </c>
      <c r="F619" s="4"/>
      <c r="G619" s="3">
        <v>0.0</v>
      </c>
      <c r="H619" s="3">
        <v>790.0</v>
      </c>
      <c r="I619" s="3" t="s">
        <v>110</v>
      </c>
      <c r="J619" s="3">
        <v>649.0</v>
      </c>
      <c r="K619" s="3">
        <v>0.0</v>
      </c>
      <c r="L619" s="3">
        <v>27.0</v>
      </c>
      <c r="M619" s="3" t="s">
        <v>204</v>
      </c>
      <c r="N619" s="3">
        <v>122.9</v>
      </c>
      <c r="O619" s="3">
        <v>-2.312</v>
      </c>
      <c r="P619" s="3">
        <v>-77.838</v>
      </c>
      <c r="Q619" s="3" t="s">
        <v>1484</v>
      </c>
      <c r="R619" s="3" t="s">
        <v>121</v>
      </c>
      <c r="S619" s="3" t="s">
        <v>179</v>
      </c>
      <c r="T619" s="16">
        <f t="shared" si="1"/>
        <v>39402.13403</v>
      </c>
      <c r="U619" s="4" t="b">
        <f t="shared" si="2"/>
        <v>1</v>
      </c>
      <c r="V619" s="4" t="b">
        <f t="shared" si="3"/>
        <v>0</v>
      </c>
      <c r="W619" s="4" t="str">
        <f t="shared" si="8"/>
        <v>Distance/Location</v>
      </c>
      <c r="X619" s="4" t="str">
        <f t="shared" si="4"/>
        <v>mwc</v>
      </c>
      <c r="Y619" s="4">
        <f t="shared" si="5"/>
        <v>1</v>
      </c>
      <c r="Z619" s="4" t="str">
        <f t="shared" si="6"/>
        <v>Unique</v>
      </c>
      <c r="AA619" s="4" t="str">
        <f t="shared" si="7"/>
        <v>Valid</v>
      </c>
    </row>
    <row r="620">
      <c r="A620" s="3" t="s">
        <v>1485</v>
      </c>
      <c r="B620" s="3">
        <v>6.8</v>
      </c>
      <c r="C620" s="3" t="s">
        <v>1486</v>
      </c>
      <c r="D620" s="3">
        <v>6.0</v>
      </c>
      <c r="E620" s="3">
        <v>7.0</v>
      </c>
      <c r="F620" s="4"/>
      <c r="G620" s="3">
        <v>0.0</v>
      </c>
      <c r="H620" s="3">
        <v>716.0</v>
      </c>
      <c r="I620" s="3" t="s">
        <v>110</v>
      </c>
      <c r="J620" s="3">
        <v>285.0</v>
      </c>
      <c r="K620" s="3">
        <v>0.0</v>
      </c>
      <c r="L620" s="3">
        <v>40.1</v>
      </c>
      <c r="M620" s="3" t="s">
        <v>204</v>
      </c>
      <c r="N620" s="3">
        <v>26.0</v>
      </c>
      <c r="O620" s="3">
        <v>-22.925</v>
      </c>
      <c r="P620" s="3">
        <v>-70.237</v>
      </c>
      <c r="Q620" s="3" t="s">
        <v>1468</v>
      </c>
      <c r="R620" s="3" t="s">
        <v>121</v>
      </c>
      <c r="S620" s="3" t="s">
        <v>414</v>
      </c>
      <c r="T620" s="16">
        <f t="shared" si="1"/>
        <v>39401.62847</v>
      </c>
      <c r="U620" s="4" t="b">
        <f t="shared" si="2"/>
        <v>1</v>
      </c>
      <c r="V620" s="4" t="b">
        <f t="shared" si="3"/>
        <v>0</v>
      </c>
      <c r="W620" s="4" t="str">
        <f t="shared" si="8"/>
        <v>Distance/Location</v>
      </c>
      <c r="X620" s="4" t="str">
        <f t="shared" si="4"/>
        <v>mwc</v>
      </c>
      <c r="Y620" s="4">
        <f t="shared" si="5"/>
        <v>1</v>
      </c>
      <c r="Z620" s="4" t="str">
        <f t="shared" si="6"/>
        <v>Unique</v>
      </c>
      <c r="AA620" s="4" t="str">
        <f t="shared" si="7"/>
        <v>Valid</v>
      </c>
    </row>
    <row r="621">
      <c r="A621" s="3" t="s">
        <v>1487</v>
      </c>
      <c r="B621" s="3">
        <v>7.7</v>
      </c>
      <c r="C621" s="3" t="s">
        <v>1488</v>
      </c>
      <c r="D621" s="3">
        <v>8.0</v>
      </c>
      <c r="E621" s="3">
        <v>7.0</v>
      </c>
      <c r="F621" s="4"/>
      <c r="G621" s="3">
        <v>0.0</v>
      </c>
      <c r="H621" s="3">
        <v>995.0</v>
      </c>
      <c r="I621" s="3" t="s">
        <v>110</v>
      </c>
      <c r="J621" s="3">
        <v>610.0</v>
      </c>
      <c r="K621" s="3">
        <v>0.0</v>
      </c>
      <c r="L621" s="3">
        <v>22.4</v>
      </c>
      <c r="M621" s="3" t="s">
        <v>204</v>
      </c>
      <c r="N621" s="3">
        <v>40.0</v>
      </c>
      <c r="O621" s="3">
        <v>-22.247</v>
      </c>
      <c r="P621" s="3">
        <v>-69.89</v>
      </c>
      <c r="Q621" s="3" t="s">
        <v>1489</v>
      </c>
      <c r="R621" s="3" t="s">
        <v>121</v>
      </c>
      <c r="S621" s="3" t="s">
        <v>414</v>
      </c>
      <c r="T621" s="16">
        <f t="shared" si="1"/>
        <v>39400.65278</v>
      </c>
      <c r="U621" s="4" t="b">
        <f t="shared" si="2"/>
        <v>1</v>
      </c>
      <c r="V621" s="4" t="b">
        <f t="shared" si="3"/>
        <v>0</v>
      </c>
      <c r="W621" s="4" t="str">
        <f t="shared" si="8"/>
        <v>Distance/Location</v>
      </c>
      <c r="X621" s="4" t="str">
        <f t="shared" si="4"/>
        <v>mwc</v>
      </c>
      <c r="Y621" s="4">
        <f t="shared" si="5"/>
        <v>1</v>
      </c>
      <c r="Z621" s="4" t="str">
        <f t="shared" si="6"/>
        <v>Unique</v>
      </c>
      <c r="AA621" s="4" t="str">
        <f t="shared" si="7"/>
        <v>Valid</v>
      </c>
    </row>
    <row r="622">
      <c r="A622" s="3" t="s">
        <v>1490</v>
      </c>
      <c r="B622" s="3">
        <v>6.8</v>
      </c>
      <c r="C622" s="3" t="s">
        <v>1491</v>
      </c>
      <c r="D622" s="3">
        <v>3.0</v>
      </c>
      <c r="E622" s="3">
        <v>5.0</v>
      </c>
      <c r="F622" s="4"/>
      <c r="G622" s="3">
        <v>0.0</v>
      </c>
      <c r="H622" s="3">
        <v>713.0</v>
      </c>
      <c r="I622" s="3" t="s">
        <v>110</v>
      </c>
      <c r="J622" s="3">
        <v>494.0</v>
      </c>
      <c r="K622" s="3">
        <v>0.0</v>
      </c>
      <c r="L622" s="3">
        <v>23.9</v>
      </c>
      <c r="M622" s="3" t="s">
        <v>204</v>
      </c>
      <c r="N622" s="3">
        <v>21.0</v>
      </c>
      <c r="O622" s="3">
        <v>-3.899</v>
      </c>
      <c r="P622" s="3">
        <v>101.02</v>
      </c>
      <c r="Q622" s="3" t="s">
        <v>217</v>
      </c>
      <c r="R622" s="4"/>
      <c r="S622" s="3" t="s">
        <v>153</v>
      </c>
      <c r="T622" s="16">
        <f t="shared" si="1"/>
        <v>39379.87639</v>
      </c>
      <c r="U622" s="4" t="b">
        <f t="shared" si="2"/>
        <v>1</v>
      </c>
      <c r="V622" s="4" t="b">
        <f t="shared" si="3"/>
        <v>0</v>
      </c>
      <c r="W622" s="4" t="str">
        <f t="shared" si="8"/>
        <v>Distance/Location</v>
      </c>
      <c r="X622" s="4" t="str">
        <f t="shared" si="4"/>
        <v>mwc</v>
      </c>
      <c r="Y622" s="4">
        <f t="shared" si="5"/>
        <v>1</v>
      </c>
      <c r="Z622" s="4" t="str">
        <f t="shared" si="6"/>
        <v>Unique</v>
      </c>
      <c r="AA622" s="4" t="str">
        <f t="shared" si="7"/>
        <v>Valid</v>
      </c>
    </row>
    <row r="623">
      <c r="A623" s="3" t="s">
        <v>1492</v>
      </c>
      <c r="B623" s="3">
        <v>6.8</v>
      </c>
      <c r="C623" s="3" t="s">
        <v>1493</v>
      </c>
      <c r="D623" s="3">
        <v>4.0</v>
      </c>
      <c r="E623" s="3">
        <v>7.0</v>
      </c>
      <c r="F623" s="4"/>
      <c r="G623" s="3">
        <v>0.0</v>
      </c>
      <c r="H623" s="3">
        <v>744.0</v>
      </c>
      <c r="I623" s="3" t="s">
        <v>110</v>
      </c>
      <c r="J623" s="3">
        <v>338.0</v>
      </c>
      <c r="K623" s="3">
        <v>0.0</v>
      </c>
      <c r="L623" s="3">
        <v>19.0</v>
      </c>
      <c r="M623" s="3" t="s">
        <v>204</v>
      </c>
      <c r="N623" s="3">
        <v>18.0</v>
      </c>
      <c r="O623" s="3">
        <v>-44.796</v>
      </c>
      <c r="P623" s="3">
        <v>167.553</v>
      </c>
      <c r="Q623" s="3" t="s">
        <v>1398</v>
      </c>
      <c r="R623" s="4"/>
      <c r="S623" s="3" t="s">
        <v>759</v>
      </c>
      <c r="T623" s="16">
        <f t="shared" si="1"/>
        <v>39370.52014</v>
      </c>
      <c r="U623" s="4" t="b">
        <f t="shared" si="2"/>
        <v>1</v>
      </c>
      <c r="V623" s="4" t="b">
        <f t="shared" si="3"/>
        <v>0</v>
      </c>
      <c r="W623" s="4" t="str">
        <f t="shared" si="8"/>
        <v>Distance/Location</v>
      </c>
      <c r="X623" s="4" t="str">
        <f t="shared" si="4"/>
        <v>mwc</v>
      </c>
      <c r="Y623" s="4">
        <f t="shared" si="5"/>
        <v>1</v>
      </c>
      <c r="Z623" s="4" t="str">
        <f t="shared" si="6"/>
        <v>Unique</v>
      </c>
      <c r="AA623" s="4" t="str">
        <f t="shared" si="7"/>
        <v>Valid</v>
      </c>
    </row>
    <row r="624">
      <c r="A624" s="3" t="s">
        <v>1494</v>
      </c>
      <c r="B624" s="3">
        <v>6.8</v>
      </c>
      <c r="C624" s="3" t="s">
        <v>1495</v>
      </c>
      <c r="D624" s="3">
        <v>4.0</v>
      </c>
      <c r="E624" s="3">
        <v>5.0</v>
      </c>
      <c r="F624" s="4"/>
      <c r="G624" s="3">
        <v>0.0</v>
      </c>
      <c r="H624" s="3">
        <v>713.0</v>
      </c>
      <c r="I624" s="3" t="s">
        <v>110</v>
      </c>
      <c r="J624" s="3">
        <v>348.0</v>
      </c>
      <c r="K624" s="3">
        <v>0.0</v>
      </c>
      <c r="L624" s="3">
        <v>15.5</v>
      </c>
      <c r="M624" s="3" t="s">
        <v>204</v>
      </c>
      <c r="N624" s="3">
        <v>40.0</v>
      </c>
      <c r="O624" s="3">
        <v>-4.99</v>
      </c>
      <c r="P624" s="3">
        <v>153.5</v>
      </c>
      <c r="Q624" s="3" t="s">
        <v>633</v>
      </c>
      <c r="R624" s="4"/>
      <c r="S624" s="3" t="s">
        <v>168</v>
      </c>
      <c r="T624" s="16">
        <f t="shared" si="1"/>
        <v>39351.525</v>
      </c>
      <c r="U624" s="4" t="b">
        <f t="shared" si="2"/>
        <v>1</v>
      </c>
      <c r="V624" s="4" t="b">
        <f t="shared" si="3"/>
        <v>0</v>
      </c>
      <c r="W624" s="4" t="str">
        <f t="shared" si="8"/>
        <v>Distance/Location</v>
      </c>
      <c r="X624" s="4" t="str">
        <f t="shared" si="4"/>
        <v>mwc</v>
      </c>
      <c r="Y624" s="4">
        <f t="shared" si="5"/>
        <v>1</v>
      </c>
      <c r="Z624" s="4" t="str">
        <f t="shared" si="6"/>
        <v>Unique</v>
      </c>
      <c r="AA624" s="4" t="str">
        <f t="shared" si="7"/>
        <v>Valid</v>
      </c>
    </row>
    <row r="625">
      <c r="A625" s="3" t="s">
        <v>1496</v>
      </c>
      <c r="B625" s="3">
        <v>6.7</v>
      </c>
      <c r="C625" s="3" t="s">
        <v>1497</v>
      </c>
      <c r="D625" s="3">
        <v>3.0</v>
      </c>
      <c r="E625" s="3">
        <v>5.0</v>
      </c>
      <c r="F625" s="4"/>
      <c r="G625" s="3">
        <v>0.0</v>
      </c>
      <c r="H625" s="3">
        <v>696.0</v>
      </c>
      <c r="I625" s="3" t="s">
        <v>110</v>
      </c>
      <c r="J625" s="3">
        <v>503.0</v>
      </c>
      <c r="K625" s="3">
        <v>0.0</v>
      </c>
      <c r="L625" s="3">
        <v>26.9</v>
      </c>
      <c r="M625" s="3" t="s">
        <v>204</v>
      </c>
      <c r="N625" s="3">
        <v>30.0</v>
      </c>
      <c r="O625" s="3">
        <v>-1.999</v>
      </c>
      <c r="P625" s="3">
        <v>100.141</v>
      </c>
      <c r="Q625" s="3" t="s">
        <v>1388</v>
      </c>
      <c r="R625" s="4"/>
      <c r="S625" s="3" t="s">
        <v>153</v>
      </c>
      <c r="T625" s="16">
        <f t="shared" si="1"/>
        <v>39345.35486</v>
      </c>
      <c r="U625" s="4" t="b">
        <f t="shared" si="2"/>
        <v>1</v>
      </c>
      <c r="V625" s="4" t="b">
        <f t="shared" si="3"/>
        <v>0</v>
      </c>
      <c r="W625" s="4" t="str">
        <f t="shared" si="8"/>
        <v>Distance/Location</v>
      </c>
      <c r="X625" s="4" t="str">
        <f t="shared" si="4"/>
        <v>mwc</v>
      </c>
      <c r="Y625" s="4">
        <f t="shared" si="5"/>
        <v>1</v>
      </c>
      <c r="Z625" s="4" t="str">
        <f t="shared" si="6"/>
        <v>Unique</v>
      </c>
      <c r="AA625" s="4" t="str">
        <f t="shared" si="7"/>
        <v>Valid</v>
      </c>
    </row>
    <row r="626">
      <c r="A626" s="3" t="s">
        <v>1498</v>
      </c>
      <c r="B626" s="3">
        <v>7.0</v>
      </c>
      <c r="C626" s="3" t="s">
        <v>1499</v>
      </c>
      <c r="D626" s="3">
        <v>4.0</v>
      </c>
      <c r="E626" s="3">
        <v>7.0</v>
      </c>
      <c r="F626" s="4"/>
      <c r="G626" s="3">
        <v>0.0</v>
      </c>
      <c r="H626" s="3">
        <v>768.0</v>
      </c>
      <c r="I626" s="3" t="s">
        <v>110</v>
      </c>
      <c r="J626" s="3">
        <v>537.0</v>
      </c>
      <c r="K626" s="3">
        <v>0.0</v>
      </c>
      <c r="L626" s="3">
        <v>23.1</v>
      </c>
      <c r="M626" s="3" t="s">
        <v>204</v>
      </c>
      <c r="N626" s="3">
        <v>22.0</v>
      </c>
      <c r="O626" s="3">
        <v>-2.13</v>
      </c>
      <c r="P626" s="3">
        <v>99.627</v>
      </c>
      <c r="Q626" s="3" t="s">
        <v>1388</v>
      </c>
      <c r="R626" s="4"/>
      <c r="S626" s="3" t="s">
        <v>153</v>
      </c>
      <c r="T626" s="16">
        <f t="shared" si="1"/>
        <v>39338.14931</v>
      </c>
      <c r="U626" s="4" t="b">
        <f t="shared" si="2"/>
        <v>1</v>
      </c>
      <c r="V626" s="4" t="b">
        <f t="shared" si="3"/>
        <v>0</v>
      </c>
      <c r="W626" s="4" t="str">
        <f t="shared" si="8"/>
        <v>Distance/Location</v>
      </c>
      <c r="X626" s="4" t="str">
        <f t="shared" si="4"/>
        <v>mwc</v>
      </c>
      <c r="Y626" s="4">
        <f t="shared" si="5"/>
        <v>1</v>
      </c>
      <c r="Z626" s="4" t="str">
        <f t="shared" si="6"/>
        <v>Unique</v>
      </c>
      <c r="AA626" s="4" t="str">
        <f t="shared" si="7"/>
        <v>Valid</v>
      </c>
    </row>
    <row r="627">
      <c r="A627" s="3" t="s">
        <v>1500</v>
      </c>
      <c r="B627" s="3">
        <v>6.5</v>
      </c>
      <c r="C627" s="3" t="s">
        <v>1501</v>
      </c>
      <c r="D627" s="3">
        <v>0.0</v>
      </c>
      <c r="E627" s="3">
        <v>5.0</v>
      </c>
      <c r="F627" s="4"/>
      <c r="G627" s="3">
        <v>0.0</v>
      </c>
      <c r="H627" s="3">
        <v>650.0</v>
      </c>
      <c r="I627" s="3" t="s">
        <v>110</v>
      </c>
      <c r="J627" s="3">
        <v>409.0</v>
      </c>
      <c r="K627" s="3">
        <v>0.0</v>
      </c>
      <c r="L627" s="3">
        <v>26.2</v>
      </c>
      <c r="M627" s="3" t="s">
        <v>204</v>
      </c>
      <c r="N627" s="3">
        <v>28.9</v>
      </c>
      <c r="O627" s="3">
        <v>-1.689</v>
      </c>
      <c r="P627" s="3">
        <v>99.668</v>
      </c>
      <c r="Q627" s="3" t="s">
        <v>1502</v>
      </c>
      <c r="R627" s="4"/>
      <c r="S627" s="3" t="s">
        <v>153</v>
      </c>
      <c r="T627" s="16">
        <f t="shared" si="1"/>
        <v>39338.10417</v>
      </c>
      <c r="U627" s="4" t="b">
        <f t="shared" si="2"/>
        <v>1</v>
      </c>
      <c r="V627" s="4" t="b">
        <f t="shared" si="3"/>
        <v>0</v>
      </c>
      <c r="W627" s="4" t="str">
        <f t="shared" si="8"/>
        <v>Named Region</v>
      </c>
      <c r="X627" s="4" t="str">
        <f t="shared" si="4"/>
        <v>mwc</v>
      </c>
      <c r="Y627" s="4">
        <f t="shared" si="5"/>
        <v>1</v>
      </c>
      <c r="Z627" s="4" t="str">
        <f t="shared" si="6"/>
        <v>Unique</v>
      </c>
      <c r="AA627" s="4" t="str">
        <f t="shared" si="7"/>
        <v>Valid</v>
      </c>
    </row>
    <row r="628">
      <c r="A628" s="3" t="s">
        <v>1503</v>
      </c>
      <c r="B628" s="3">
        <v>7.9</v>
      </c>
      <c r="C628" s="17">
        <v>39425.99236111111</v>
      </c>
      <c r="D628" s="3">
        <v>8.0</v>
      </c>
      <c r="E628" s="3">
        <v>7.0</v>
      </c>
      <c r="F628" s="4"/>
      <c r="G628" s="3">
        <v>0.0</v>
      </c>
      <c r="H628" s="3">
        <v>1133.0</v>
      </c>
      <c r="I628" s="3" t="s">
        <v>110</v>
      </c>
      <c r="J628" s="3">
        <v>446.0</v>
      </c>
      <c r="K628" s="3">
        <v>0.0</v>
      </c>
      <c r="L628" s="3">
        <v>29.1</v>
      </c>
      <c r="M628" s="3" t="s">
        <v>204</v>
      </c>
      <c r="N628" s="3">
        <v>35.0</v>
      </c>
      <c r="O628" s="3">
        <v>-2.625</v>
      </c>
      <c r="P628" s="3">
        <v>100.841</v>
      </c>
      <c r="Q628" s="3" t="s">
        <v>791</v>
      </c>
      <c r="R628" s="4"/>
      <c r="S628" s="3" t="s">
        <v>153</v>
      </c>
      <c r="T628" s="16">
        <f t="shared" si="1"/>
        <v>39337.99236</v>
      </c>
      <c r="U628" s="4" t="b">
        <f t="shared" si="2"/>
        <v>1</v>
      </c>
      <c r="V628" s="4" t="b">
        <f t="shared" si="3"/>
        <v>1</v>
      </c>
      <c r="W628" s="4" t="str">
        <f t="shared" si="8"/>
        <v>Distance/Location</v>
      </c>
      <c r="X628" s="4" t="str">
        <f t="shared" si="4"/>
        <v>mwc</v>
      </c>
      <c r="Y628" s="4">
        <f t="shared" si="5"/>
        <v>1</v>
      </c>
      <c r="Z628" s="4" t="str">
        <f t="shared" si="6"/>
        <v>Unique</v>
      </c>
      <c r="AA628" s="4" t="str">
        <f t="shared" si="7"/>
        <v>Valid</v>
      </c>
    </row>
    <row r="629">
      <c r="A629" s="3" t="s">
        <v>1504</v>
      </c>
      <c r="B629" s="3">
        <v>7.8</v>
      </c>
      <c r="C629" s="17">
        <v>39425.99236111111</v>
      </c>
      <c r="D629" s="3">
        <v>7.0</v>
      </c>
      <c r="E629" s="3">
        <v>8.0</v>
      </c>
      <c r="F629" s="4"/>
      <c r="G629" s="3">
        <v>0.0</v>
      </c>
      <c r="H629" s="3">
        <v>1152.0</v>
      </c>
      <c r="I629" s="3" t="s">
        <v>1432</v>
      </c>
      <c r="J629" s="3">
        <v>0.0</v>
      </c>
      <c r="K629" s="3">
        <v>0.0</v>
      </c>
      <c r="L629" s="3">
        <v>0.0</v>
      </c>
      <c r="M629" s="3" t="s">
        <v>111</v>
      </c>
      <c r="N629" s="3">
        <v>40.5</v>
      </c>
      <c r="O629" s="3">
        <v>-2.52</v>
      </c>
      <c r="P629" s="3">
        <v>100.139</v>
      </c>
      <c r="Q629" s="3" t="s">
        <v>791</v>
      </c>
      <c r="R629" s="3" t="s">
        <v>164</v>
      </c>
      <c r="S629" s="3" t="s">
        <v>153</v>
      </c>
      <c r="T629" s="16">
        <f t="shared" si="1"/>
        <v>39337.99236</v>
      </c>
      <c r="U629" s="4" t="b">
        <f t="shared" si="2"/>
        <v>1</v>
      </c>
      <c r="V629" s="4" t="b">
        <f t="shared" si="3"/>
        <v>1</v>
      </c>
      <c r="W629" s="4" t="str">
        <f t="shared" si="8"/>
        <v>Distance/Location</v>
      </c>
      <c r="X629" s="4" t="str">
        <f t="shared" si="4"/>
        <v>mww</v>
      </c>
      <c r="Y629" s="4">
        <f t="shared" si="5"/>
        <v>1</v>
      </c>
      <c r="Z629" s="4" t="str">
        <f t="shared" si="6"/>
        <v>Unique</v>
      </c>
      <c r="AA629" s="4" t="str">
        <f t="shared" si="7"/>
        <v>Valid</v>
      </c>
    </row>
    <row r="630">
      <c r="A630" s="3" t="s">
        <v>1505</v>
      </c>
      <c r="B630" s="3">
        <v>8.4</v>
      </c>
      <c r="C630" s="17">
        <v>39425.46527777778</v>
      </c>
      <c r="D630" s="3">
        <v>0.0</v>
      </c>
      <c r="E630" s="3">
        <v>6.0</v>
      </c>
      <c r="F630" s="4"/>
      <c r="G630" s="3">
        <v>0.0</v>
      </c>
      <c r="H630" s="3">
        <v>1086.0</v>
      </c>
      <c r="I630" s="3" t="s">
        <v>1196</v>
      </c>
      <c r="J630" s="3">
        <v>411.0</v>
      </c>
      <c r="K630" s="3">
        <v>0.0</v>
      </c>
      <c r="L630" s="3">
        <v>32.3</v>
      </c>
      <c r="M630" s="3" t="s">
        <v>111</v>
      </c>
      <c r="N630" s="3">
        <v>34.0</v>
      </c>
      <c r="O630" s="3">
        <v>-4.438</v>
      </c>
      <c r="P630" s="3">
        <v>101.367</v>
      </c>
      <c r="Q630" s="3" t="s">
        <v>217</v>
      </c>
      <c r="R630" s="4"/>
      <c r="S630" s="3" t="s">
        <v>153</v>
      </c>
      <c r="T630" s="16">
        <f t="shared" si="1"/>
        <v>39337.46528</v>
      </c>
      <c r="U630" s="4" t="b">
        <f t="shared" si="2"/>
        <v>1</v>
      </c>
      <c r="V630" s="4" t="b">
        <f t="shared" si="3"/>
        <v>1</v>
      </c>
      <c r="W630" s="4" t="str">
        <f t="shared" si="8"/>
        <v>Distance/Location</v>
      </c>
      <c r="X630" s="4" t="str">
        <f t="shared" si="4"/>
        <v>mww</v>
      </c>
      <c r="Y630" s="4">
        <f t="shared" si="5"/>
        <v>1</v>
      </c>
      <c r="Z630" s="4" t="str">
        <f t="shared" si="6"/>
        <v>Unique</v>
      </c>
      <c r="AA630" s="4" t="str">
        <f t="shared" si="7"/>
        <v>Valid</v>
      </c>
    </row>
    <row r="631">
      <c r="A631" s="3" t="s">
        <v>1506</v>
      </c>
      <c r="B631" s="3">
        <v>6.8</v>
      </c>
      <c r="C631" s="17">
        <v>39364.075694444444</v>
      </c>
      <c r="D631" s="3">
        <v>5.0</v>
      </c>
      <c r="E631" s="3">
        <v>6.0</v>
      </c>
      <c r="F631" s="4"/>
      <c r="G631" s="3">
        <v>0.0</v>
      </c>
      <c r="H631" s="3">
        <v>747.0</v>
      </c>
      <c r="I631" s="3" t="s">
        <v>110</v>
      </c>
      <c r="J631" s="3">
        <v>653.0</v>
      </c>
      <c r="K631" s="3">
        <v>0.0</v>
      </c>
      <c r="L631" s="3">
        <v>17.6</v>
      </c>
      <c r="M631" s="3" t="s">
        <v>204</v>
      </c>
      <c r="N631" s="3">
        <v>15.0</v>
      </c>
      <c r="O631" s="3">
        <v>2.966</v>
      </c>
      <c r="P631" s="3">
        <v>-77.963</v>
      </c>
      <c r="Q631" s="3" t="s">
        <v>1507</v>
      </c>
      <c r="R631" s="4"/>
      <c r="S631" s="3" t="s">
        <v>140</v>
      </c>
      <c r="T631" s="16">
        <f t="shared" si="1"/>
        <v>39335.07569</v>
      </c>
      <c r="U631" s="4" t="b">
        <f t="shared" si="2"/>
        <v>1</v>
      </c>
      <c r="V631" s="4" t="b">
        <f t="shared" si="3"/>
        <v>1</v>
      </c>
      <c r="W631" s="4" t="str">
        <f t="shared" si="8"/>
        <v>Distance/Location</v>
      </c>
      <c r="X631" s="4" t="str">
        <f t="shared" si="4"/>
        <v>mwc</v>
      </c>
      <c r="Y631" s="4">
        <f t="shared" si="5"/>
        <v>1</v>
      </c>
      <c r="Z631" s="4" t="str">
        <f t="shared" si="6"/>
        <v>Unique</v>
      </c>
      <c r="AA631" s="4" t="str">
        <f t="shared" si="7"/>
        <v>Valid</v>
      </c>
    </row>
    <row r="632">
      <c r="A632" s="3" t="s">
        <v>1508</v>
      </c>
      <c r="B632" s="3">
        <v>7.2</v>
      </c>
      <c r="C632" s="17">
        <v>39122.04513888889</v>
      </c>
      <c r="D632" s="3">
        <v>0.0</v>
      </c>
      <c r="E632" s="3">
        <v>5.0</v>
      </c>
      <c r="F632" s="4"/>
      <c r="G632" s="3">
        <v>0.0</v>
      </c>
      <c r="H632" s="3">
        <v>798.0</v>
      </c>
      <c r="I632" s="3" t="s">
        <v>110</v>
      </c>
      <c r="J632" s="3">
        <v>312.0</v>
      </c>
      <c r="K632" s="3">
        <v>0.0</v>
      </c>
      <c r="L632" s="3">
        <v>21.3</v>
      </c>
      <c r="M632" s="3" t="s">
        <v>204</v>
      </c>
      <c r="N632" s="3">
        <v>35.0</v>
      </c>
      <c r="O632" s="3">
        <v>-11.61</v>
      </c>
      <c r="P632" s="3">
        <v>165.762</v>
      </c>
      <c r="Q632" s="3" t="s">
        <v>450</v>
      </c>
      <c r="R632" s="4"/>
      <c r="S632" s="4"/>
      <c r="T632" s="16">
        <f t="shared" si="1"/>
        <v>39327.04514</v>
      </c>
      <c r="U632" s="4" t="b">
        <f t="shared" si="2"/>
        <v>1</v>
      </c>
      <c r="V632" s="4" t="b">
        <f t="shared" si="3"/>
        <v>1</v>
      </c>
      <c r="W632" s="4" t="str">
        <f t="shared" si="8"/>
        <v>Distance/Location</v>
      </c>
      <c r="X632" s="4" t="str">
        <f t="shared" si="4"/>
        <v>mwc</v>
      </c>
      <c r="Y632" s="4">
        <f t="shared" si="5"/>
        <v>1</v>
      </c>
      <c r="Z632" s="4" t="str">
        <f t="shared" si="6"/>
        <v>Unique</v>
      </c>
      <c r="AA632" s="4" t="str">
        <f t="shared" si="7"/>
        <v>Valid</v>
      </c>
    </row>
    <row r="633">
      <c r="A633" s="3" t="s">
        <v>1509</v>
      </c>
      <c r="B633" s="3">
        <v>6.5</v>
      </c>
      <c r="C633" s="3" t="s">
        <v>1510</v>
      </c>
      <c r="D633" s="3">
        <v>5.0</v>
      </c>
      <c r="E633" s="3">
        <v>6.0</v>
      </c>
      <c r="F633" s="4"/>
      <c r="G633" s="3">
        <v>0.0</v>
      </c>
      <c r="H633" s="3">
        <v>675.0</v>
      </c>
      <c r="I633" s="3" t="s">
        <v>110</v>
      </c>
      <c r="J633" s="3">
        <v>382.0</v>
      </c>
      <c r="K633" s="3">
        <v>0.0</v>
      </c>
      <c r="L633" s="3">
        <v>12.8</v>
      </c>
      <c r="M633" s="3" t="s">
        <v>204</v>
      </c>
      <c r="N633" s="3">
        <v>15.0</v>
      </c>
      <c r="O633" s="3">
        <v>-9.834</v>
      </c>
      <c r="P633" s="3">
        <v>159.465</v>
      </c>
      <c r="Q633" s="3" t="s">
        <v>212</v>
      </c>
      <c r="R633" s="4"/>
      <c r="S633" s="4"/>
      <c r="T633" s="16">
        <f t="shared" si="1"/>
        <v>39310.36042</v>
      </c>
      <c r="U633" s="4" t="b">
        <f t="shared" si="2"/>
        <v>1</v>
      </c>
      <c r="V633" s="4" t="b">
        <f t="shared" si="3"/>
        <v>0</v>
      </c>
      <c r="W633" s="4" t="str">
        <f t="shared" si="8"/>
        <v>Distance/Location</v>
      </c>
      <c r="X633" s="4" t="str">
        <f t="shared" si="4"/>
        <v>mwc</v>
      </c>
      <c r="Y633" s="4">
        <f t="shared" si="5"/>
        <v>1</v>
      </c>
      <c r="Z633" s="4" t="str">
        <f t="shared" si="6"/>
        <v>Unique</v>
      </c>
      <c r="AA633" s="4" t="str">
        <f t="shared" si="7"/>
        <v>Valid</v>
      </c>
    </row>
    <row r="634">
      <c r="A634" s="3" t="s">
        <v>1511</v>
      </c>
      <c r="B634" s="3">
        <v>8.0</v>
      </c>
      <c r="C634" s="3" t="s">
        <v>1512</v>
      </c>
      <c r="D634" s="3">
        <v>9.0</v>
      </c>
      <c r="E634" s="3">
        <v>8.0</v>
      </c>
      <c r="F634" s="4"/>
      <c r="G634" s="3">
        <v>0.0</v>
      </c>
      <c r="H634" s="3">
        <v>1385.0</v>
      </c>
      <c r="I634" s="3" t="s">
        <v>110</v>
      </c>
      <c r="J634" s="3">
        <v>625.0</v>
      </c>
      <c r="K634" s="3">
        <v>0.0</v>
      </c>
      <c r="L634" s="3">
        <v>25.7</v>
      </c>
      <c r="M634" s="3" t="s">
        <v>204</v>
      </c>
      <c r="N634" s="3">
        <v>39.0</v>
      </c>
      <c r="O634" s="3">
        <v>-13.386</v>
      </c>
      <c r="P634" s="3">
        <v>-76.603</v>
      </c>
      <c r="Q634" s="3" t="s">
        <v>1513</v>
      </c>
      <c r="R634" s="4"/>
      <c r="S634" s="3" t="s">
        <v>265</v>
      </c>
      <c r="T634" s="16">
        <f t="shared" si="1"/>
        <v>39309.98611</v>
      </c>
      <c r="U634" s="4" t="b">
        <f t="shared" si="2"/>
        <v>1</v>
      </c>
      <c r="V634" s="4" t="b">
        <f t="shared" si="3"/>
        <v>0</v>
      </c>
      <c r="W634" s="4" t="str">
        <f t="shared" si="8"/>
        <v>Distance/Location</v>
      </c>
      <c r="X634" s="4" t="str">
        <f t="shared" si="4"/>
        <v>mwc</v>
      </c>
      <c r="Y634" s="4">
        <f t="shared" si="5"/>
        <v>1</v>
      </c>
      <c r="Z634" s="4" t="str">
        <f t="shared" si="6"/>
        <v>Unique</v>
      </c>
      <c r="AA634" s="4" t="str">
        <f t="shared" si="7"/>
        <v>Valid</v>
      </c>
    </row>
    <row r="635">
      <c r="A635" s="3" t="s">
        <v>1514</v>
      </c>
      <c r="B635" s="3">
        <v>7.5</v>
      </c>
      <c r="C635" s="17">
        <v>39302.711805555555</v>
      </c>
      <c r="D635" s="3">
        <v>0.0</v>
      </c>
      <c r="E635" s="3">
        <v>5.0</v>
      </c>
      <c r="F635" s="4"/>
      <c r="G635" s="3">
        <v>0.0</v>
      </c>
      <c r="H635" s="3">
        <v>865.0</v>
      </c>
      <c r="I635" s="3" t="s">
        <v>110</v>
      </c>
      <c r="J635" s="3">
        <v>228.0</v>
      </c>
      <c r="K635" s="3">
        <v>0.0</v>
      </c>
      <c r="L635" s="3">
        <v>30.7</v>
      </c>
      <c r="M635" s="3" t="s">
        <v>204</v>
      </c>
      <c r="N635" s="3">
        <v>280.0</v>
      </c>
      <c r="O635" s="3">
        <v>-5.859</v>
      </c>
      <c r="P635" s="3">
        <v>107.419</v>
      </c>
      <c r="Q635" s="3" t="s">
        <v>1515</v>
      </c>
      <c r="R635" s="4"/>
      <c r="S635" s="3" t="s">
        <v>153</v>
      </c>
      <c r="T635" s="16">
        <f t="shared" si="1"/>
        <v>39302.71181</v>
      </c>
      <c r="U635" s="4" t="b">
        <f t="shared" si="2"/>
        <v>1</v>
      </c>
      <c r="V635" s="4" t="b">
        <f t="shared" si="3"/>
        <v>1</v>
      </c>
      <c r="W635" s="4" t="str">
        <f t="shared" si="8"/>
        <v>Distance/Location</v>
      </c>
      <c r="X635" s="4" t="str">
        <f t="shared" si="4"/>
        <v>mwc</v>
      </c>
      <c r="Y635" s="4">
        <f t="shared" si="5"/>
        <v>1</v>
      </c>
      <c r="Z635" s="4" t="str">
        <f t="shared" si="6"/>
        <v>Unique</v>
      </c>
      <c r="AA635" s="4" t="str">
        <f t="shared" si="7"/>
        <v>Valid</v>
      </c>
    </row>
    <row r="636">
      <c r="A636" s="3" t="s">
        <v>1516</v>
      </c>
      <c r="B636" s="3">
        <v>7.2</v>
      </c>
      <c r="C636" s="17">
        <v>39090.71388888889</v>
      </c>
      <c r="D636" s="3">
        <v>7.0</v>
      </c>
      <c r="E636" s="3">
        <v>7.0</v>
      </c>
      <c r="F636" s="4"/>
      <c r="G636" s="3">
        <v>0.0</v>
      </c>
      <c r="H636" s="3">
        <v>803.0</v>
      </c>
      <c r="I636" s="3" t="s">
        <v>110</v>
      </c>
      <c r="J636" s="3">
        <v>494.0</v>
      </c>
      <c r="K636" s="3">
        <v>0.0</v>
      </c>
      <c r="L636" s="3">
        <v>20.4</v>
      </c>
      <c r="M636" s="3" t="s">
        <v>224</v>
      </c>
      <c r="N636" s="3">
        <v>120.0</v>
      </c>
      <c r="O636" s="3">
        <v>-15.595</v>
      </c>
      <c r="P636" s="3">
        <v>167.68</v>
      </c>
      <c r="Q636" s="3" t="s">
        <v>1517</v>
      </c>
      <c r="R636" s="4"/>
      <c r="S636" s="3" t="s">
        <v>113</v>
      </c>
      <c r="T636" s="16">
        <f t="shared" si="1"/>
        <v>39295.71389</v>
      </c>
      <c r="U636" s="4" t="b">
        <f t="shared" si="2"/>
        <v>1</v>
      </c>
      <c r="V636" s="4" t="b">
        <f t="shared" si="3"/>
        <v>1</v>
      </c>
      <c r="W636" s="4" t="str">
        <f t="shared" si="8"/>
        <v>Distance/Location</v>
      </c>
      <c r="X636" s="4" t="str">
        <f t="shared" si="4"/>
        <v>mwb</v>
      </c>
      <c r="Y636" s="4">
        <f t="shared" si="5"/>
        <v>1</v>
      </c>
      <c r="Z636" s="4" t="str">
        <f t="shared" si="6"/>
        <v>Unique</v>
      </c>
      <c r="AA636" s="4" t="str">
        <f t="shared" si="7"/>
        <v>Valid</v>
      </c>
    </row>
    <row r="637">
      <c r="A637" s="3" t="s">
        <v>1518</v>
      </c>
      <c r="B637" s="3">
        <v>6.9</v>
      </c>
      <c r="C637" s="3" t="s">
        <v>1519</v>
      </c>
      <c r="D637" s="3">
        <v>3.0</v>
      </c>
      <c r="E637" s="3">
        <v>5.0</v>
      </c>
      <c r="F637" s="4"/>
      <c r="G637" s="3">
        <v>0.0</v>
      </c>
      <c r="H637" s="3">
        <v>734.0</v>
      </c>
      <c r="I637" s="3" t="s">
        <v>110</v>
      </c>
      <c r="J637" s="3">
        <v>374.0</v>
      </c>
      <c r="K637" s="3">
        <v>0.0</v>
      </c>
      <c r="L637" s="3">
        <v>24.1</v>
      </c>
      <c r="M637" s="3" t="s">
        <v>224</v>
      </c>
      <c r="N637" s="3">
        <v>25.0</v>
      </c>
      <c r="O637" s="3">
        <v>2.872</v>
      </c>
      <c r="P637" s="3">
        <v>127.464</v>
      </c>
      <c r="Q637" s="3" t="s">
        <v>205</v>
      </c>
      <c r="R637" s="4"/>
      <c r="S637" s="3" t="s">
        <v>153</v>
      </c>
      <c r="T637" s="16">
        <f t="shared" si="1"/>
        <v>39289.23611</v>
      </c>
      <c r="U637" s="4" t="b">
        <f t="shared" si="2"/>
        <v>1</v>
      </c>
      <c r="V637" s="4" t="b">
        <f t="shared" si="3"/>
        <v>0</v>
      </c>
      <c r="W637" s="4" t="str">
        <f t="shared" si="8"/>
        <v>Distance/Location</v>
      </c>
      <c r="X637" s="4" t="str">
        <f t="shared" si="4"/>
        <v>mwb</v>
      </c>
      <c r="Y637" s="4">
        <f t="shared" si="5"/>
        <v>1</v>
      </c>
      <c r="Z637" s="4" t="str">
        <f t="shared" si="6"/>
        <v>Unique</v>
      </c>
      <c r="AA637" s="4" t="str">
        <f t="shared" si="7"/>
        <v>Valid</v>
      </c>
    </row>
    <row r="638">
      <c r="A638" s="3" t="s">
        <v>1520</v>
      </c>
      <c r="B638" s="3">
        <v>6.8</v>
      </c>
      <c r="C638" s="3" t="s">
        <v>1521</v>
      </c>
      <c r="D638" s="3">
        <v>5.0</v>
      </c>
      <c r="E638" s="3">
        <v>4.0</v>
      </c>
      <c r="F638" s="4"/>
      <c r="G638" s="3">
        <v>0.0</v>
      </c>
      <c r="H638" s="3">
        <v>779.0</v>
      </c>
      <c r="I638" s="3" t="s">
        <v>110</v>
      </c>
      <c r="J638" s="3">
        <v>664.0</v>
      </c>
      <c r="K638" s="3">
        <v>0.0</v>
      </c>
      <c r="L638" s="3">
        <v>18.2</v>
      </c>
      <c r="M638" s="3" t="s">
        <v>224</v>
      </c>
      <c r="N638" s="3">
        <v>350.4</v>
      </c>
      <c r="O638" s="3">
        <v>36.808</v>
      </c>
      <c r="P638" s="3">
        <v>134.85</v>
      </c>
      <c r="Q638" s="3" t="s">
        <v>1522</v>
      </c>
      <c r="R638" s="4"/>
      <c r="S638" s="4"/>
      <c r="T638" s="16">
        <f t="shared" si="1"/>
        <v>39279.59514</v>
      </c>
      <c r="U638" s="4" t="b">
        <f t="shared" si="2"/>
        <v>1</v>
      </c>
      <c r="V638" s="4" t="b">
        <f t="shared" si="3"/>
        <v>0</v>
      </c>
      <c r="W638" s="4" t="str">
        <f t="shared" si="8"/>
        <v>Distance/Location</v>
      </c>
      <c r="X638" s="4" t="str">
        <f t="shared" si="4"/>
        <v>mwb</v>
      </c>
      <c r="Y638" s="4">
        <f t="shared" si="5"/>
        <v>1</v>
      </c>
      <c r="Z638" s="4" t="str">
        <f t="shared" si="6"/>
        <v>Unique</v>
      </c>
      <c r="AA638" s="4" t="str">
        <f t="shared" si="7"/>
        <v>Valid</v>
      </c>
    </row>
    <row r="639">
      <c r="A639" s="3" t="s">
        <v>1523</v>
      </c>
      <c r="B639" s="3">
        <v>6.6</v>
      </c>
      <c r="C639" s="3" t="s">
        <v>1524</v>
      </c>
      <c r="D639" s="3">
        <v>8.0</v>
      </c>
      <c r="E639" s="3">
        <v>8.0</v>
      </c>
      <c r="F639" s="4"/>
      <c r="G639" s="3">
        <v>0.0</v>
      </c>
      <c r="H639" s="3">
        <v>831.0</v>
      </c>
      <c r="I639" s="3" t="s">
        <v>110</v>
      </c>
      <c r="J639" s="3">
        <v>782.0</v>
      </c>
      <c r="K639" s="3">
        <v>0.0</v>
      </c>
      <c r="L639" s="3">
        <v>16.7</v>
      </c>
      <c r="M639" s="3" t="s">
        <v>204</v>
      </c>
      <c r="N639" s="3">
        <v>12.0</v>
      </c>
      <c r="O639" s="3">
        <v>37.535</v>
      </c>
      <c r="P639" s="3">
        <v>138.446</v>
      </c>
      <c r="Q639" s="3" t="s">
        <v>1525</v>
      </c>
      <c r="R639" s="3" t="s">
        <v>164</v>
      </c>
      <c r="S639" s="3" t="s">
        <v>371</v>
      </c>
      <c r="T639" s="16">
        <f t="shared" si="1"/>
        <v>39279.05069</v>
      </c>
      <c r="U639" s="4" t="b">
        <f t="shared" si="2"/>
        <v>1</v>
      </c>
      <c r="V639" s="4" t="b">
        <f t="shared" si="3"/>
        <v>0</v>
      </c>
      <c r="W639" s="4" t="str">
        <f t="shared" si="8"/>
        <v>Distance/Location</v>
      </c>
      <c r="X639" s="4" t="str">
        <f t="shared" si="4"/>
        <v>mwc</v>
      </c>
      <c r="Y639" s="4">
        <f t="shared" si="5"/>
        <v>1</v>
      </c>
      <c r="Z639" s="4" t="str">
        <f t="shared" si="6"/>
        <v>Unique</v>
      </c>
      <c r="AA639" s="4" t="str">
        <f t="shared" si="7"/>
        <v>Valid</v>
      </c>
    </row>
    <row r="640">
      <c r="A640" s="3" t="s">
        <v>1526</v>
      </c>
      <c r="B640" s="3">
        <v>6.7</v>
      </c>
      <c r="C640" s="3" t="s">
        <v>1527</v>
      </c>
      <c r="D640" s="3">
        <v>6.0</v>
      </c>
      <c r="E640" s="3">
        <v>6.0</v>
      </c>
      <c r="F640" s="4"/>
      <c r="G640" s="3">
        <v>0.0</v>
      </c>
      <c r="H640" s="3">
        <v>972.0</v>
      </c>
      <c r="I640" s="3" t="s">
        <v>110</v>
      </c>
      <c r="J640" s="3">
        <v>468.0</v>
      </c>
      <c r="K640" s="3">
        <v>0.0</v>
      </c>
      <c r="L640" s="3">
        <v>37.7</v>
      </c>
      <c r="M640" s="3" t="s">
        <v>204</v>
      </c>
      <c r="N640" s="3">
        <v>23.0</v>
      </c>
      <c r="O640" s="3">
        <v>13.554</v>
      </c>
      <c r="P640" s="3">
        <v>-90.618</v>
      </c>
      <c r="Q640" s="3" t="s">
        <v>1528</v>
      </c>
      <c r="R640" s="4"/>
      <c r="S640" s="4"/>
      <c r="T640" s="16">
        <f t="shared" si="1"/>
        <v>39246.81181</v>
      </c>
      <c r="U640" s="4" t="b">
        <f t="shared" si="2"/>
        <v>1</v>
      </c>
      <c r="V640" s="4" t="b">
        <f t="shared" si="3"/>
        <v>0</v>
      </c>
      <c r="W640" s="4" t="str">
        <f t="shared" si="8"/>
        <v>Distance/Location</v>
      </c>
      <c r="X640" s="4" t="str">
        <f t="shared" si="4"/>
        <v>mwc</v>
      </c>
      <c r="Y640" s="4">
        <f t="shared" si="5"/>
        <v>1</v>
      </c>
      <c r="Z640" s="4" t="str">
        <f t="shared" si="6"/>
        <v>Unique</v>
      </c>
      <c r="AA640" s="4" t="str">
        <f t="shared" si="7"/>
        <v>Valid</v>
      </c>
    </row>
    <row r="641">
      <c r="A641" s="3" t="s">
        <v>1529</v>
      </c>
      <c r="B641" s="3">
        <v>6.9</v>
      </c>
      <c r="C641" s="17">
        <v>39086.88263888889</v>
      </c>
      <c r="D641" s="3">
        <v>0.0</v>
      </c>
      <c r="E641" s="3">
        <v>7.0</v>
      </c>
      <c r="F641" s="4"/>
      <c r="G641" s="3">
        <v>0.0</v>
      </c>
      <c r="H641" s="3">
        <v>732.0</v>
      </c>
      <c r="I641" s="3" t="s">
        <v>110</v>
      </c>
      <c r="J641" s="3">
        <v>305.0</v>
      </c>
      <c r="K641" s="3">
        <v>0.0</v>
      </c>
      <c r="L641" s="3">
        <v>15.3</v>
      </c>
      <c r="M641" s="3" t="s">
        <v>204</v>
      </c>
      <c r="N641" s="3">
        <v>10.0</v>
      </c>
      <c r="O641" s="3">
        <v>-7.306</v>
      </c>
      <c r="P641" s="3">
        <v>155.741</v>
      </c>
      <c r="Q641" s="3" t="s">
        <v>728</v>
      </c>
      <c r="R641" s="4"/>
      <c r="S641" s="3" t="s">
        <v>214</v>
      </c>
      <c r="T641" s="16">
        <f t="shared" si="1"/>
        <v>39173.88264</v>
      </c>
      <c r="U641" s="4" t="b">
        <f t="shared" si="2"/>
        <v>1</v>
      </c>
      <c r="V641" s="4" t="b">
        <f t="shared" si="3"/>
        <v>1</v>
      </c>
      <c r="W641" s="4" t="str">
        <f t="shared" si="8"/>
        <v>Distance/Location</v>
      </c>
      <c r="X641" s="4" t="str">
        <f t="shared" si="4"/>
        <v>mwc</v>
      </c>
      <c r="Y641" s="4">
        <f t="shared" si="5"/>
        <v>1</v>
      </c>
      <c r="Z641" s="4" t="str">
        <f t="shared" si="6"/>
        <v>Unique</v>
      </c>
      <c r="AA641" s="4" t="str">
        <f t="shared" si="7"/>
        <v>Valid</v>
      </c>
    </row>
    <row r="642">
      <c r="A642" s="3" t="s">
        <v>1530</v>
      </c>
      <c r="B642" s="3">
        <v>6.6</v>
      </c>
      <c r="C642" s="17">
        <v>39086.86597222222</v>
      </c>
      <c r="D642" s="3">
        <v>0.0</v>
      </c>
      <c r="E642" s="3">
        <v>7.0</v>
      </c>
      <c r="F642" s="4"/>
      <c r="G642" s="3">
        <v>0.0</v>
      </c>
      <c r="H642" s="3">
        <v>670.0</v>
      </c>
      <c r="I642" s="3" t="s">
        <v>110</v>
      </c>
      <c r="J642" s="3">
        <v>251.0</v>
      </c>
      <c r="K642" s="3">
        <v>0.0</v>
      </c>
      <c r="L642" s="3">
        <v>16.0</v>
      </c>
      <c r="M642" s="3" t="s">
        <v>1264</v>
      </c>
      <c r="N642" s="3">
        <v>10.0</v>
      </c>
      <c r="O642" s="3">
        <v>-7.169</v>
      </c>
      <c r="P642" s="3">
        <v>155.777</v>
      </c>
      <c r="Q642" s="3" t="s">
        <v>728</v>
      </c>
      <c r="R642" s="4"/>
      <c r="S642" s="3" t="s">
        <v>214</v>
      </c>
      <c r="T642" s="16">
        <f t="shared" si="1"/>
        <v>39173.86597</v>
      </c>
      <c r="U642" s="4" t="b">
        <f t="shared" si="2"/>
        <v>1</v>
      </c>
      <c r="V642" s="4" t="b">
        <f t="shared" si="3"/>
        <v>1</v>
      </c>
      <c r="W642" s="4" t="str">
        <f t="shared" si="8"/>
        <v>Distance/Location</v>
      </c>
      <c r="X642" s="4" t="str">
        <f t="shared" si="4"/>
        <v>mb</v>
      </c>
      <c r="Y642" s="4">
        <f t="shared" si="5"/>
        <v>1</v>
      </c>
      <c r="Z642" s="4" t="str">
        <f t="shared" si="6"/>
        <v>Unique</v>
      </c>
      <c r="AA642" s="4" t="str">
        <f t="shared" si="7"/>
        <v>Valid</v>
      </c>
    </row>
    <row r="643">
      <c r="A643" s="3" t="s">
        <v>1531</v>
      </c>
      <c r="B643" s="3">
        <v>8.1</v>
      </c>
      <c r="C643" s="17">
        <v>39086.86041666667</v>
      </c>
      <c r="D643" s="3">
        <v>9.0</v>
      </c>
      <c r="E643" s="3">
        <v>8.0</v>
      </c>
      <c r="F643" s="4"/>
      <c r="G643" s="3">
        <v>0.0</v>
      </c>
      <c r="H643" s="3">
        <v>1025.0</v>
      </c>
      <c r="I643" s="3" t="s">
        <v>110</v>
      </c>
      <c r="J643" s="3">
        <v>439.0</v>
      </c>
      <c r="K643" s="3">
        <v>0.0</v>
      </c>
      <c r="L643" s="3">
        <v>14.7</v>
      </c>
      <c r="M643" s="3" t="s">
        <v>204</v>
      </c>
      <c r="N643" s="3">
        <v>24.0</v>
      </c>
      <c r="O643" s="3">
        <v>-8.466</v>
      </c>
      <c r="P643" s="3">
        <v>157.043</v>
      </c>
      <c r="Q643" s="3" t="s">
        <v>888</v>
      </c>
      <c r="R643" s="4"/>
      <c r="S643" s="3" t="s">
        <v>214</v>
      </c>
      <c r="T643" s="16">
        <f t="shared" si="1"/>
        <v>39173.86042</v>
      </c>
      <c r="U643" s="4" t="b">
        <f t="shared" si="2"/>
        <v>1</v>
      </c>
      <c r="V643" s="4" t="b">
        <f t="shared" si="3"/>
        <v>1</v>
      </c>
      <c r="W643" s="4" t="str">
        <f t="shared" si="8"/>
        <v>Distance/Location</v>
      </c>
      <c r="X643" s="4" t="str">
        <f t="shared" si="4"/>
        <v>mwc</v>
      </c>
      <c r="Y643" s="4">
        <f t="shared" si="5"/>
        <v>1</v>
      </c>
      <c r="Z643" s="4" t="str">
        <f t="shared" si="6"/>
        <v>Unique</v>
      </c>
      <c r="AA643" s="4" t="str">
        <f t="shared" si="7"/>
        <v>Valid</v>
      </c>
    </row>
    <row r="644">
      <c r="A644" s="3" t="s">
        <v>1532</v>
      </c>
      <c r="B644" s="3">
        <v>6.7</v>
      </c>
      <c r="C644" s="3" t="s">
        <v>1533</v>
      </c>
      <c r="D644" s="3">
        <v>7.0</v>
      </c>
      <c r="E644" s="3">
        <v>8.0</v>
      </c>
      <c r="F644" s="4"/>
      <c r="G644" s="3">
        <v>0.0</v>
      </c>
      <c r="H644" s="3">
        <v>782.0</v>
      </c>
      <c r="I644" s="3" t="s">
        <v>110</v>
      </c>
      <c r="J644" s="3">
        <v>493.0</v>
      </c>
      <c r="K644" s="3">
        <v>0.0</v>
      </c>
      <c r="L644" s="3">
        <v>23.9</v>
      </c>
      <c r="M644" s="3" t="s">
        <v>204</v>
      </c>
      <c r="N644" s="3">
        <v>8.0</v>
      </c>
      <c r="O644" s="3">
        <v>37.336</v>
      </c>
      <c r="P644" s="3">
        <v>136.588</v>
      </c>
      <c r="Q644" s="3" t="s">
        <v>1534</v>
      </c>
      <c r="R644" s="3" t="s">
        <v>164</v>
      </c>
      <c r="S644" s="3" t="s">
        <v>371</v>
      </c>
      <c r="T644" s="16">
        <f t="shared" si="1"/>
        <v>39166.02847</v>
      </c>
      <c r="U644" s="4" t="b">
        <f t="shared" si="2"/>
        <v>1</v>
      </c>
      <c r="V644" s="4" t="b">
        <f t="shared" si="3"/>
        <v>0</v>
      </c>
      <c r="W644" s="4" t="str">
        <f t="shared" si="8"/>
        <v>Distance/Location</v>
      </c>
      <c r="X644" s="4" t="str">
        <f t="shared" si="4"/>
        <v>mwc</v>
      </c>
      <c r="Y644" s="4">
        <f t="shared" si="5"/>
        <v>1</v>
      </c>
      <c r="Z644" s="4" t="str">
        <f t="shared" si="6"/>
        <v>Unique</v>
      </c>
      <c r="AA644" s="4" t="str">
        <f t="shared" si="7"/>
        <v>Valid</v>
      </c>
    </row>
    <row r="645">
      <c r="A645" s="3" t="s">
        <v>1535</v>
      </c>
      <c r="B645" s="3">
        <v>7.1</v>
      </c>
      <c r="C645" s="3" t="s">
        <v>1536</v>
      </c>
      <c r="D645" s="3">
        <v>3.0</v>
      </c>
      <c r="E645" s="3">
        <v>6.0</v>
      </c>
      <c r="F645" s="4"/>
      <c r="G645" s="3">
        <v>0.0</v>
      </c>
      <c r="H645" s="3">
        <v>779.0</v>
      </c>
      <c r="I645" s="3" t="s">
        <v>110</v>
      </c>
      <c r="J645" s="3">
        <v>426.0</v>
      </c>
      <c r="K645" s="3">
        <v>0.0</v>
      </c>
      <c r="L645" s="3">
        <v>25.3</v>
      </c>
      <c r="M645" s="3" t="s">
        <v>224</v>
      </c>
      <c r="N645" s="3">
        <v>34.0</v>
      </c>
      <c r="O645" s="3">
        <v>-20.617</v>
      </c>
      <c r="P645" s="3">
        <v>169.357</v>
      </c>
      <c r="Q645" s="3" t="s">
        <v>246</v>
      </c>
      <c r="R645" s="4"/>
      <c r="S645" s="4"/>
      <c r="T645" s="16">
        <f t="shared" si="1"/>
        <v>39166.02778</v>
      </c>
      <c r="U645" s="4" t="b">
        <f t="shared" si="2"/>
        <v>1</v>
      </c>
      <c r="V645" s="4" t="b">
        <f t="shared" si="3"/>
        <v>0</v>
      </c>
      <c r="W645" s="4" t="str">
        <f t="shared" si="8"/>
        <v>Distance/Location</v>
      </c>
      <c r="X645" s="4" t="str">
        <f t="shared" si="4"/>
        <v>mwb</v>
      </c>
      <c r="Y645" s="4">
        <f t="shared" si="5"/>
        <v>1</v>
      </c>
      <c r="Z645" s="4" t="str">
        <f t="shared" si="6"/>
        <v>Unique</v>
      </c>
      <c r="AA645" s="4" t="str">
        <f t="shared" si="7"/>
        <v>Valid</v>
      </c>
    </row>
    <row r="646">
      <c r="A646" s="3" t="s">
        <v>1537</v>
      </c>
      <c r="B646" s="3">
        <v>6.7</v>
      </c>
      <c r="C646" s="3" t="s">
        <v>1538</v>
      </c>
      <c r="D646" s="3">
        <v>0.0</v>
      </c>
      <c r="E646" s="3">
        <v>6.0</v>
      </c>
      <c r="F646" s="4"/>
      <c r="G646" s="3">
        <v>0.0</v>
      </c>
      <c r="H646" s="3">
        <v>691.0</v>
      </c>
      <c r="I646" s="3" t="s">
        <v>110</v>
      </c>
      <c r="J646" s="3">
        <v>253.0</v>
      </c>
      <c r="K646" s="3">
        <v>0.0</v>
      </c>
      <c r="L646" s="3">
        <v>40.3</v>
      </c>
      <c r="M646" s="3" t="s">
        <v>204</v>
      </c>
      <c r="N646" s="3">
        <v>12.0</v>
      </c>
      <c r="O646" s="3">
        <v>-1.034</v>
      </c>
      <c r="P646" s="3">
        <v>126.976</v>
      </c>
      <c r="Q646" s="3" t="s">
        <v>1539</v>
      </c>
      <c r="R646" s="4"/>
      <c r="S646" s="3" t="s">
        <v>153</v>
      </c>
      <c r="T646" s="16">
        <f t="shared" si="1"/>
        <v>39133.33611</v>
      </c>
      <c r="U646" s="4" t="b">
        <f t="shared" si="2"/>
        <v>1</v>
      </c>
      <c r="V646" s="4" t="b">
        <f t="shared" si="3"/>
        <v>0</v>
      </c>
      <c r="W646" s="4" t="str">
        <f t="shared" si="8"/>
        <v>Distance/Location</v>
      </c>
      <c r="X646" s="4" t="str">
        <f t="shared" si="4"/>
        <v>mwc</v>
      </c>
      <c r="Y646" s="4">
        <f t="shared" si="5"/>
        <v>1</v>
      </c>
      <c r="Z646" s="4" t="str">
        <f t="shared" si="6"/>
        <v>Unique</v>
      </c>
      <c r="AA646" s="4" t="str">
        <f t="shared" si="7"/>
        <v>Valid</v>
      </c>
    </row>
    <row r="647">
      <c r="A647" s="3" t="s">
        <v>1540</v>
      </c>
      <c r="B647" s="3">
        <v>7.5</v>
      </c>
      <c r="C647" s="3" t="s">
        <v>1541</v>
      </c>
      <c r="D647" s="3">
        <v>6.0</v>
      </c>
      <c r="E647" s="3">
        <v>5.0</v>
      </c>
      <c r="F647" s="4"/>
      <c r="G647" s="3">
        <v>0.0</v>
      </c>
      <c r="H647" s="3">
        <v>874.0</v>
      </c>
      <c r="I647" s="3" t="s">
        <v>110</v>
      </c>
      <c r="J647" s="3">
        <v>570.0</v>
      </c>
      <c r="K647" s="3">
        <v>0.0</v>
      </c>
      <c r="L647" s="3">
        <v>21.6</v>
      </c>
      <c r="M647" s="3" t="s">
        <v>204</v>
      </c>
      <c r="N647" s="3">
        <v>22.0</v>
      </c>
      <c r="O647" s="3">
        <v>1.065</v>
      </c>
      <c r="P647" s="3">
        <v>126.282</v>
      </c>
      <c r="Q647" s="3" t="s">
        <v>957</v>
      </c>
      <c r="R647" s="4"/>
      <c r="S647" s="3" t="s">
        <v>153</v>
      </c>
      <c r="T647" s="16">
        <f t="shared" si="1"/>
        <v>39103.47708</v>
      </c>
      <c r="U647" s="4" t="b">
        <f t="shared" si="2"/>
        <v>1</v>
      </c>
      <c r="V647" s="4" t="b">
        <f t="shared" si="3"/>
        <v>0</v>
      </c>
      <c r="W647" s="4" t="str">
        <f t="shared" si="8"/>
        <v>Distance/Location</v>
      </c>
      <c r="X647" s="4" t="str">
        <f t="shared" si="4"/>
        <v>mwc</v>
      </c>
      <c r="Y647" s="4">
        <f t="shared" si="5"/>
        <v>1</v>
      </c>
      <c r="Z647" s="4" t="str">
        <f t="shared" si="6"/>
        <v>Unique</v>
      </c>
      <c r="AA647" s="4" t="str">
        <f t="shared" si="7"/>
        <v>Valid</v>
      </c>
    </row>
    <row r="648">
      <c r="A648" s="3" t="s">
        <v>1542</v>
      </c>
      <c r="B648" s="3">
        <v>8.1</v>
      </c>
      <c r="C648" s="3" t="s">
        <v>1543</v>
      </c>
      <c r="D648" s="3">
        <v>4.0</v>
      </c>
      <c r="E648" s="3">
        <v>5.0</v>
      </c>
      <c r="F648" s="4"/>
      <c r="G648" s="3">
        <v>0.0</v>
      </c>
      <c r="H648" s="3">
        <v>1034.0</v>
      </c>
      <c r="I648" s="3" t="s">
        <v>110</v>
      </c>
      <c r="J648" s="3">
        <v>606.0</v>
      </c>
      <c r="K648" s="3">
        <v>0.0</v>
      </c>
      <c r="L648" s="3">
        <v>14.0</v>
      </c>
      <c r="M648" s="3" t="s">
        <v>204</v>
      </c>
      <c r="N648" s="3">
        <v>10.0</v>
      </c>
      <c r="O648" s="3">
        <v>46.243</v>
      </c>
      <c r="P648" s="3">
        <v>154.524</v>
      </c>
      <c r="Q648" s="3" t="s">
        <v>1544</v>
      </c>
      <c r="R648" s="4"/>
      <c r="S648" s="4"/>
      <c r="T648" s="16">
        <f t="shared" si="1"/>
        <v>39095.18264</v>
      </c>
      <c r="U648" s="4" t="b">
        <f t="shared" si="2"/>
        <v>1</v>
      </c>
      <c r="V648" s="4" t="b">
        <f t="shared" si="3"/>
        <v>0</v>
      </c>
      <c r="W648" s="4" t="str">
        <f t="shared" si="8"/>
        <v>Named Region</v>
      </c>
      <c r="X648" s="4" t="str">
        <f t="shared" si="4"/>
        <v>mwc</v>
      </c>
      <c r="Y648" s="4">
        <f t="shared" si="5"/>
        <v>1</v>
      </c>
      <c r="Z648" s="4" t="str">
        <f t="shared" si="6"/>
        <v>Unique</v>
      </c>
      <c r="AA648" s="4" t="str">
        <f t="shared" si="7"/>
        <v>Valid</v>
      </c>
    </row>
    <row r="649">
      <c r="A649" s="3" t="s">
        <v>1545</v>
      </c>
      <c r="B649" s="3">
        <v>6.9</v>
      </c>
      <c r="C649" s="3" t="s">
        <v>1546</v>
      </c>
      <c r="D649" s="3">
        <v>6.0</v>
      </c>
      <c r="E649" s="3">
        <v>7.0</v>
      </c>
      <c r="F649" s="4"/>
      <c r="G649" s="3">
        <v>0.0</v>
      </c>
      <c r="H649" s="3">
        <v>798.0</v>
      </c>
      <c r="I649" s="3" t="s">
        <v>110</v>
      </c>
      <c r="J649" s="3">
        <v>466.0</v>
      </c>
      <c r="K649" s="3">
        <v>0.0</v>
      </c>
      <c r="L649" s="3">
        <v>31.6</v>
      </c>
      <c r="M649" s="3" t="s">
        <v>204</v>
      </c>
      <c r="N649" s="3">
        <v>10.0</v>
      </c>
      <c r="O649" s="3">
        <v>21.974</v>
      </c>
      <c r="P649" s="3">
        <v>120.493</v>
      </c>
      <c r="Q649" s="3" t="s">
        <v>1547</v>
      </c>
      <c r="R649" s="3" t="s">
        <v>164</v>
      </c>
      <c r="S649" s="3" t="s">
        <v>240</v>
      </c>
      <c r="T649" s="16">
        <f t="shared" si="1"/>
        <v>39077.52361</v>
      </c>
      <c r="U649" s="4" t="b">
        <f t="shared" si="2"/>
        <v>1</v>
      </c>
      <c r="V649" s="4" t="b">
        <f t="shared" si="3"/>
        <v>0</v>
      </c>
      <c r="W649" s="4" t="str">
        <f t="shared" si="8"/>
        <v>Distance/Location</v>
      </c>
      <c r="X649" s="4" t="str">
        <f t="shared" si="4"/>
        <v>mwc</v>
      </c>
      <c r="Y649" s="4">
        <f t="shared" si="5"/>
        <v>1</v>
      </c>
      <c r="Z649" s="4" t="str">
        <f t="shared" si="6"/>
        <v>Unique</v>
      </c>
      <c r="AA649" s="4" t="str">
        <f t="shared" si="7"/>
        <v>Valid</v>
      </c>
    </row>
    <row r="650">
      <c r="A650" s="3" t="s">
        <v>1548</v>
      </c>
      <c r="B650" s="3">
        <v>7.1</v>
      </c>
      <c r="C650" s="3" t="s">
        <v>1549</v>
      </c>
      <c r="D650" s="3">
        <v>8.0</v>
      </c>
      <c r="E650" s="3">
        <v>7.0</v>
      </c>
      <c r="F650" s="4"/>
      <c r="G650" s="3">
        <v>0.0</v>
      </c>
      <c r="H650" s="3">
        <v>1023.0</v>
      </c>
      <c r="I650" s="3" t="s">
        <v>110</v>
      </c>
      <c r="J650" s="3">
        <v>744.0</v>
      </c>
      <c r="K650" s="3">
        <v>0.0</v>
      </c>
      <c r="L650" s="3">
        <v>29.1</v>
      </c>
      <c r="M650" s="3" t="s">
        <v>224</v>
      </c>
      <c r="N650" s="3">
        <v>10.0</v>
      </c>
      <c r="O650" s="3">
        <v>21.799</v>
      </c>
      <c r="P650" s="3">
        <v>120.547</v>
      </c>
      <c r="Q650" s="3" t="s">
        <v>1547</v>
      </c>
      <c r="R650" s="3" t="s">
        <v>164</v>
      </c>
      <c r="S650" s="3" t="s">
        <v>240</v>
      </c>
      <c r="T650" s="16">
        <f t="shared" si="1"/>
        <v>39077.51806</v>
      </c>
      <c r="U650" s="4" t="b">
        <f t="shared" si="2"/>
        <v>1</v>
      </c>
      <c r="V650" s="4" t="b">
        <f t="shared" si="3"/>
        <v>0</v>
      </c>
      <c r="W650" s="4" t="str">
        <f t="shared" si="8"/>
        <v>Distance/Location</v>
      </c>
      <c r="X650" s="4" t="str">
        <f t="shared" si="4"/>
        <v>mwb</v>
      </c>
      <c r="Y650" s="4">
        <f t="shared" si="5"/>
        <v>1</v>
      </c>
      <c r="Z650" s="4" t="str">
        <f t="shared" si="6"/>
        <v>Unique</v>
      </c>
      <c r="AA650" s="4" t="str">
        <f t="shared" si="7"/>
        <v>Valid</v>
      </c>
    </row>
    <row r="651">
      <c r="A651" s="3" t="s">
        <v>1550</v>
      </c>
      <c r="B651" s="3">
        <v>8.3</v>
      </c>
      <c r="C651" s="3" t="s">
        <v>1551</v>
      </c>
      <c r="D651" s="3">
        <v>4.0</v>
      </c>
      <c r="E651" s="3">
        <v>7.0</v>
      </c>
      <c r="F651" s="4"/>
      <c r="G651" s="3">
        <v>0.0</v>
      </c>
      <c r="H651" s="3">
        <v>1064.0</v>
      </c>
      <c r="I651" s="3" t="s">
        <v>110</v>
      </c>
      <c r="J651" s="3">
        <v>576.0</v>
      </c>
      <c r="K651" s="3">
        <v>0.0</v>
      </c>
      <c r="L651" s="3">
        <v>20.9</v>
      </c>
      <c r="M651" s="3" t="s">
        <v>204</v>
      </c>
      <c r="N651" s="3">
        <v>10.0</v>
      </c>
      <c r="O651" s="3">
        <v>46.592</v>
      </c>
      <c r="P651" s="3">
        <v>153.266</v>
      </c>
      <c r="Q651" s="3" t="s">
        <v>1552</v>
      </c>
      <c r="R651" s="4"/>
      <c r="S651" s="4"/>
      <c r="T651" s="16">
        <f t="shared" si="1"/>
        <v>39036.46806</v>
      </c>
      <c r="U651" s="4" t="b">
        <f t="shared" si="2"/>
        <v>1</v>
      </c>
      <c r="V651" s="4" t="b">
        <f t="shared" si="3"/>
        <v>0</v>
      </c>
      <c r="W651" s="4" t="str">
        <f t="shared" si="8"/>
        <v>Named Region</v>
      </c>
      <c r="X651" s="4" t="str">
        <f t="shared" si="4"/>
        <v>mwc</v>
      </c>
      <c r="Y651" s="4">
        <f t="shared" si="5"/>
        <v>1</v>
      </c>
      <c r="Z651" s="4" t="str">
        <f t="shared" si="6"/>
        <v>Unique</v>
      </c>
      <c r="AA651" s="4" t="str">
        <f t="shared" si="7"/>
        <v>Valid</v>
      </c>
    </row>
    <row r="652">
      <c r="A652" s="3" t="s">
        <v>1553</v>
      </c>
      <c r="B652" s="3">
        <v>6.6</v>
      </c>
      <c r="C652" s="17">
        <v>38909.73472222222</v>
      </c>
      <c r="D652" s="3">
        <v>0.0</v>
      </c>
      <c r="E652" s="3">
        <v>6.0</v>
      </c>
      <c r="F652" s="4"/>
      <c r="G652" s="3">
        <v>0.0</v>
      </c>
      <c r="H652" s="3">
        <v>670.0</v>
      </c>
      <c r="I652" s="3" t="s">
        <v>110</v>
      </c>
      <c r="J652" s="3">
        <v>352.0</v>
      </c>
      <c r="K652" s="3">
        <v>0.0</v>
      </c>
      <c r="L652" s="3">
        <v>18.6</v>
      </c>
      <c r="M652" s="3" t="s">
        <v>204</v>
      </c>
      <c r="N652" s="3">
        <v>11.0</v>
      </c>
      <c r="O652" s="3">
        <v>-6.482</v>
      </c>
      <c r="P652" s="3">
        <v>151.195</v>
      </c>
      <c r="Q652" s="3" t="s">
        <v>187</v>
      </c>
      <c r="R652" s="4"/>
      <c r="S652" s="4"/>
      <c r="T652" s="16">
        <f t="shared" si="1"/>
        <v>39028.73472</v>
      </c>
      <c r="U652" s="4" t="b">
        <f t="shared" si="2"/>
        <v>1</v>
      </c>
      <c r="V652" s="4" t="b">
        <f t="shared" si="3"/>
        <v>1</v>
      </c>
      <c r="W652" s="4" t="str">
        <f t="shared" si="8"/>
        <v>Distance/Location</v>
      </c>
      <c r="X652" s="4" t="str">
        <f t="shared" si="4"/>
        <v>mwc</v>
      </c>
      <c r="Y652" s="4">
        <f t="shared" si="5"/>
        <v>1</v>
      </c>
      <c r="Z652" s="4" t="str">
        <f t="shared" si="6"/>
        <v>Unique</v>
      </c>
      <c r="AA652" s="4" t="str">
        <f t="shared" si="7"/>
        <v>Valid</v>
      </c>
    </row>
    <row r="653">
      <c r="A653" s="3" t="s">
        <v>1554</v>
      </c>
      <c r="B653" s="3">
        <v>6.7</v>
      </c>
      <c r="C653" s="3" t="s">
        <v>1555</v>
      </c>
      <c r="D653" s="3">
        <v>5.0</v>
      </c>
      <c r="E653" s="3">
        <v>6.0</v>
      </c>
      <c r="F653" s="4"/>
      <c r="G653" s="3">
        <v>0.0</v>
      </c>
      <c r="H653" s="3">
        <v>732.0</v>
      </c>
      <c r="I653" s="3" t="s">
        <v>110</v>
      </c>
      <c r="J653" s="3">
        <v>444.0</v>
      </c>
      <c r="K653" s="3">
        <v>0.0</v>
      </c>
      <c r="L653" s="3">
        <v>53.4</v>
      </c>
      <c r="M653" s="3" t="s">
        <v>204</v>
      </c>
      <c r="N653" s="3">
        <v>23.0</v>
      </c>
      <c r="O653" s="3">
        <v>-13.457</v>
      </c>
      <c r="P653" s="3">
        <v>-76.677</v>
      </c>
      <c r="Q653" s="3" t="s">
        <v>1513</v>
      </c>
      <c r="R653" s="4"/>
      <c r="S653" s="3" t="s">
        <v>265</v>
      </c>
      <c r="T653" s="16">
        <f t="shared" si="1"/>
        <v>39010.45</v>
      </c>
      <c r="U653" s="4" t="b">
        <f t="shared" si="2"/>
        <v>1</v>
      </c>
      <c r="V653" s="4" t="b">
        <f t="shared" si="3"/>
        <v>0</v>
      </c>
      <c r="W653" s="4" t="str">
        <f t="shared" si="8"/>
        <v>Distance/Location</v>
      </c>
      <c r="X653" s="4" t="str">
        <f t="shared" si="4"/>
        <v>mwc</v>
      </c>
      <c r="Y653" s="4">
        <f t="shared" si="5"/>
        <v>1</v>
      </c>
      <c r="Z653" s="4" t="str">
        <f t="shared" si="6"/>
        <v>Unique</v>
      </c>
      <c r="AA653" s="4" t="str">
        <f t="shared" si="7"/>
        <v>Valid</v>
      </c>
    </row>
    <row r="654">
      <c r="A654" s="3" t="s">
        <v>1556</v>
      </c>
      <c r="B654" s="3">
        <v>6.7</v>
      </c>
      <c r="C654" s="3" t="s">
        <v>1557</v>
      </c>
      <c r="D654" s="3">
        <v>5.0</v>
      </c>
      <c r="E654" s="3">
        <v>6.0</v>
      </c>
      <c r="F654" s="4"/>
      <c r="G654" s="3">
        <v>0.0</v>
      </c>
      <c r="H654" s="3">
        <v>692.0</v>
      </c>
      <c r="I654" s="3" t="s">
        <v>110</v>
      </c>
      <c r="J654" s="3">
        <v>533.0</v>
      </c>
      <c r="K654" s="3">
        <v>0.0</v>
      </c>
      <c r="L654" s="3">
        <v>15.6</v>
      </c>
      <c r="M654" s="3" t="s">
        <v>204</v>
      </c>
      <c r="N654" s="3">
        <v>32.0</v>
      </c>
      <c r="O654" s="3">
        <v>-5.881</v>
      </c>
      <c r="P654" s="3">
        <v>150.982</v>
      </c>
      <c r="Q654" s="3" t="s">
        <v>187</v>
      </c>
      <c r="R654" s="4"/>
      <c r="S654" s="3" t="s">
        <v>168</v>
      </c>
      <c r="T654" s="16">
        <f t="shared" si="1"/>
        <v>39007.05903</v>
      </c>
      <c r="U654" s="4" t="b">
        <f t="shared" si="2"/>
        <v>1</v>
      </c>
      <c r="V654" s="4" t="b">
        <f t="shared" si="3"/>
        <v>0</v>
      </c>
      <c r="W654" s="4" t="str">
        <f t="shared" si="8"/>
        <v>Distance/Location</v>
      </c>
      <c r="X654" s="4" t="str">
        <f t="shared" si="4"/>
        <v>mwc</v>
      </c>
      <c r="Y654" s="4">
        <f t="shared" si="5"/>
        <v>1</v>
      </c>
      <c r="Z654" s="4" t="str">
        <f t="shared" si="6"/>
        <v>Unique</v>
      </c>
      <c r="AA654" s="4" t="str">
        <f t="shared" si="7"/>
        <v>Valid</v>
      </c>
    </row>
    <row r="655">
      <c r="A655" s="3" t="s">
        <v>1558</v>
      </c>
      <c r="B655" s="3">
        <v>6.7</v>
      </c>
      <c r="C655" s="3" t="s">
        <v>1559</v>
      </c>
      <c r="D655" s="3">
        <v>8.0</v>
      </c>
      <c r="E655" s="3">
        <v>9.0</v>
      </c>
      <c r="F655" s="4"/>
      <c r="G655" s="3">
        <v>0.0</v>
      </c>
      <c r="H655" s="3">
        <v>1481.0</v>
      </c>
      <c r="I655" s="3" t="s">
        <v>623</v>
      </c>
      <c r="J655" s="3">
        <v>43.0</v>
      </c>
      <c r="K655" s="3">
        <v>0.0</v>
      </c>
      <c r="L655" s="3">
        <v>124.0</v>
      </c>
      <c r="M655" s="3" t="s">
        <v>1560</v>
      </c>
      <c r="N655" s="3">
        <v>38.182</v>
      </c>
      <c r="O655" s="3">
        <v>19.877</v>
      </c>
      <c r="P655" s="3">
        <v>-155.935</v>
      </c>
      <c r="Q655" s="3" t="s">
        <v>1561</v>
      </c>
      <c r="R655" s="4"/>
      <c r="S655" s="3" t="s">
        <v>318</v>
      </c>
      <c r="T655" s="16">
        <f t="shared" si="1"/>
        <v>39005.71319</v>
      </c>
      <c r="U655" s="4" t="b">
        <f t="shared" si="2"/>
        <v>1</v>
      </c>
      <c r="V655" s="4" t="b">
        <f t="shared" si="3"/>
        <v>0</v>
      </c>
      <c r="W655" s="4" t="str">
        <f t="shared" si="8"/>
        <v>Distance/Location</v>
      </c>
      <c r="X655" s="4" t="str">
        <f t="shared" si="4"/>
        <v>md</v>
      </c>
      <c r="Y655" s="4">
        <f t="shared" si="5"/>
        <v>1</v>
      </c>
      <c r="Z655" s="4" t="str">
        <f t="shared" si="6"/>
        <v>Unique</v>
      </c>
      <c r="AA655" s="4" t="str">
        <f t="shared" si="7"/>
        <v>Valid</v>
      </c>
    </row>
    <row r="656">
      <c r="A656" s="3" t="s">
        <v>1562</v>
      </c>
      <c r="B656" s="3">
        <v>6.9</v>
      </c>
      <c r="C656" s="3" t="s">
        <v>1563</v>
      </c>
      <c r="D656" s="3">
        <v>3.0</v>
      </c>
      <c r="E656" s="3">
        <v>3.0</v>
      </c>
      <c r="F656" s="4"/>
      <c r="G656" s="3">
        <v>0.0</v>
      </c>
      <c r="H656" s="3">
        <v>737.0</v>
      </c>
      <c r="I656" s="3" t="s">
        <v>110</v>
      </c>
      <c r="J656" s="3">
        <v>702.0</v>
      </c>
      <c r="K656" s="3">
        <v>0.0</v>
      </c>
      <c r="L656" s="3">
        <v>20.9</v>
      </c>
      <c r="M656" s="3" t="s">
        <v>204</v>
      </c>
      <c r="N656" s="3">
        <v>28.0</v>
      </c>
      <c r="O656" s="3">
        <v>-16.592</v>
      </c>
      <c r="P656" s="3">
        <v>-172.033</v>
      </c>
      <c r="Q656" s="3" t="s">
        <v>147</v>
      </c>
      <c r="R656" s="4"/>
      <c r="S656" s="4"/>
      <c r="T656" s="16">
        <f t="shared" si="1"/>
        <v>38988.26528</v>
      </c>
      <c r="U656" s="4" t="b">
        <f t="shared" si="2"/>
        <v>1</v>
      </c>
      <c r="V656" s="4" t="b">
        <f t="shared" si="3"/>
        <v>0</v>
      </c>
      <c r="W656" s="4" t="str">
        <f t="shared" si="8"/>
        <v>Distance/Location</v>
      </c>
      <c r="X656" s="4" t="str">
        <f t="shared" si="4"/>
        <v>mwc</v>
      </c>
      <c r="Y656" s="4">
        <f t="shared" si="5"/>
        <v>1</v>
      </c>
      <c r="Z656" s="4" t="str">
        <f t="shared" si="6"/>
        <v>Unique</v>
      </c>
      <c r="AA656" s="4" t="str">
        <f t="shared" si="7"/>
        <v>Valid</v>
      </c>
    </row>
    <row r="657">
      <c r="A657" s="3" t="s">
        <v>1564</v>
      </c>
      <c r="B657" s="3">
        <v>6.8</v>
      </c>
      <c r="C657" s="17">
        <v>38726.42916666667</v>
      </c>
      <c r="D657" s="3">
        <v>0.0</v>
      </c>
      <c r="E657" s="3">
        <v>6.0</v>
      </c>
      <c r="F657" s="4"/>
      <c r="G657" s="3">
        <v>0.0</v>
      </c>
      <c r="H657" s="3">
        <v>711.0</v>
      </c>
      <c r="I657" s="3" t="s">
        <v>110</v>
      </c>
      <c r="J657" s="3">
        <v>459.0</v>
      </c>
      <c r="K657" s="3">
        <v>0.0</v>
      </c>
      <c r="L657" s="3">
        <v>28.4</v>
      </c>
      <c r="M657" s="3" t="s">
        <v>224</v>
      </c>
      <c r="N657" s="3">
        <v>38.0</v>
      </c>
      <c r="O657" s="3">
        <v>-6.759</v>
      </c>
      <c r="P657" s="3">
        <v>155.512</v>
      </c>
      <c r="Q657" s="3" t="s">
        <v>728</v>
      </c>
      <c r="R657" s="4"/>
      <c r="S657" s="3" t="s">
        <v>168</v>
      </c>
      <c r="T657" s="16">
        <f t="shared" si="1"/>
        <v>38961.42917</v>
      </c>
      <c r="U657" s="4" t="b">
        <f t="shared" si="2"/>
        <v>1</v>
      </c>
      <c r="V657" s="4" t="b">
        <f t="shared" si="3"/>
        <v>1</v>
      </c>
      <c r="W657" s="4" t="str">
        <f t="shared" si="8"/>
        <v>Distance/Location</v>
      </c>
      <c r="X657" s="4" t="str">
        <f t="shared" si="4"/>
        <v>mwb</v>
      </c>
      <c r="Y657" s="4">
        <f t="shared" si="5"/>
        <v>1</v>
      </c>
      <c r="Z657" s="4" t="str">
        <f t="shared" si="6"/>
        <v>Unique</v>
      </c>
      <c r="AA657" s="4" t="str">
        <f t="shared" si="7"/>
        <v>Valid</v>
      </c>
    </row>
    <row r="658">
      <c r="A658" s="3" t="s">
        <v>1565</v>
      </c>
      <c r="B658" s="3">
        <v>6.5</v>
      </c>
      <c r="C658" s="3" t="s">
        <v>1566</v>
      </c>
      <c r="D658" s="3">
        <v>0.0</v>
      </c>
      <c r="E658" s="3">
        <v>6.0</v>
      </c>
      <c r="F658" s="4"/>
      <c r="G658" s="3">
        <v>0.0</v>
      </c>
      <c r="H658" s="3">
        <v>650.0</v>
      </c>
      <c r="I658" s="3" t="s">
        <v>110</v>
      </c>
      <c r="J658" s="3">
        <v>700.0</v>
      </c>
      <c r="K658" s="3">
        <v>0.0</v>
      </c>
      <c r="L658" s="3">
        <v>47.4</v>
      </c>
      <c r="M658" s="3" t="s">
        <v>224</v>
      </c>
      <c r="N658" s="3">
        <v>43.0</v>
      </c>
      <c r="O658" s="3">
        <v>51.148</v>
      </c>
      <c r="P658" s="3">
        <v>157.522</v>
      </c>
      <c r="Q658" s="3" t="s">
        <v>583</v>
      </c>
      <c r="R658" s="3" t="s">
        <v>164</v>
      </c>
      <c r="S658" s="3" t="s">
        <v>464</v>
      </c>
      <c r="T658" s="16">
        <f t="shared" si="1"/>
        <v>38953.90972</v>
      </c>
      <c r="U658" s="4" t="b">
        <f t="shared" si="2"/>
        <v>1</v>
      </c>
      <c r="V658" s="4" t="b">
        <f t="shared" si="3"/>
        <v>0</v>
      </c>
      <c r="W658" s="4" t="str">
        <f t="shared" si="8"/>
        <v>Distance/Location</v>
      </c>
      <c r="X658" s="4" t="str">
        <f t="shared" si="4"/>
        <v>mwb</v>
      </c>
      <c r="Y658" s="4">
        <f t="shared" si="5"/>
        <v>1</v>
      </c>
      <c r="Z658" s="4" t="str">
        <f t="shared" si="6"/>
        <v>Unique</v>
      </c>
      <c r="AA658" s="4" t="str">
        <f t="shared" si="7"/>
        <v>Valid</v>
      </c>
    </row>
    <row r="659">
      <c r="A659" s="3" t="s">
        <v>1567</v>
      </c>
      <c r="B659" s="3">
        <v>6.8</v>
      </c>
      <c r="C659" s="17">
        <v>38906.92916666667</v>
      </c>
      <c r="D659" s="3">
        <v>5.0</v>
      </c>
      <c r="E659" s="3">
        <v>5.0</v>
      </c>
      <c r="F659" s="4"/>
      <c r="G659" s="3">
        <v>0.0</v>
      </c>
      <c r="H659" s="3">
        <v>713.0</v>
      </c>
      <c r="I659" s="3" t="s">
        <v>110</v>
      </c>
      <c r="J659" s="3">
        <v>551.0</v>
      </c>
      <c r="K659" s="3">
        <v>0.0</v>
      </c>
      <c r="L659" s="3">
        <v>26.2</v>
      </c>
      <c r="M659" s="3" t="s">
        <v>224</v>
      </c>
      <c r="N659" s="3">
        <v>150.0</v>
      </c>
      <c r="O659" s="3">
        <v>-15.798</v>
      </c>
      <c r="P659" s="3">
        <v>167.789</v>
      </c>
      <c r="Q659" s="3" t="s">
        <v>803</v>
      </c>
      <c r="R659" s="4"/>
      <c r="S659" s="3" t="s">
        <v>113</v>
      </c>
      <c r="T659" s="16">
        <f t="shared" si="1"/>
        <v>38936.92917</v>
      </c>
      <c r="U659" s="4" t="b">
        <f t="shared" si="2"/>
        <v>1</v>
      </c>
      <c r="V659" s="4" t="b">
        <f t="shared" si="3"/>
        <v>1</v>
      </c>
      <c r="W659" s="4" t="str">
        <f t="shared" si="8"/>
        <v>Distance/Location</v>
      </c>
      <c r="X659" s="4" t="str">
        <f t="shared" si="4"/>
        <v>mwb</v>
      </c>
      <c r="Y659" s="4">
        <f t="shared" si="5"/>
        <v>1</v>
      </c>
      <c r="Z659" s="4" t="str">
        <f t="shared" si="6"/>
        <v>Unique</v>
      </c>
      <c r="AA659" s="4" t="str">
        <f t="shared" si="7"/>
        <v>Valid</v>
      </c>
    </row>
    <row r="660">
      <c r="A660" s="3" t="s">
        <v>1568</v>
      </c>
      <c r="B660" s="3">
        <v>7.7</v>
      </c>
      <c r="C660" s="3" t="s">
        <v>1569</v>
      </c>
      <c r="D660" s="3">
        <v>7.0</v>
      </c>
      <c r="E660" s="3">
        <v>5.0</v>
      </c>
      <c r="F660" s="4"/>
      <c r="G660" s="3">
        <v>0.0</v>
      </c>
      <c r="H660" s="3">
        <v>947.0</v>
      </c>
      <c r="I660" s="3" t="s">
        <v>110</v>
      </c>
      <c r="J660" s="3">
        <v>357.0</v>
      </c>
      <c r="K660" s="3">
        <v>0.0</v>
      </c>
      <c r="L660" s="3">
        <v>36.8</v>
      </c>
      <c r="M660" s="3" t="s">
        <v>204</v>
      </c>
      <c r="N660" s="3">
        <v>20.0</v>
      </c>
      <c r="O660" s="3">
        <v>-9.284</v>
      </c>
      <c r="P660" s="3">
        <v>107.419</v>
      </c>
      <c r="Q660" s="3" t="s">
        <v>1570</v>
      </c>
      <c r="R660" s="4"/>
      <c r="S660" s="4"/>
      <c r="T660" s="16">
        <f t="shared" si="1"/>
        <v>38915.34653</v>
      </c>
      <c r="U660" s="4" t="b">
        <f t="shared" si="2"/>
        <v>1</v>
      </c>
      <c r="V660" s="4" t="b">
        <f t="shared" si="3"/>
        <v>0</v>
      </c>
      <c r="W660" s="4" t="str">
        <f t="shared" si="8"/>
        <v>Distance/Location</v>
      </c>
      <c r="X660" s="4" t="str">
        <f t="shared" si="4"/>
        <v>mwc</v>
      </c>
      <c r="Y660" s="4">
        <f t="shared" si="5"/>
        <v>1</v>
      </c>
      <c r="Z660" s="4" t="str">
        <f t="shared" si="6"/>
        <v>Unique</v>
      </c>
      <c r="AA660" s="4" t="str">
        <f t="shared" si="7"/>
        <v>Valid</v>
      </c>
    </row>
    <row r="661">
      <c r="A661" s="3" t="s">
        <v>1571</v>
      </c>
      <c r="B661" s="3">
        <v>6.5</v>
      </c>
      <c r="C661" s="3" t="s">
        <v>1572</v>
      </c>
      <c r="D661" s="3">
        <v>0.0</v>
      </c>
      <c r="E661" s="3">
        <v>6.0</v>
      </c>
      <c r="F661" s="4"/>
      <c r="G661" s="3">
        <v>0.0</v>
      </c>
      <c r="H661" s="3">
        <v>650.0</v>
      </c>
      <c r="I661" s="3" t="s">
        <v>110</v>
      </c>
      <c r="J661" s="3">
        <v>477.0</v>
      </c>
      <c r="K661" s="3">
        <v>0.0</v>
      </c>
      <c r="L661" s="3">
        <v>20.3</v>
      </c>
      <c r="M661" s="3" t="s">
        <v>204</v>
      </c>
      <c r="N661" s="3">
        <v>34.0</v>
      </c>
      <c r="O661" s="3">
        <v>-5.724</v>
      </c>
      <c r="P661" s="3">
        <v>151.133</v>
      </c>
      <c r="Q661" s="3" t="s">
        <v>187</v>
      </c>
      <c r="R661" s="4"/>
      <c r="S661" s="3" t="s">
        <v>168</v>
      </c>
      <c r="T661" s="16">
        <f t="shared" si="1"/>
        <v>38865.13333</v>
      </c>
      <c r="U661" s="4" t="b">
        <f t="shared" si="2"/>
        <v>1</v>
      </c>
      <c r="V661" s="4" t="b">
        <f t="shared" si="3"/>
        <v>0</v>
      </c>
      <c r="W661" s="4" t="str">
        <f t="shared" si="8"/>
        <v>Distance/Location</v>
      </c>
      <c r="X661" s="4" t="str">
        <f t="shared" si="4"/>
        <v>mwc</v>
      </c>
      <c r="Y661" s="4">
        <f t="shared" si="5"/>
        <v>1</v>
      </c>
      <c r="Z661" s="4" t="str">
        <f t="shared" si="6"/>
        <v>Unique</v>
      </c>
      <c r="AA661" s="4" t="str">
        <f t="shared" si="7"/>
        <v>Valid</v>
      </c>
    </row>
    <row r="662">
      <c r="A662" s="3" t="s">
        <v>1573</v>
      </c>
      <c r="B662" s="3">
        <v>6.6</v>
      </c>
      <c r="C662" s="3" t="s">
        <v>1574</v>
      </c>
      <c r="D662" s="3">
        <v>0.0</v>
      </c>
      <c r="E662" s="3">
        <v>7.0</v>
      </c>
      <c r="F662" s="4"/>
      <c r="G662" s="3">
        <v>0.0</v>
      </c>
      <c r="H662" s="3">
        <v>670.0</v>
      </c>
      <c r="I662" s="3" t="s">
        <v>110</v>
      </c>
      <c r="J662" s="3">
        <v>548.0</v>
      </c>
      <c r="K662" s="3">
        <v>0.0</v>
      </c>
      <c r="L662" s="3">
        <v>28.0</v>
      </c>
      <c r="M662" s="3" t="s">
        <v>204</v>
      </c>
      <c r="N662" s="3">
        <v>19.0</v>
      </c>
      <c r="O662" s="3">
        <v>60.772</v>
      </c>
      <c r="P662" s="3">
        <v>165.743</v>
      </c>
      <c r="Q662" s="3" t="s">
        <v>1575</v>
      </c>
      <c r="R662" s="3" t="s">
        <v>164</v>
      </c>
      <c r="S662" s="3" t="s">
        <v>464</v>
      </c>
      <c r="T662" s="16">
        <f t="shared" si="1"/>
        <v>38859.46667</v>
      </c>
      <c r="U662" s="4" t="b">
        <f t="shared" si="2"/>
        <v>1</v>
      </c>
      <c r="V662" s="4" t="b">
        <f t="shared" si="3"/>
        <v>0</v>
      </c>
      <c r="W662" s="4" t="str">
        <f t="shared" si="8"/>
        <v>Distance/Location</v>
      </c>
      <c r="X662" s="4" t="str">
        <f t="shared" si="4"/>
        <v>mwc</v>
      </c>
      <c r="Y662" s="4">
        <f t="shared" si="5"/>
        <v>1</v>
      </c>
      <c r="Z662" s="4" t="str">
        <f t="shared" si="6"/>
        <v>Unique</v>
      </c>
      <c r="AA662" s="4" t="str">
        <f t="shared" si="7"/>
        <v>Valid</v>
      </c>
    </row>
    <row r="663">
      <c r="A663" s="3" t="s">
        <v>1576</v>
      </c>
      <c r="B663" s="3">
        <v>6.8</v>
      </c>
      <c r="C663" s="3" t="s">
        <v>1577</v>
      </c>
      <c r="D663" s="3">
        <v>4.0</v>
      </c>
      <c r="E663" s="3">
        <v>5.0</v>
      </c>
      <c r="F663" s="4"/>
      <c r="G663" s="3">
        <v>0.0</v>
      </c>
      <c r="H663" s="3">
        <v>719.0</v>
      </c>
      <c r="I663" s="3" t="s">
        <v>110</v>
      </c>
      <c r="J663" s="3">
        <v>701.0</v>
      </c>
      <c r="K663" s="3">
        <v>0.0</v>
      </c>
      <c r="L663" s="3">
        <v>16.3</v>
      </c>
      <c r="M663" s="3" t="s">
        <v>224</v>
      </c>
      <c r="N663" s="3">
        <v>12.0</v>
      </c>
      <c r="O663" s="3">
        <v>0.093</v>
      </c>
      <c r="P663" s="3">
        <v>97.05</v>
      </c>
      <c r="Q663" s="3" t="s">
        <v>1578</v>
      </c>
      <c r="R663" s="4"/>
      <c r="S663" s="4"/>
      <c r="T663" s="16">
        <f t="shared" si="1"/>
        <v>38853.64444</v>
      </c>
      <c r="U663" s="4" t="b">
        <f t="shared" si="2"/>
        <v>1</v>
      </c>
      <c r="V663" s="4" t="b">
        <f t="shared" si="3"/>
        <v>0</v>
      </c>
      <c r="W663" s="4" t="str">
        <f t="shared" si="8"/>
        <v>Distance/Location</v>
      </c>
      <c r="X663" s="4" t="str">
        <f t="shared" si="4"/>
        <v>mwb</v>
      </c>
      <c r="Y663" s="4">
        <f t="shared" si="5"/>
        <v>1</v>
      </c>
      <c r="Z663" s="4" t="str">
        <f t="shared" si="6"/>
        <v>Unique</v>
      </c>
      <c r="AA663" s="4" t="str">
        <f t="shared" si="7"/>
        <v>Valid</v>
      </c>
    </row>
    <row r="664">
      <c r="A664" s="3" t="s">
        <v>1579</v>
      </c>
      <c r="B664" s="3">
        <v>8.0</v>
      </c>
      <c r="C664" s="17">
        <v>38781.643055555556</v>
      </c>
      <c r="D664" s="3">
        <v>7.0</v>
      </c>
      <c r="E664" s="3">
        <v>7.0</v>
      </c>
      <c r="F664" s="4"/>
      <c r="G664" s="3">
        <v>0.0</v>
      </c>
      <c r="H664" s="3">
        <v>1013.0</v>
      </c>
      <c r="I664" s="3" t="s">
        <v>110</v>
      </c>
      <c r="J664" s="3">
        <v>626.0</v>
      </c>
      <c r="K664" s="3">
        <v>0.0</v>
      </c>
      <c r="L664" s="3">
        <v>20.7</v>
      </c>
      <c r="M664" s="3" t="s">
        <v>204</v>
      </c>
      <c r="N664" s="3">
        <v>55.0</v>
      </c>
      <c r="O664" s="3">
        <v>-20.187</v>
      </c>
      <c r="P664" s="3">
        <v>-174.123</v>
      </c>
      <c r="Q664" s="3" t="s">
        <v>377</v>
      </c>
      <c r="R664" s="4"/>
      <c r="S664" s="4"/>
      <c r="T664" s="16">
        <f t="shared" si="1"/>
        <v>38840.64306</v>
      </c>
      <c r="U664" s="4" t="b">
        <f t="shared" si="2"/>
        <v>1</v>
      </c>
      <c r="V664" s="4" t="b">
        <f t="shared" si="3"/>
        <v>1</v>
      </c>
      <c r="W664" s="4" t="str">
        <f t="shared" si="8"/>
        <v>Distance/Location</v>
      </c>
      <c r="X664" s="4" t="str">
        <f t="shared" si="4"/>
        <v>mwc</v>
      </c>
      <c r="Y664" s="4">
        <f t="shared" si="5"/>
        <v>1</v>
      </c>
      <c r="Z664" s="4" t="str">
        <f t="shared" si="6"/>
        <v>Unique</v>
      </c>
      <c r="AA664" s="4" t="str">
        <f t="shared" si="7"/>
        <v>Valid</v>
      </c>
    </row>
    <row r="665">
      <c r="A665" s="3" t="s">
        <v>1580</v>
      </c>
      <c r="B665" s="3">
        <v>8.0</v>
      </c>
      <c r="C665" s="17">
        <v>38781.643055555556</v>
      </c>
      <c r="D665" s="3">
        <v>8.0</v>
      </c>
      <c r="E665" s="3">
        <v>9.0</v>
      </c>
      <c r="F665" s="4"/>
      <c r="G665" s="3">
        <v>0.0</v>
      </c>
      <c r="H665" s="3">
        <v>1026.0</v>
      </c>
      <c r="I665" s="3" t="s">
        <v>1432</v>
      </c>
      <c r="J665" s="3">
        <v>0.0</v>
      </c>
      <c r="K665" s="3">
        <v>0.0</v>
      </c>
      <c r="L665" s="3">
        <v>0.0</v>
      </c>
      <c r="M665" s="3" t="s">
        <v>111</v>
      </c>
      <c r="N665" s="3">
        <v>60.5</v>
      </c>
      <c r="O665" s="3">
        <v>-19.99</v>
      </c>
      <c r="P665" s="3">
        <v>-173.907</v>
      </c>
      <c r="Q665" s="3" t="s">
        <v>377</v>
      </c>
      <c r="R665" s="4"/>
      <c r="S665" s="4"/>
      <c r="T665" s="16">
        <f t="shared" si="1"/>
        <v>38840.64306</v>
      </c>
      <c r="U665" s="4" t="b">
        <f t="shared" si="2"/>
        <v>1</v>
      </c>
      <c r="V665" s="4" t="b">
        <f t="shared" si="3"/>
        <v>1</v>
      </c>
      <c r="W665" s="4" t="str">
        <f t="shared" si="8"/>
        <v>Distance/Location</v>
      </c>
      <c r="X665" s="4" t="str">
        <f t="shared" si="4"/>
        <v>mww</v>
      </c>
      <c r="Y665" s="4">
        <f t="shared" si="5"/>
        <v>1</v>
      </c>
      <c r="Z665" s="4" t="str">
        <f t="shared" si="6"/>
        <v>Unique</v>
      </c>
      <c r="AA665" s="4" t="str">
        <f t="shared" si="7"/>
        <v>Valid</v>
      </c>
    </row>
    <row r="666">
      <c r="A666" s="3" t="s">
        <v>1581</v>
      </c>
      <c r="B666" s="3">
        <v>6.5</v>
      </c>
      <c r="C666" s="3" t="s">
        <v>1582</v>
      </c>
      <c r="D666" s="3">
        <v>7.0</v>
      </c>
      <c r="E666" s="3">
        <v>7.0</v>
      </c>
      <c r="F666" s="4"/>
      <c r="G666" s="3">
        <v>0.0</v>
      </c>
      <c r="H666" s="3">
        <v>653.0</v>
      </c>
      <c r="I666" s="3" t="s">
        <v>110</v>
      </c>
      <c r="J666" s="3">
        <v>282.0</v>
      </c>
      <c r="K666" s="3">
        <v>0.0</v>
      </c>
      <c r="L666" s="3">
        <v>46.3</v>
      </c>
      <c r="M666" s="3" t="s">
        <v>204</v>
      </c>
      <c r="N666" s="3">
        <v>12.0</v>
      </c>
      <c r="O666" s="3">
        <v>-27.211</v>
      </c>
      <c r="P666" s="3">
        <v>-71.056</v>
      </c>
      <c r="Q666" s="3" t="s">
        <v>1583</v>
      </c>
      <c r="R666" s="4"/>
      <c r="S666" s="3" t="s">
        <v>414</v>
      </c>
      <c r="T666" s="16">
        <f t="shared" si="1"/>
        <v>38837.90278</v>
      </c>
      <c r="U666" s="4" t="b">
        <f t="shared" si="2"/>
        <v>1</v>
      </c>
      <c r="V666" s="4" t="b">
        <f t="shared" si="3"/>
        <v>0</v>
      </c>
      <c r="W666" s="4" t="str">
        <f t="shared" si="8"/>
        <v>Distance/Location</v>
      </c>
      <c r="X666" s="4" t="str">
        <f t="shared" si="4"/>
        <v>mwc</v>
      </c>
      <c r="Y666" s="4">
        <f t="shared" si="5"/>
        <v>1</v>
      </c>
      <c r="Z666" s="4" t="str">
        <f t="shared" si="6"/>
        <v>Unique</v>
      </c>
      <c r="AA666" s="4" t="str">
        <f t="shared" si="7"/>
        <v>Valid</v>
      </c>
    </row>
    <row r="667">
      <c r="A667" s="3" t="s">
        <v>1584</v>
      </c>
      <c r="B667" s="3">
        <v>6.7</v>
      </c>
      <c r="C667" s="3" t="s">
        <v>1585</v>
      </c>
      <c r="D667" s="3">
        <v>6.0</v>
      </c>
      <c r="E667" s="3">
        <v>7.0</v>
      </c>
      <c r="F667" s="4"/>
      <c r="G667" s="3">
        <v>0.0</v>
      </c>
      <c r="H667" s="3">
        <v>696.0</v>
      </c>
      <c r="I667" s="3" t="s">
        <v>110</v>
      </c>
      <c r="J667" s="3">
        <v>277.0</v>
      </c>
      <c r="K667" s="3">
        <v>0.0</v>
      </c>
      <c r="L667" s="3">
        <v>25.6</v>
      </c>
      <c r="M667" s="3" t="s">
        <v>224</v>
      </c>
      <c r="N667" s="3">
        <v>12.0</v>
      </c>
      <c r="O667" s="3">
        <v>-27.017</v>
      </c>
      <c r="P667" s="3">
        <v>-71.022</v>
      </c>
      <c r="Q667" s="3" t="s">
        <v>1583</v>
      </c>
      <c r="R667" s="4"/>
      <c r="S667" s="3" t="s">
        <v>414</v>
      </c>
      <c r="T667" s="16">
        <f t="shared" si="1"/>
        <v>38837.80347</v>
      </c>
      <c r="U667" s="4" t="b">
        <f t="shared" si="2"/>
        <v>1</v>
      </c>
      <c r="V667" s="4" t="b">
        <f t="shared" si="3"/>
        <v>0</v>
      </c>
      <c r="W667" s="4" t="str">
        <f t="shared" si="8"/>
        <v>Distance/Location</v>
      </c>
      <c r="X667" s="4" t="str">
        <f t="shared" si="4"/>
        <v>mwb</v>
      </c>
      <c r="Y667" s="4">
        <f t="shared" si="5"/>
        <v>1</v>
      </c>
      <c r="Z667" s="4" t="str">
        <f t="shared" si="6"/>
        <v>Unique</v>
      </c>
      <c r="AA667" s="4" t="str">
        <f t="shared" si="7"/>
        <v>Valid</v>
      </c>
    </row>
    <row r="668">
      <c r="A668" s="3" t="s">
        <v>1586</v>
      </c>
      <c r="B668" s="3">
        <v>6.6</v>
      </c>
      <c r="C668" s="3" t="s">
        <v>1587</v>
      </c>
      <c r="D668" s="3">
        <v>0.0</v>
      </c>
      <c r="E668" s="3">
        <v>8.0</v>
      </c>
      <c r="F668" s="4"/>
      <c r="G668" s="3">
        <v>0.0</v>
      </c>
      <c r="H668" s="3">
        <v>670.0</v>
      </c>
      <c r="I668" s="3" t="s">
        <v>110</v>
      </c>
      <c r="J668" s="3">
        <v>645.0</v>
      </c>
      <c r="K668" s="3">
        <v>0.0</v>
      </c>
      <c r="L668" s="3">
        <v>28.4</v>
      </c>
      <c r="M668" s="3" t="s">
        <v>204</v>
      </c>
      <c r="N668" s="3">
        <v>11.0</v>
      </c>
      <c r="O668" s="3">
        <v>60.491</v>
      </c>
      <c r="P668" s="3">
        <v>167.516</v>
      </c>
      <c r="Q668" s="3" t="s">
        <v>1575</v>
      </c>
      <c r="R668" s="3" t="s">
        <v>164</v>
      </c>
      <c r="S668" s="3" t="s">
        <v>464</v>
      </c>
      <c r="T668" s="16">
        <f t="shared" si="1"/>
        <v>38836.70694</v>
      </c>
      <c r="U668" s="4" t="b">
        <f t="shared" si="2"/>
        <v>1</v>
      </c>
      <c r="V668" s="4" t="b">
        <f t="shared" si="3"/>
        <v>0</v>
      </c>
      <c r="W668" s="4" t="str">
        <f t="shared" si="8"/>
        <v>Distance/Location</v>
      </c>
      <c r="X668" s="4" t="str">
        <f t="shared" si="4"/>
        <v>mwc</v>
      </c>
      <c r="Y668" s="4">
        <f t="shared" si="5"/>
        <v>1</v>
      </c>
      <c r="Z668" s="4" t="str">
        <f t="shared" si="6"/>
        <v>Unique</v>
      </c>
      <c r="AA668" s="4" t="str">
        <f t="shared" si="7"/>
        <v>Valid</v>
      </c>
    </row>
    <row r="669">
      <c r="A669" s="3" t="s">
        <v>1588</v>
      </c>
      <c r="B669" s="3">
        <v>7.6</v>
      </c>
      <c r="C669" s="3" t="s">
        <v>1589</v>
      </c>
      <c r="D669" s="3">
        <v>0.0</v>
      </c>
      <c r="E669" s="3">
        <v>8.0</v>
      </c>
      <c r="F669" s="4"/>
      <c r="G669" s="3">
        <v>0.0</v>
      </c>
      <c r="H669" s="3">
        <v>889.0</v>
      </c>
      <c r="I669" s="3" t="s">
        <v>110</v>
      </c>
      <c r="J669" s="3">
        <v>579.0</v>
      </c>
      <c r="K669" s="3">
        <v>0.0</v>
      </c>
      <c r="L669" s="3">
        <v>18.5</v>
      </c>
      <c r="M669" s="3" t="s">
        <v>204</v>
      </c>
      <c r="N669" s="3">
        <v>22.0</v>
      </c>
      <c r="O669" s="3">
        <v>60.949</v>
      </c>
      <c r="P669" s="3">
        <v>167.089</v>
      </c>
      <c r="Q669" s="3" t="s">
        <v>1575</v>
      </c>
      <c r="R669" s="3" t="s">
        <v>164</v>
      </c>
      <c r="S669" s="3" t="s">
        <v>464</v>
      </c>
      <c r="T669" s="16">
        <f t="shared" si="1"/>
        <v>38827.97569</v>
      </c>
      <c r="U669" s="4" t="b">
        <f t="shared" si="2"/>
        <v>1</v>
      </c>
      <c r="V669" s="4" t="b">
        <f t="shared" si="3"/>
        <v>0</v>
      </c>
      <c r="W669" s="4" t="str">
        <f t="shared" si="8"/>
        <v>Distance/Location</v>
      </c>
      <c r="X669" s="4" t="str">
        <f t="shared" si="4"/>
        <v>mwc</v>
      </c>
      <c r="Y669" s="4">
        <f t="shared" si="5"/>
        <v>1</v>
      </c>
      <c r="Z669" s="4" t="str">
        <f t="shared" si="6"/>
        <v>Unique</v>
      </c>
      <c r="AA669" s="4" t="str">
        <f t="shared" si="7"/>
        <v>Valid</v>
      </c>
    </row>
    <row r="670">
      <c r="A670" s="3" t="s">
        <v>1590</v>
      </c>
      <c r="B670" s="3">
        <v>6.5</v>
      </c>
      <c r="C670" s="17">
        <v>38902.354166666664</v>
      </c>
      <c r="D670" s="3">
        <v>3.0</v>
      </c>
      <c r="E670" s="3">
        <v>5.0</v>
      </c>
      <c r="F670" s="4"/>
      <c r="G670" s="3">
        <v>0.0</v>
      </c>
      <c r="H670" s="3">
        <v>654.0</v>
      </c>
      <c r="I670" s="3" t="s">
        <v>110</v>
      </c>
      <c r="J670" s="3">
        <v>247.0</v>
      </c>
      <c r="K670" s="3">
        <v>0.0</v>
      </c>
      <c r="L670" s="3">
        <v>25.5</v>
      </c>
      <c r="M670" s="3" t="s">
        <v>204</v>
      </c>
      <c r="N670" s="3">
        <v>14.0</v>
      </c>
      <c r="O670" s="3">
        <v>-16.527</v>
      </c>
      <c r="P670" s="3">
        <v>176.989</v>
      </c>
      <c r="Q670" s="3" t="s">
        <v>1591</v>
      </c>
      <c r="R670" s="4"/>
      <c r="S670" s="4"/>
      <c r="T670" s="16">
        <f t="shared" si="1"/>
        <v>38814.35417</v>
      </c>
      <c r="U670" s="4" t="b">
        <f t="shared" si="2"/>
        <v>1</v>
      </c>
      <c r="V670" s="4" t="b">
        <f t="shared" si="3"/>
        <v>1</v>
      </c>
      <c r="W670" s="4" t="str">
        <f t="shared" si="8"/>
        <v>Distance/Location</v>
      </c>
      <c r="X670" s="4" t="str">
        <f t="shared" si="4"/>
        <v>mwc</v>
      </c>
      <c r="Y670" s="4">
        <f t="shared" si="5"/>
        <v>1</v>
      </c>
      <c r="Z670" s="4" t="str">
        <f t="shared" si="6"/>
        <v>Unique</v>
      </c>
      <c r="AA670" s="4" t="str">
        <f t="shared" si="7"/>
        <v>Valid</v>
      </c>
    </row>
    <row r="671">
      <c r="A671" s="3" t="s">
        <v>1592</v>
      </c>
      <c r="B671" s="3">
        <v>6.7</v>
      </c>
      <c r="C671" s="3" t="s">
        <v>1593</v>
      </c>
      <c r="D671" s="3">
        <v>0.0</v>
      </c>
      <c r="E671" s="3">
        <v>7.0</v>
      </c>
      <c r="F671" s="4"/>
      <c r="G671" s="3">
        <v>0.0</v>
      </c>
      <c r="H671" s="3">
        <v>691.0</v>
      </c>
      <c r="I671" s="3" t="s">
        <v>110</v>
      </c>
      <c r="J671" s="3">
        <v>306.0</v>
      </c>
      <c r="K671" s="3">
        <v>0.0</v>
      </c>
      <c r="L671" s="3">
        <v>21.3</v>
      </c>
      <c r="M671" s="3" t="s">
        <v>224</v>
      </c>
      <c r="N671" s="3">
        <v>30.1</v>
      </c>
      <c r="O671" s="3">
        <v>-3.595</v>
      </c>
      <c r="P671" s="3">
        <v>127.214</v>
      </c>
      <c r="Q671" s="3" t="s">
        <v>1594</v>
      </c>
      <c r="R671" s="4"/>
      <c r="S671" s="3" t="s">
        <v>153</v>
      </c>
      <c r="T671" s="16">
        <f t="shared" si="1"/>
        <v>38790.28958</v>
      </c>
      <c r="U671" s="4" t="b">
        <f t="shared" si="2"/>
        <v>1</v>
      </c>
      <c r="V671" s="4" t="b">
        <f t="shared" si="3"/>
        <v>0</v>
      </c>
      <c r="W671" s="4" t="str">
        <f t="shared" si="8"/>
        <v>Distance/Location</v>
      </c>
      <c r="X671" s="4" t="str">
        <f t="shared" si="4"/>
        <v>mwb</v>
      </c>
      <c r="Y671" s="4">
        <f t="shared" si="5"/>
        <v>1</v>
      </c>
      <c r="Z671" s="4" t="str">
        <f t="shared" si="6"/>
        <v>Unique</v>
      </c>
      <c r="AA671" s="4" t="str">
        <f t="shared" si="7"/>
        <v>Valid</v>
      </c>
    </row>
    <row r="672">
      <c r="A672" s="3" t="s">
        <v>1595</v>
      </c>
      <c r="B672" s="3">
        <v>7.0</v>
      </c>
      <c r="C672" s="3" t="s">
        <v>1596</v>
      </c>
      <c r="D672" s="3">
        <v>5.0</v>
      </c>
      <c r="E672" s="3">
        <v>9.0</v>
      </c>
      <c r="F672" s="4"/>
      <c r="G672" s="3">
        <v>0.0</v>
      </c>
      <c r="H672" s="3">
        <v>891.0</v>
      </c>
      <c r="I672" s="3" t="s">
        <v>110</v>
      </c>
      <c r="J672" s="3">
        <v>412.0</v>
      </c>
      <c r="K672" s="3">
        <v>0.0</v>
      </c>
      <c r="L672" s="3">
        <v>23.2</v>
      </c>
      <c r="M672" s="3" t="s">
        <v>224</v>
      </c>
      <c r="N672" s="3">
        <v>11.0</v>
      </c>
      <c r="O672" s="3">
        <v>-21.324</v>
      </c>
      <c r="P672" s="3">
        <v>33.583</v>
      </c>
      <c r="Q672" s="3" t="s">
        <v>1597</v>
      </c>
      <c r="R672" s="3" t="s">
        <v>715</v>
      </c>
      <c r="S672" s="3" t="s">
        <v>1598</v>
      </c>
      <c r="T672" s="16">
        <f t="shared" si="1"/>
        <v>38770.92986</v>
      </c>
      <c r="U672" s="4" t="b">
        <f t="shared" si="2"/>
        <v>1</v>
      </c>
      <c r="V672" s="4" t="b">
        <f t="shared" si="3"/>
        <v>0</v>
      </c>
      <c r="W672" s="4" t="str">
        <f t="shared" si="8"/>
        <v>Distance/Location</v>
      </c>
      <c r="X672" s="4" t="str">
        <f t="shared" si="4"/>
        <v>mwb</v>
      </c>
      <c r="Y672" s="4">
        <f t="shared" si="5"/>
        <v>1</v>
      </c>
      <c r="Z672" s="4" t="str">
        <f t="shared" si="6"/>
        <v>Unique</v>
      </c>
      <c r="AA672" s="4" t="str">
        <f t="shared" si="7"/>
        <v>Valid</v>
      </c>
    </row>
    <row r="673">
      <c r="A673" s="3" t="s">
        <v>1599</v>
      </c>
      <c r="B673" s="3">
        <v>6.7</v>
      </c>
      <c r="C673" s="17">
        <v>38930.481944444444</v>
      </c>
      <c r="D673" s="3">
        <v>7.0</v>
      </c>
      <c r="E673" s="3">
        <v>6.0</v>
      </c>
      <c r="F673" s="4"/>
      <c r="G673" s="3">
        <v>0.0</v>
      </c>
      <c r="H673" s="3">
        <v>934.0</v>
      </c>
      <c r="I673" s="3" t="s">
        <v>110</v>
      </c>
      <c r="J673" s="3">
        <v>769.0</v>
      </c>
      <c r="K673" s="3">
        <v>0.0</v>
      </c>
      <c r="L673" s="3">
        <v>19.7</v>
      </c>
      <c r="M673" s="3" t="s">
        <v>224</v>
      </c>
      <c r="N673" s="3">
        <v>66.0</v>
      </c>
      <c r="O673" s="3">
        <v>36.311</v>
      </c>
      <c r="P673" s="3">
        <v>23.212</v>
      </c>
      <c r="Q673" s="3" t="s">
        <v>1600</v>
      </c>
      <c r="R673" s="3" t="s">
        <v>404</v>
      </c>
      <c r="S673" s="3" t="s">
        <v>405</v>
      </c>
      <c r="T673" s="16">
        <f t="shared" si="1"/>
        <v>38725.48194</v>
      </c>
      <c r="U673" s="4" t="b">
        <f t="shared" si="2"/>
        <v>1</v>
      </c>
      <c r="V673" s="4" t="b">
        <f t="shared" si="3"/>
        <v>1</v>
      </c>
      <c r="W673" s="4" t="str">
        <f t="shared" si="8"/>
        <v>Distance/Location</v>
      </c>
      <c r="X673" s="4" t="str">
        <f t="shared" si="4"/>
        <v>mwb</v>
      </c>
      <c r="Y673" s="4">
        <f t="shared" si="5"/>
        <v>1</v>
      </c>
      <c r="Z673" s="4" t="str">
        <f t="shared" si="6"/>
        <v>Unique</v>
      </c>
      <c r="AA673" s="4" t="str">
        <f t="shared" si="7"/>
        <v>Valid</v>
      </c>
    </row>
    <row r="674">
      <c r="A674" s="3" t="s">
        <v>1601</v>
      </c>
      <c r="B674" s="3">
        <v>6.6</v>
      </c>
      <c r="C674" s="17">
        <v>38808.35555555556</v>
      </c>
      <c r="D674" s="3">
        <v>7.0</v>
      </c>
      <c r="E674" s="3">
        <v>6.0</v>
      </c>
      <c r="F674" s="4"/>
      <c r="G674" s="3">
        <v>0.0</v>
      </c>
      <c r="H674" s="3">
        <v>703.0</v>
      </c>
      <c r="I674" s="3" t="s">
        <v>110</v>
      </c>
      <c r="J674" s="3">
        <v>323.0</v>
      </c>
      <c r="K674" s="3">
        <v>0.0</v>
      </c>
      <c r="L674" s="3">
        <v>48.2</v>
      </c>
      <c r="M674" s="3" t="s">
        <v>204</v>
      </c>
      <c r="N674" s="3">
        <v>14.0</v>
      </c>
      <c r="O674" s="3">
        <v>28.164</v>
      </c>
      <c r="P674" s="3">
        <v>-112.117</v>
      </c>
      <c r="Q674" s="3" t="s">
        <v>1395</v>
      </c>
      <c r="R674" s="4"/>
      <c r="S674" s="4"/>
      <c r="T674" s="16">
        <f t="shared" si="1"/>
        <v>38721.35556</v>
      </c>
      <c r="U674" s="4" t="b">
        <f t="shared" si="2"/>
        <v>1</v>
      </c>
      <c r="V674" s="4" t="b">
        <f t="shared" si="3"/>
        <v>1</v>
      </c>
      <c r="W674" s="4" t="str">
        <f t="shared" si="8"/>
        <v>Distance/Location</v>
      </c>
      <c r="X674" s="4" t="str">
        <f t="shared" si="4"/>
        <v>mwc</v>
      </c>
      <c r="Y674" s="4">
        <f t="shared" si="5"/>
        <v>1</v>
      </c>
      <c r="Z674" s="4" t="str">
        <f t="shared" si="6"/>
        <v>Unique</v>
      </c>
      <c r="AA674" s="4" t="str">
        <f t="shared" si="7"/>
        <v>Valid</v>
      </c>
    </row>
    <row r="675">
      <c r="A675" s="3" t="s">
        <v>1602</v>
      </c>
      <c r="B675" s="3">
        <v>6.5</v>
      </c>
      <c r="C675" s="18">
        <v>38698.907638888886</v>
      </c>
      <c r="D675" s="3">
        <v>6.0</v>
      </c>
      <c r="E675" s="3">
        <v>5.0</v>
      </c>
      <c r="F675" s="4"/>
      <c r="G675" s="3">
        <v>0.0</v>
      </c>
      <c r="H675" s="3">
        <v>721.0</v>
      </c>
      <c r="I675" s="3" t="s">
        <v>110</v>
      </c>
      <c r="J675" s="3">
        <v>529.0</v>
      </c>
      <c r="K675" s="3">
        <v>0.0</v>
      </c>
      <c r="L675" s="3">
        <v>20.5</v>
      </c>
      <c r="M675" s="3" t="s">
        <v>224</v>
      </c>
      <c r="N675" s="3">
        <v>224.6</v>
      </c>
      <c r="O675" s="3">
        <v>36.357</v>
      </c>
      <c r="P675" s="3">
        <v>71.093</v>
      </c>
      <c r="Q675" s="3" t="s">
        <v>813</v>
      </c>
      <c r="R675" s="3" t="s">
        <v>164</v>
      </c>
      <c r="S675" s="3" t="s">
        <v>175</v>
      </c>
      <c r="T675" s="16">
        <f t="shared" si="1"/>
        <v>38698.90764</v>
      </c>
      <c r="U675" s="4" t="b">
        <f t="shared" si="2"/>
        <v>1</v>
      </c>
      <c r="V675" s="4" t="b">
        <f t="shared" si="3"/>
        <v>1</v>
      </c>
      <c r="W675" s="4" t="str">
        <f t="shared" si="8"/>
        <v>Distance/Location</v>
      </c>
      <c r="X675" s="4" t="str">
        <f t="shared" si="4"/>
        <v>mwb</v>
      </c>
      <c r="Y675" s="4">
        <f t="shared" si="5"/>
        <v>1</v>
      </c>
      <c r="Z675" s="4" t="str">
        <f t="shared" si="6"/>
        <v>Unique</v>
      </c>
      <c r="AA675" s="4" t="str">
        <f t="shared" si="7"/>
        <v>Valid</v>
      </c>
    </row>
    <row r="676">
      <c r="A676" s="3" t="s">
        <v>1603</v>
      </c>
      <c r="B676" s="3">
        <v>6.8</v>
      </c>
      <c r="C676" s="17">
        <v>38484.513194444444</v>
      </c>
      <c r="D676" s="3">
        <v>5.0</v>
      </c>
      <c r="E676" s="3">
        <v>7.0</v>
      </c>
      <c r="F676" s="4"/>
      <c r="G676" s="3">
        <v>0.0</v>
      </c>
      <c r="H676" s="3">
        <v>744.0</v>
      </c>
      <c r="I676" s="3" t="s">
        <v>110</v>
      </c>
      <c r="J676" s="3">
        <v>561.0</v>
      </c>
      <c r="K676" s="3">
        <v>0.0</v>
      </c>
      <c r="L676" s="3">
        <v>20.0</v>
      </c>
      <c r="M676" s="3" t="s">
        <v>204</v>
      </c>
      <c r="N676" s="3">
        <v>22.0</v>
      </c>
      <c r="O676" s="3">
        <v>-6.224</v>
      </c>
      <c r="P676" s="3">
        <v>29.83</v>
      </c>
      <c r="Q676" s="3" t="s">
        <v>1604</v>
      </c>
      <c r="R676" s="3" t="s">
        <v>715</v>
      </c>
      <c r="S676" s="3" t="s">
        <v>1605</v>
      </c>
      <c r="T676" s="16">
        <f t="shared" si="1"/>
        <v>38691.51319</v>
      </c>
      <c r="U676" s="4" t="b">
        <f t="shared" si="2"/>
        <v>1</v>
      </c>
      <c r="V676" s="4" t="b">
        <f t="shared" si="3"/>
        <v>1</v>
      </c>
      <c r="W676" s="4" t="str">
        <f t="shared" si="8"/>
        <v>Distance/Location</v>
      </c>
      <c r="X676" s="4" t="str">
        <f t="shared" si="4"/>
        <v>mwc</v>
      </c>
      <c r="Y676" s="4">
        <f t="shared" si="5"/>
        <v>1</v>
      </c>
      <c r="Z676" s="4" t="str">
        <f t="shared" si="6"/>
        <v>Unique</v>
      </c>
      <c r="AA676" s="4" t="str">
        <f t="shared" si="7"/>
        <v>Valid</v>
      </c>
    </row>
    <row r="677">
      <c r="A677" s="3" t="s">
        <v>1606</v>
      </c>
      <c r="B677" s="3">
        <v>6.5</v>
      </c>
      <c r="C677" s="17">
        <v>38395.55069444444</v>
      </c>
      <c r="D677" s="3">
        <v>4.0</v>
      </c>
      <c r="E677" s="3">
        <v>5.0</v>
      </c>
      <c r="F677" s="4"/>
      <c r="G677" s="3">
        <v>0.0</v>
      </c>
      <c r="H677" s="3">
        <v>683.0</v>
      </c>
      <c r="I677" s="3" t="s">
        <v>110</v>
      </c>
      <c r="J677" s="3">
        <v>464.0</v>
      </c>
      <c r="K677" s="3">
        <v>0.0</v>
      </c>
      <c r="L677" s="3">
        <v>48.8</v>
      </c>
      <c r="M677" s="3" t="s">
        <v>204</v>
      </c>
      <c r="N677" s="3">
        <v>29.0</v>
      </c>
      <c r="O677" s="3">
        <v>38.089</v>
      </c>
      <c r="P677" s="3">
        <v>142.122</v>
      </c>
      <c r="Q677" s="3" t="s">
        <v>380</v>
      </c>
      <c r="R677" s="4"/>
      <c r="S677" s="4"/>
      <c r="T677" s="16">
        <f t="shared" si="1"/>
        <v>38688.55069</v>
      </c>
      <c r="U677" s="4" t="b">
        <f t="shared" si="2"/>
        <v>1</v>
      </c>
      <c r="V677" s="4" t="b">
        <f t="shared" si="3"/>
        <v>1</v>
      </c>
      <c r="W677" s="4" t="str">
        <f t="shared" si="8"/>
        <v>Distance/Location</v>
      </c>
      <c r="X677" s="4" t="str">
        <f t="shared" si="4"/>
        <v>mwc</v>
      </c>
      <c r="Y677" s="4">
        <f t="shared" si="5"/>
        <v>1</v>
      </c>
      <c r="Z677" s="4" t="str">
        <f t="shared" si="6"/>
        <v>Unique</v>
      </c>
      <c r="AA677" s="4" t="str">
        <f t="shared" si="7"/>
        <v>Valid</v>
      </c>
    </row>
    <row r="678">
      <c r="A678" s="3" t="s">
        <v>1607</v>
      </c>
      <c r="B678" s="3">
        <v>6.5</v>
      </c>
      <c r="C678" s="3" t="s">
        <v>1608</v>
      </c>
      <c r="D678" s="3">
        <v>3.0</v>
      </c>
      <c r="E678" s="3">
        <v>6.0</v>
      </c>
      <c r="F678" s="4"/>
      <c r="G678" s="3">
        <v>0.0</v>
      </c>
      <c r="H678" s="3">
        <v>651.0</v>
      </c>
      <c r="I678" s="3" t="s">
        <v>110</v>
      </c>
      <c r="J678" s="3">
        <v>358.0</v>
      </c>
      <c r="K678" s="3">
        <v>0.0</v>
      </c>
      <c r="L678" s="3">
        <v>20.7</v>
      </c>
      <c r="M678" s="3" t="s">
        <v>224</v>
      </c>
      <c r="N678" s="3">
        <v>21.0</v>
      </c>
      <c r="O678" s="3">
        <v>2.164</v>
      </c>
      <c r="P678" s="3">
        <v>96.786</v>
      </c>
      <c r="Q678" s="3" t="s">
        <v>368</v>
      </c>
      <c r="R678" s="4"/>
      <c r="S678" s="3" t="s">
        <v>153</v>
      </c>
      <c r="T678" s="16">
        <f t="shared" si="1"/>
        <v>38675.59028</v>
      </c>
      <c r="U678" s="4" t="b">
        <f t="shared" si="2"/>
        <v>1</v>
      </c>
      <c r="V678" s="4" t="b">
        <f t="shared" si="3"/>
        <v>0</v>
      </c>
      <c r="W678" s="4" t="str">
        <f t="shared" si="8"/>
        <v>Distance/Location</v>
      </c>
      <c r="X678" s="4" t="str">
        <f t="shared" si="4"/>
        <v>mwb</v>
      </c>
      <c r="Y678" s="4">
        <f t="shared" si="5"/>
        <v>1</v>
      </c>
      <c r="Z678" s="4" t="str">
        <f t="shared" si="6"/>
        <v>Unique</v>
      </c>
      <c r="AA678" s="4" t="str">
        <f t="shared" si="7"/>
        <v>Valid</v>
      </c>
    </row>
    <row r="679">
      <c r="A679" s="3" t="s">
        <v>1609</v>
      </c>
      <c r="B679" s="3">
        <v>6.8</v>
      </c>
      <c r="C679" s="3" t="s">
        <v>1610</v>
      </c>
      <c r="D679" s="3">
        <v>0.0</v>
      </c>
      <c r="E679" s="3">
        <v>6.0</v>
      </c>
      <c r="F679" s="4"/>
      <c r="G679" s="3">
        <v>0.0</v>
      </c>
      <c r="H679" s="3">
        <v>711.0</v>
      </c>
      <c r="I679" s="3" t="s">
        <v>110</v>
      </c>
      <c r="J679" s="3">
        <v>509.0</v>
      </c>
      <c r="K679" s="3">
        <v>0.0</v>
      </c>
      <c r="L679" s="3">
        <v>30.1</v>
      </c>
      <c r="M679" s="3" t="s">
        <v>224</v>
      </c>
      <c r="N679" s="3">
        <v>147.0</v>
      </c>
      <c r="O679" s="3">
        <v>-22.361</v>
      </c>
      <c r="P679" s="3">
        <v>-67.895</v>
      </c>
      <c r="Q679" s="3" t="s">
        <v>443</v>
      </c>
      <c r="R679" s="3" t="s">
        <v>121</v>
      </c>
      <c r="S679" s="3" t="s">
        <v>627</v>
      </c>
      <c r="T679" s="16">
        <f t="shared" si="1"/>
        <v>38673.80972</v>
      </c>
      <c r="U679" s="4" t="b">
        <f t="shared" si="2"/>
        <v>1</v>
      </c>
      <c r="V679" s="4" t="b">
        <f t="shared" si="3"/>
        <v>0</v>
      </c>
      <c r="W679" s="4" t="str">
        <f t="shared" si="8"/>
        <v>Distance/Location</v>
      </c>
      <c r="X679" s="4" t="str">
        <f t="shared" si="4"/>
        <v>mwb</v>
      </c>
      <c r="Y679" s="4">
        <f t="shared" si="5"/>
        <v>1</v>
      </c>
      <c r="Z679" s="4" t="str">
        <f t="shared" si="6"/>
        <v>Unique</v>
      </c>
      <c r="AA679" s="4" t="str">
        <f t="shared" si="7"/>
        <v>Valid</v>
      </c>
    </row>
    <row r="680">
      <c r="A680" s="3" t="s">
        <v>1611</v>
      </c>
      <c r="B680" s="3">
        <v>7.6</v>
      </c>
      <c r="C680" s="17">
        <v>38574.15972222222</v>
      </c>
      <c r="D680" s="3">
        <v>9.0</v>
      </c>
      <c r="E680" s="3">
        <v>9.0</v>
      </c>
      <c r="F680" s="4"/>
      <c r="G680" s="3">
        <v>0.0</v>
      </c>
      <c r="H680" s="3">
        <v>1267.0</v>
      </c>
      <c r="I680" s="3" t="s">
        <v>110</v>
      </c>
      <c r="J680" s="3">
        <v>724.0</v>
      </c>
      <c r="K680" s="3">
        <v>0.0</v>
      </c>
      <c r="L680" s="3">
        <v>21.1</v>
      </c>
      <c r="M680" s="3" t="s">
        <v>204</v>
      </c>
      <c r="N680" s="3">
        <v>26.0</v>
      </c>
      <c r="O680" s="3">
        <v>34.539</v>
      </c>
      <c r="P680" s="3">
        <v>73.588</v>
      </c>
      <c r="Q680" s="3" t="s">
        <v>1612</v>
      </c>
      <c r="R680" s="3" t="s">
        <v>164</v>
      </c>
      <c r="S680" s="3" t="s">
        <v>1066</v>
      </c>
      <c r="T680" s="16">
        <f t="shared" si="1"/>
        <v>38633.15972</v>
      </c>
      <c r="U680" s="4" t="b">
        <f t="shared" si="2"/>
        <v>1</v>
      </c>
      <c r="V680" s="4" t="b">
        <f t="shared" si="3"/>
        <v>1</v>
      </c>
      <c r="W680" s="4" t="str">
        <f t="shared" si="8"/>
        <v>Distance/Location</v>
      </c>
      <c r="X680" s="4" t="str">
        <f t="shared" si="4"/>
        <v>mwc</v>
      </c>
      <c r="Y680" s="4">
        <f t="shared" si="5"/>
        <v>1</v>
      </c>
      <c r="Z680" s="4" t="str">
        <f t="shared" si="6"/>
        <v>Unique</v>
      </c>
      <c r="AA680" s="4" t="str">
        <f t="shared" si="7"/>
        <v>Valid</v>
      </c>
    </row>
    <row r="681">
      <c r="A681" s="3" t="s">
        <v>1613</v>
      </c>
      <c r="B681" s="3">
        <v>6.6</v>
      </c>
      <c r="C681" s="3" t="s">
        <v>1614</v>
      </c>
      <c r="D681" s="3">
        <v>0.0</v>
      </c>
      <c r="E681" s="3">
        <v>6.0</v>
      </c>
      <c r="F681" s="4"/>
      <c r="G681" s="3">
        <v>0.0</v>
      </c>
      <c r="H681" s="3">
        <v>670.0</v>
      </c>
      <c r="I681" s="3" t="s">
        <v>110</v>
      </c>
      <c r="J681" s="3">
        <v>402.0</v>
      </c>
      <c r="K681" s="3">
        <v>0.0</v>
      </c>
      <c r="L681" s="3">
        <v>17.7</v>
      </c>
      <c r="M681" s="3" t="s">
        <v>204</v>
      </c>
      <c r="N681" s="3">
        <v>25.0</v>
      </c>
      <c r="O681" s="3">
        <v>-5.437</v>
      </c>
      <c r="P681" s="3">
        <v>151.84</v>
      </c>
      <c r="Q681" s="3" t="s">
        <v>633</v>
      </c>
      <c r="R681" s="4"/>
      <c r="S681" s="3" t="s">
        <v>168</v>
      </c>
      <c r="T681" s="16">
        <f t="shared" si="1"/>
        <v>38624.65972</v>
      </c>
      <c r="U681" s="4" t="b">
        <f t="shared" si="2"/>
        <v>1</v>
      </c>
      <c r="V681" s="4" t="b">
        <f t="shared" si="3"/>
        <v>0</v>
      </c>
      <c r="W681" s="4" t="str">
        <f t="shared" si="8"/>
        <v>Distance/Location</v>
      </c>
      <c r="X681" s="4" t="str">
        <f t="shared" si="4"/>
        <v>mwc</v>
      </c>
      <c r="Y681" s="4">
        <f t="shared" si="5"/>
        <v>1</v>
      </c>
      <c r="Z681" s="4" t="str">
        <f t="shared" si="6"/>
        <v>Unique</v>
      </c>
      <c r="AA681" s="4" t="str">
        <f t="shared" si="7"/>
        <v>Valid</v>
      </c>
    </row>
    <row r="682">
      <c r="A682" s="3" t="s">
        <v>1615</v>
      </c>
      <c r="B682" s="3">
        <v>7.5</v>
      </c>
      <c r="C682" s="3" t="s">
        <v>1616</v>
      </c>
      <c r="D682" s="3">
        <v>8.0</v>
      </c>
      <c r="E682" s="3">
        <v>7.0</v>
      </c>
      <c r="F682" s="4"/>
      <c r="G682" s="3">
        <v>0.0</v>
      </c>
      <c r="H682" s="3">
        <v>1018.0</v>
      </c>
      <c r="I682" s="3" t="s">
        <v>110</v>
      </c>
      <c r="J682" s="3">
        <v>696.0</v>
      </c>
      <c r="K682" s="3">
        <v>0.0</v>
      </c>
      <c r="L682" s="3">
        <v>26.2</v>
      </c>
      <c r="M682" s="3" t="s">
        <v>224</v>
      </c>
      <c r="N682" s="3">
        <v>115.0</v>
      </c>
      <c r="O682" s="3">
        <v>-5.678</v>
      </c>
      <c r="P682" s="3">
        <v>-76.398</v>
      </c>
      <c r="Q682" s="3" t="s">
        <v>1617</v>
      </c>
      <c r="R682" s="3" t="s">
        <v>121</v>
      </c>
      <c r="S682" s="3" t="s">
        <v>265</v>
      </c>
      <c r="T682" s="16">
        <f t="shared" si="1"/>
        <v>38621.07986</v>
      </c>
      <c r="U682" s="4" t="b">
        <f t="shared" si="2"/>
        <v>1</v>
      </c>
      <c r="V682" s="4" t="b">
        <f t="shared" si="3"/>
        <v>0</v>
      </c>
      <c r="W682" s="4" t="str">
        <f t="shared" si="8"/>
        <v>Distance/Location</v>
      </c>
      <c r="X682" s="4" t="str">
        <f t="shared" si="4"/>
        <v>mwb</v>
      </c>
      <c r="Y682" s="4">
        <f t="shared" si="5"/>
        <v>1</v>
      </c>
      <c r="Z682" s="4" t="str">
        <f t="shared" si="6"/>
        <v>Unique</v>
      </c>
      <c r="AA682" s="4" t="str">
        <f t="shared" si="7"/>
        <v>Valid</v>
      </c>
    </row>
    <row r="683">
      <c r="A683" s="3" t="s">
        <v>1618</v>
      </c>
      <c r="B683" s="3">
        <v>7.6</v>
      </c>
      <c r="C683" s="17">
        <v>38604.30972222222</v>
      </c>
      <c r="D683" s="3">
        <v>5.0</v>
      </c>
      <c r="E683" s="3">
        <v>7.0</v>
      </c>
      <c r="F683" s="4"/>
      <c r="G683" s="3">
        <v>0.0</v>
      </c>
      <c r="H683" s="3">
        <v>891.0</v>
      </c>
      <c r="I683" s="3" t="s">
        <v>110</v>
      </c>
      <c r="J683" s="3">
        <v>502.0</v>
      </c>
      <c r="K683" s="3">
        <v>0.0</v>
      </c>
      <c r="L683" s="3">
        <v>20.0</v>
      </c>
      <c r="M683" s="3" t="s">
        <v>204</v>
      </c>
      <c r="N683" s="3">
        <v>90.0</v>
      </c>
      <c r="O683" s="3">
        <v>-4.539</v>
      </c>
      <c r="P683" s="3">
        <v>153.474</v>
      </c>
      <c r="Q683" s="3" t="s">
        <v>633</v>
      </c>
      <c r="R683" s="4"/>
      <c r="S683" s="3" t="s">
        <v>168</v>
      </c>
      <c r="T683" s="16">
        <f t="shared" si="1"/>
        <v>38604.30972</v>
      </c>
      <c r="U683" s="4" t="b">
        <f t="shared" si="2"/>
        <v>1</v>
      </c>
      <c r="V683" s="4" t="b">
        <f t="shared" si="3"/>
        <v>1</v>
      </c>
      <c r="W683" s="4" t="str">
        <f t="shared" si="8"/>
        <v>Distance/Location</v>
      </c>
      <c r="X683" s="4" t="str">
        <f t="shared" si="4"/>
        <v>mwc</v>
      </c>
      <c r="Y683" s="4">
        <f t="shared" si="5"/>
        <v>1</v>
      </c>
      <c r="Z683" s="4" t="str">
        <f t="shared" si="6"/>
        <v>Unique</v>
      </c>
      <c r="AA683" s="4" t="str">
        <f t="shared" si="7"/>
        <v>Valid</v>
      </c>
    </row>
    <row r="684">
      <c r="A684" s="3" t="s">
        <v>1619</v>
      </c>
      <c r="B684" s="3">
        <v>7.2</v>
      </c>
      <c r="C684" s="3" t="s">
        <v>1620</v>
      </c>
      <c r="D684" s="3">
        <v>7.0</v>
      </c>
      <c r="E684" s="3">
        <v>7.0</v>
      </c>
      <c r="F684" s="4"/>
      <c r="G684" s="3">
        <v>0.0</v>
      </c>
      <c r="H684" s="3">
        <v>1104.0</v>
      </c>
      <c r="I684" s="3" t="s">
        <v>110</v>
      </c>
      <c r="J684" s="3">
        <v>698.0</v>
      </c>
      <c r="K684" s="3">
        <v>0.0</v>
      </c>
      <c r="L684" s="3">
        <v>19.6</v>
      </c>
      <c r="M684" s="3" t="s">
        <v>204</v>
      </c>
      <c r="N684" s="3">
        <v>36.0</v>
      </c>
      <c r="O684" s="3">
        <v>38.276</v>
      </c>
      <c r="P684" s="3">
        <v>142.039</v>
      </c>
      <c r="Q684" s="3" t="s">
        <v>380</v>
      </c>
      <c r="R684" s="4"/>
      <c r="S684" s="4"/>
      <c r="T684" s="16">
        <f t="shared" si="1"/>
        <v>38580.11528</v>
      </c>
      <c r="U684" s="4" t="b">
        <f t="shared" si="2"/>
        <v>1</v>
      </c>
      <c r="V684" s="4" t="b">
        <f t="shared" si="3"/>
        <v>0</v>
      </c>
      <c r="W684" s="4" t="str">
        <f t="shared" si="8"/>
        <v>Distance/Location</v>
      </c>
      <c r="X684" s="4" t="str">
        <f t="shared" si="4"/>
        <v>mwc</v>
      </c>
      <c r="Y684" s="4">
        <f t="shared" si="5"/>
        <v>1</v>
      </c>
      <c r="Z684" s="4" t="str">
        <f t="shared" si="6"/>
        <v>Unique</v>
      </c>
      <c r="AA684" s="4" t="str">
        <f t="shared" si="7"/>
        <v>Valid</v>
      </c>
    </row>
    <row r="685">
      <c r="A685" s="3" t="s">
        <v>1621</v>
      </c>
      <c r="B685" s="3">
        <v>7.2</v>
      </c>
      <c r="C685" s="3" t="s">
        <v>1622</v>
      </c>
      <c r="D685" s="3">
        <v>4.0</v>
      </c>
      <c r="E685" s="3">
        <v>5.0</v>
      </c>
      <c r="F685" s="4"/>
      <c r="G685" s="3">
        <v>0.0</v>
      </c>
      <c r="H685" s="3">
        <v>808.0</v>
      </c>
      <c r="I685" s="3" t="s">
        <v>110</v>
      </c>
      <c r="J685" s="3">
        <v>636.0</v>
      </c>
      <c r="K685" s="3">
        <v>0.0</v>
      </c>
      <c r="L685" s="3">
        <v>26.4</v>
      </c>
      <c r="M685" s="3" t="s">
        <v>204</v>
      </c>
      <c r="N685" s="3">
        <v>16.0</v>
      </c>
      <c r="O685" s="3">
        <v>7.92</v>
      </c>
      <c r="P685" s="3">
        <v>92.19</v>
      </c>
      <c r="Q685" s="3" t="s">
        <v>860</v>
      </c>
      <c r="R685" s="4"/>
      <c r="S685" s="4"/>
      <c r="T685" s="16">
        <f t="shared" si="1"/>
        <v>38557.65417</v>
      </c>
      <c r="U685" s="4" t="b">
        <f t="shared" si="2"/>
        <v>1</v>
      </c>
      <c r="V685" s="4" t="b">
        <f t="shared" si="3"/>
        <v>0</v>
      </c>
      <c r="W685" s="4" t="str">
        <f t="shared" si="8"/>
        <v>Named Region</v>
      </c>
      <c r="X685" s="4" t="str">
        <f t="shared" si="4"/>
        <v>mwc</v>
      </c>
      <c r="Y685" s="4">
        <f t="shared" si="5"/>
        <v>1</v>
      </c>
      <c r="Z685" s="4" t="str">
        <f t="shared" si="6"/>
        <v>Unique</v>
      </c>
      <c r="AA685" s="4" t="str">
        <f t="shared" si="7"/>
        <v>Valid</v>
      </c>
    </row>
    <row r="686">
      <c r="A686" s="3" t="s">
        <v>1623</v>
      </c>
      <c r="B686" s="3">
        <v>6.7</v>
      </c>
      <c r="C686" s="17">
        <v>38479.07777777778</v>
      </c>
      <c r="D686" s="3">
        <v>3.0</v>
      </c>
      <c r="E686" s="3">
        <v>6.0</v>
      </c>
      <c r="F686" s="4"/>
      <c r="G686" s="3">
        <v>0.0</v>
      </c>
      <c r="H686" s="3">
        <v>693.0</v>
      </c>
      <c r="I686" s="3" t="s">
        <v>110</v>
      </c>
      <c r="J686" s="3">
        <v>398.0</v>
      </c>
      <c r="K686" s="3">
        <v>0.0</v>
      </c>
      <c r="L686" s="3">
        <v>22.3</v>
      </c>
      <c r="M686" s="3" t="s">
        <v>204</v>
      </c>
      <c r="N686" s="3">
        <v>21.0</v>
      </c>
      <c r="O686" s="3">
        <v>1.819</v>
      </c>
      <c r="P686" s="3">
        <v>97.082</v>
      </c>
      <c r="Q686" s="3" t="s">
        <v>1578</v>
      </c>
      <c r="R686" s="4"/>
      <c r="S686" s="3" t="s">
        <v>153</v>
      </c>
      <c r="T686" s="16">
        <f t="shared" si="1"/>
        <v>38538.07778</v>
      </c>
      <c r="U686" s="4" t="b">
        <f t="shared" si="2"/>
        <v>1</v>
      </c>
      <c r="V686" s="4" t="b">
        <f t="shared" si="3"/>
        <v>1</v>
      </c>
      <c r="W686" s="4" t="str">
        <f t="shared" si="8"/>
        <v>Distance/Location</v>
      </c>
      <c r="X686" s="4" t="str">
        <f t="shared" si="4"/>
        <v>mwc</v>
      </c>
      <c r="Y686" s="4">
        <f t="shared" si="5"/>
        <v>1</v>
      </c>
      <c r="Z686" s="4" t="str">
        <f t="shared" si="6"/>
        <v>Unique</v>
      </c>
      <c r="AA686" s="4" t="str">
        <f t="shared" si="7"/>
        <v>Valid</v>
      </c>
    </row>
    <row r="687">
      <c r="A687" s="3" t="s">
        <v>1624</v>
      </c>
      <c r="B687" s="3">
        <v>6.6</v>
      </c>
      <c r="C687" s="17">
        <v>38390.09444444445</v>
      </c>
      <c r="D687" s="3">
        <v>6.0</v>
      </c>
      <c r="E687" s="3">
        <v>5.0</v>
      </c>
      <c r="F687" s="4"/>
      <c r="G687" s="3">
        <v>0.0</v>
      </c>
      <c r="H687" s="3">
        <v>719.0</v>
      </c>
      <c r="I687" s="3" t="s">
        <v>110</v>
      </c>
      <c r="J687" s="3">
        <v>446.0</v>
      </c>
      <c r="K687" s="3">
        <v>0.0</v>
      </c>
      <c r="L687" s="3">
        <v>21.1</v>
      </c>
      <c r="M687" s="3" t="s">
        <v>204</v>
      </c>
      <c r="N687" s="3">
        <v>27.0</v>
      </c>
      <c r="O687" s="3">
        <v>11.245</v>
      </c>
      <c r="P687" s="3">
        <v>-86.172</v>
      </c>
      <c r="Q687" s="3" t="s">
        <v>1625</v>
      </c>
      <c r="R687" s="4"/>
      <c r="S687" s="4"/>
      <c r="T687" s="16">
        <f t="shared" si="1"/>
        <v>38535.09444</v>
      </c>
      <c r="U687" s="4" t="b">
        <f t="shared" si="2"/>
        <v>1</v>
      </c>
      <c r="V687" s="4" t="b">
        <f t="shared" si="3"/>
        <v>1</v>
      </c>
      <c r="W687" s="4" t="str">
        <f t="shared" si="8"/>
        <v>Distance/Location</v>
      </c>
      <c r="X687" s="4" t="str">
        <f t="shared" si="4"/>
        <v>mwc</v>
      </c>
      <c r="Y687" s="4">
        <f t="shared" si="5"/>
        <v>1</v>
      </c>
      <c r="Z687" s="4" t="str">
        <f t="shared" si="6"/>
        <v>Unique</v>
      </c>
      <c r="AA687" s="4" t="str">
        <f t="shared" si="7"/>
        <v>Valid</v>
      </c>
    </row>
    <row r="688">
      <c r="A688" s="3" t="s">
        <v>1626</v>
      </c>
      <c r="B688" s="3">
        <v>7.2</v>
      </c>
      <c r="C688" s="3" t="s">
        <v>1627</v>
      </c>
      <c r="D688" s="3">
        <v>5.0</v>
      </c>
      <c r="E688" s="3">
        <v>4.0</v>
      </c>
      <c r="F688" s="4"/>
      <c r="G688" s="3">
        <v>0.0</v>
      </c>
      <c r="H688" s="3">
        <v>1318.0</v>
      </c>
      <c r="I688" s="3" t="s">
        <v>110</v>
      </c>
      <c r="J688" s="3">
        <v>420.0</v>
      </c>
      <c r="K688" s="3">
        <v>0.0</v>
      </c>
      <c r="L688" s="3">
        <v>31.4</v>
      </c>
      <c r="M688" s="3" t="s">
        <v>204</v>
      </c>
      <c r="N688" s="3">
        <v>16.0</v>
      </c>
      <c r="O688" s="3">
        <v>41.292</v>
      </c>
      <c r="P688" s="3">
        <v>-125.953</v>
      </c>
      <c r="Q688" s="3" t="s">
        <v>1628</v>
      </c>
      <c r="R688" s="4"/>
      <c r="S688" s="4"/>
      <c r="T688" s="16">
        <f t="shared" si="1"/>
        <v>38518.11806</v>
      </c>
      <c r="U688" s="4" t="b">
        <f t="shared" si="2"/>
        <v>1</v>
      </c>
      <c r="V688" s="4" t="b">
        <f t="shared" si="3"/>
        <v>0</v>
      </c>
      <c r="W688" s="4" t="str">
        <f t="shared" si="8"/>
        <v>Distance/Location</v>
      </c>
      <c r="X688" s="4" t="str">
        <f t="shared" si="4"/>
        <v>mwc</v>
      </c>
      <c r="Y688" s="4">
        <f t="shared" si="5"/>
        <v>1</v>
      </c>
      <c r="Z688" s="4" t="str">
        <f t="shared" si="6"/>
        <v>Unique</v>
      </c>
      <c r="AA688" s="4" t="str">
        <f t="shared" si="7"/>
        <v>Valid</v>
      </c>
    </row>
    <row r="689">
      <c r="A689" s="3" t="s">
        <v>1629</v>
      </c>
      <c r="B689" s="3">
        <v>7.8</v>
      </c>
      <c r="C689" s="3" t="s">
        <v>1630</v>
      </c>
      <c r="D689" s="3">
        <v>8.0</v>
      </c>
      <c r="E689" s="3">
        <v>7.0</v>
      </c>
      <c r="F689" s="4"/>
      <c r="G689" s="3">
        <v>0.0</v>
      </c>
      <c r="H689" s="3">
        <v>1020.0</v>
      </c>
      <c r="I689" s="3" t="s">
        <v>110</v>
      </c>
      <c r="J689" s="3">
        <v>714.0</v>
      </c>
      <c r="K689" s="3">
        <v>0.0</v>
      </c>
      <c r="L689" s="3">
        <v>16.1</v>
      </c>
      <c r="M689" s="3" t="s">
        <v>224</v>
      </c>
      <c r="N689" s="3">
        <v>115.6</v>
      </c>
      <c r="O689" s="3">
        <v>-19.987</v>
      </c>
      <c r="P689" s="3">
        <v>-69.197</v>
      </c>
      <c r="Q689" s="3" t="s">
        <v>1019</v>
      </c>
      <c r="R689" s="3" t="s">
        <v>121</v>
      </c>
      <c r="S689" s="3" t="s">
        <v>414</v>
      </c>
      <c r="T689" s="16">
        <f t="shared" si="1"/>
        <v>38516.94722</v>
      </c>
      <c r="U689" s="4" t="b">
        <f t="shared" si="2"/>
        <v>1</v>
      </c>
      <c r="V689" s="4" t="b">
        <f t="shared" si="3"/>
        <v>0</v>
      </c>
      <c r="W689" s="4" t="str">
        <f t="shared" si="8"/>
        <v>Distance/Location</v>
      </c>
      <c r="X689" s="4" t="str">
        <f t="shared" si="4"/>
        <v>mwb</v>
      </c>
      <c r="Y689" s="4">
        <f t="shared" si="5"/>
        <v>1</v>
      </c>
      <c r="Z689" s="4" t="str">
        <f t="shared" si="6"/>
        <v>Unique</v>
      </c>
      <c r="AA689" s="4" t="str">
        <f t="shared" si="7"/>
        <v>Valid</v>
      </c>
    </row>
    <row r="690">
      <c r="A690" s="3" t="s">
        <v>1631</v>
      </c>
      <c r="B690" s="3">
        <v>6.9</v>
      </c>
      <c r="C690" s="3" t="s">
        <v>1632</v>
      </c>
      <c r="D690" s="3">
        <v>5.0</v>
      </c>
      <c r="E690" s="3">
        <v>7.0</v>
      </c>
      <c r="F690" s="4"/>
      <c r="G690" s="3">
        <v>0.0</v>
      </c>
      <c r="H690" s="3">
        <v>740.0</v>
      </c>
      <c r="I690" s="3" t="s">
        <v>110</v>
      </c>
      <c r="J690" s="3">
        <v>635.0</v>
      </c>
      <c r="K690" s="3">
        <v>0.0</v>
      </c>
      <c r="L690" s="3">
        <v>26.0</v>
      </c>
      <c r="M690" s="3" t="s">
        <v>204</v>
      </c>
      <c r="N690" s="3">
        <v>30.0</v>
      </c>
      <c r="O690" s="3">
        <v>1.989</v>
      </c>
      <c r="P690" s="3">
        <v>97.041</v>
      </c>
      <c r="Q690" s="3" t="s">
        <v>1578</v>
      </c>
      <c r="R690" s="4"/>
      <c r="S690" s="3" t="s">
        <v>153</v>
      </c>
      <c r="T690" s="16">
        <f t="shared" si="1"/>
        <v>38491.07917</v>
      </c>
      <c r="U690" s="4" t="b">
        <f t="shared" si="2"/>
        <v>1</v>
      </c>
      <c r="V690" s="4" t="b">
        <f t="shared" si="3"/>
        <v>0</v>
      </c>
      <c r="W690" s="4" t="str">
        <f t="shared" si="8"/>
        <v>Distance/Location</v>
      </c>
      <c r="X690" s="4" t="str">
        <f t="shared" si="4"/>
        <v>mwc</v>
      </c>
      <c r="Y690" s="4">
        <f t="shared" si="5"/>
        <v>1</v>
      </c>
      <c r="Z690" s="4" t="str">
        <f t="shared" si="6"/>
        <v>Unique</v>
      </c>
      <c r="AA690" s="4" t="str">
        <f t="shared" si="7"/>
        <v>Valid</v>
      </c>
    </row>
    <row r="691">
      <c r="A691" s="3" t="s">
        <v>1633</v>
      </c>
      <c r="B691" s="3">
        <v>6.7</v>
      </c>
      <c r="C691" s="3" t="s">
        <v>1634</v>
      </c>
      <c r="D691" s="3">
        <v>6.0</v>
      </c>
      <c r="E691" s="3">
        <v>5.0</v>
      </c>
      <c r="F691" s="4"/>
      <c r="G691" s="3">
        <v>0.0</v>
      </c>
      <c r="H691" s="3">
        <v>731.0</v>
      </c>
      <c r="I691" s="3" t="s">
        <v>110</v>
      </c>
      <c r="J691" s="3">
        <v>695.0</v>
      </c>
      <c r="K691" s="3">
        <v>0.0</v>
      </c>
      <c r="L691" s="3">
        <v>20.9</v>
      </c>
      <c r="M691" s="3" t="s">
        <v>224</v>
      </c>
      <c r="N691" s="3">
        <v>34.0</v>
      </c>
      <c r="O691" s="3">
        <v>0.587</v>
      </c>
      <c r="P691" s="3">
        <v>98.459</v>
      </c>
      <c r="Q691" s="3" t="s">
        <v>1635</v>
      </c>
      <c r="R691" s="4"/>
      <c r="S691" s="3" t="s">
        <v>153</v>
      </c>
      <c r="T691" s="16">
        <f t="shared" si="1"/>
        <v>38486.21181</v>
      </c>
      <c r="U691" s="4" t="b">
        <f t="shared" si="2"/>
        <v>1</v>
      </c>
      <c r="V691" s="4" t="b">
        <f t="shared" si="3"/>
        <v>0</v>
      </c>
      <c r="W691" s="4" t="str">
        <f t="shared" si="8"/>
        <v>Distance/Location</v>
      </c>
      <c r="X691" s="4" t="str">
        <f t="shared" si="4"/>
        <v>mwb</v>
      </c>
      <c r="Y691" s="4">
        <f t="shared" si="5"/>
        <v>1</v>
      </c>
      <c r="Z691" s="4" t="str">
        <f t="shared" si="6"/>
        <v>Unique</v>
      </c>
      <c r="AA691" s="4" t="str">
        <f t="shared" si="7"/>
        <v>Valid</v>
      </c>
    </row>
    <row r="692">
      <c r="A692" s="3" t="s">
        <v>1636</v>
      </c>
      <c r="B692" s="3">
        <v>6.5</v>
      </c>
      <c r="C692" s="17">
        <v>38629.46805555555</v>
      </c>
      <c r="D692" s="3">
        <v>3.0</v>
      </c>
      <c r="E692" s="3">
        <v>6.0</v>
      </c>
      <c r="F692" s="4"/>
      <c r="G692" s="3">
        <v>0.0</v>
      </c>
      <c r="H692" s="3">
        <v>657.0</v>
      </c>
      <c r="I692" s="3" t="s">
        <v>110</v>
      </c>
      <c r="J692" s="3">
        <v>478.0</v>
      </c>
      <c r="K692" s="3">
        <v>0.0</v>
      </c>
      <c r="L692" s="3">
        <v>21.2</v>
      </c>
      <c r="M692" s="3" t="s">
        <v>204</v>
      </c>
      <c r="N692" s="3">
        <v>30.0</v>
      </c>
      <c r="O692" s="3">
        <v>-1.714</v>
      </c>
      <c r="P692" s="3">
        <v>99.779</v>
      </c>
      <c r="Q692" s="3" t="s">
        <v>1388</v>
      </c>
      <c r="R692" s="4"/>
      <c r="S692" s="3" t="s">
        <v>153</v>
      </c>
      <c r="T692" s="16">
        <f t="shared" si="1"/>
        <v>38452.46806</v>
      </c>
      <c r="U692" s="4" t="b">
        <f t="shared" si="2"/>
        <v>1</v>
      </c>
      <c r="V692" s="4" t="b">
        <f t="shared" si="3"/>
        <v>1</v>
      </c>
      <c r="W692" s="4" t="str">
        <f t="shared" si="8"/>
        <v>Distance/Location</v>
      </c>
      <c r="X692" s="4" t="str">
        <f t="shared" si="4"/>
        <v>mwc</v>
      </c>
      <c r="Y692" s="4">
        <f t="shared" si="5"/>
        <v>1</v>
      </c>
      <c r="Z692" s="4" t="str">
        <f t="shared" si="6"/>
        <v>Unique</v>
      </c>
      <c r="AA692" s="4" t="str">
        <f t="shared" si="7"/>
        <v>Valid</v>
      </c>
    </row>
    <row r="693">
      <c r="A693" s="3" t="s">
        <v>1637</v>
      </c>
      <c r="B693" s="3">
        <v>6.7</v>
      </c>
      <c r="C693" s="17">
        <v>38629.43680555555</v>
      </c>
      <c r="D693" s="3">
        <v>5.0</v>
      </c>
      <c r="E693" s="3">
        <v>6.0</v>
      </c>
      <c r="F693" s="4"/>
      <c r="G693" s="3">
        <v>0.0</v>
      </c>
      <c r="H693" s="3">
        <v>717.0</v>
      </c>
      <c r="I693" s="3" t="s">
        <v>110</v>
      </c>
      <c r="J693" s="3">
        <v>656.0</v>
      </c>
      <c r="K693" s="3">
        <v>0.0</v>
      </c>
      <c r="L693" s="3">
        <v>21.2</v>
      </c>
      <c r="M693" s="3" t="s">
        <v>204</v>
      </c>
      <c r="N693" s="3">
        <v>19.0</v>
      </c>
      <c r="O693" s="3">
        <v>-1.644</v>
      </c>
      <c r="P693" s="3">
        <v>99.607</v>
      </c>
      <c r="Q693" s="3" t="s">
        <v>1388</v>
      </c>
      <c r="R693" s="4"/>
      <c r="S693" s="3" t="s">
        <v>153</v>
      </c>
      <c r="T693" s="16">
        <f t="shared" si="1"/>
        <v>38452.43681</v>
      </c>
      <c r="U693" s="4" t="b">
        <f t="shared" si="2"/>
        <v>1</v>
      </c>
      <c r="V693" s="4" t="b">
        <f t="shared" si="3"/>
        <v>1</v>
      </c>
      <c r="W693" s="4" t="str">
        <f t="shared" si="8"/>
        <v>Distance/Location</v>
      </c>
      <c r="X693" s="4" t="str">
        <f t="shared" si="4"/>
        <v>mwc</v>
      </c>
      <c r="Y693" s="4">
        <f t="shared" si="5"/>
        <v>1</v>
      </c>
      <c r="Z693" s="4" t="str">
        <f t="shared" si="6"/>
        <v>Unique</v>
      </c>
      <c r="AA693" s="4" t="str">
        <f t="shared" si="7"/>
        <v>Valid</v>
      </c>
    </row>
    <row r="694">
      <c r="A694" s="3" t="s">
        <v>1638</v>
      </c>
      <c r="B694" s="3">
        <v>8.6</v>
      </c>
      <c r="C694" s="3" t="s">
        <v>1639</v>
      </c>
      <c r="D694" s="3">
        <v>0.0</v>
      </c>
      <c r="E694" s="3">
        <v>8.0</v>
      </c>
      <c r="F694" s="4"/>
      <c r="G694" s="3">
        <v>0.0</v>
      </c>
      <c r="H694" s="3">
        <v>1138.0</v>
      </c>
      <c r="I694" s="3" t="s">
        <v>1196</v>
      </c>
      <c r="J694" s="3">
        <v>510.0</v>
      </c>
      <c r="K694" s="3">
        <v>0.0</v>
      </c>
      <c r="L694" s="3">
        <v>22.1</v>
      </c>
      <c r="M694" s="3" t="s">
        <v>111</v>
      </c>
      <c r="N694" s="3">
        <v>30.0</v>
      </c>
      <c r="O694" s="3">
        <v>2.085</v>
      </c>
      <c r="P694" s="3">
        <v>97.108</v>
      </c>
      <c r="Q694" s="3" t="s">
        <v>1578</v>
      </c>
      <c r="R694" s="4"/>
      <c r="S694" s="3" t="s">
        <v>153</v>
      </c>
      <c r="T694" s="16">
        <f t="shared" si="1"/>
        <v>38439.67292</v>
      </c>
      <c r="U694" s="4" t="b">
        <f t="shared" si="2"/>
        <v>1</v>
      </c>
      <c r="V694" s="4" t="b">
        <f t="shared" si="3"/>
        <v>0</v>
      </c>
      <c r="W694" s="4" t="str">
        <f t="shared" si="8"/>
        <v>Distance/Location</v>
      </c>
      <c r="X694" s="4" t="str">
        <f t="shared" si="4"/>
        <v>mww</v>
      </c>
      <c r="Y694" s="4">
        <f t="shared" si="5"/>
        <v>1</v>
      </c>
      <c r="Z694" s="4" t="str">
        <f t="shared" si="6"/>
        <v>Unique</v>
      </c>
      <c r="AA694" s="4" t="str">
        <f t="shared" si="7"/>
        <v>Valid</v>
      </c>
    </row>
    <row r="695">
      <c r="A695" s="3" t="s">
        <v>1640</v>
      </c>
      <c r="B695" s="3">
        <v>6.6</v>
      </c>
      <c r="C695" s="3" t="s">
        <v>1641</v>
      </c>
      <c r="D695" s="3">
        <v>8.0</v>
      </c>
      <c r="E695" s="3">
        <v>7.0</v>
      </c>
      <c r="F695" s="4"/>
      <c r="G695" s="3">
        <v>0.0</v>
      </c>
      <c r="H695" s="3">
        <v>805.0</v>
      </c>
      <c r="I695" s="3" t="s">
        <v>110</v>
      </c>
      <c r="J695" s="3">
        <v>401.0</v>
      </c>
      <c r="K695" s="3">
        <v>0.0</v>
      </c>
      <c r="L695" s="3">
        <v>22.9</v>
      </c>
      <c r="M695" s="3" t="s">
        <v>204</v>
      </c>
      <c r="N695" s="3">
        <v>10.0</v>
      </c>
      <c r="O695" s="3">
        <v>33.807</v>
      </c>
      <c r="P695" s="3">
        <v>130.131</v>
      </c>
      <c r="Q695" s="3" t="s">
        <v>1642</v>
      </c>
      <c r="R695" s="3" t="s">
        <v>164</v>
      </c>
      <c r="S695" s="3" t="s">
        <v>371</v>
      </c>
      <c r="T695" s="16">
        <f t="shared" si="1"/>
        <v>38431.07847</v>
      </c>
      <c r="U695" s="4" t="b">
        <f t="shared" si="2"/>
        <v>1</v>
      </c>
      <c r="V695" s="4" t="b">
        <f t="shared" si="3"/>
        <v>0</v>
      </c>
      <c r="W695" s="4" t="str">
        <f t="shared" si="8"/>
        <v>Distance/Location</v>
      </c>
      <c r="X695" s="4" t="str">
        <f t="shared" si="4"/>
        <v>mwc</v>
      </c>
      <c r="Y695" s="4">
        <f t="shared" si="5"/>
        <v>1</v>
      </c>
      <c r="Z695" s="4" t="str">
        <f t="shared" si="6"/>
        <v>Unique</v>
      </c>
      <c r="AA695" s="4" t="str">
        <f t="shared" si="7"/>
        <v>Valid</v>
      </c>
    </row>
    <row r="696">
      <c r="A696" s="3" t="s">
        <v>1146</v>
      </c>
      <c r="B696" s="3">
        <v>7.1</v>
      </c>
      <c r="C696" s="17">
        <v>38386.44583333333</v>
      </c>
      <c r="D696" s="3">
        <v>0.0</v>
      </c>
      <c r="E696" s="3">
        <v>5.0</v>
      </c>
      <c r="F696" s="4"/>
      <c r="G696" s="3">
        <v>0.0</v>
      </c>
      <c r="H696" s="3">
        <v>776.0</v>
      </c>
      <c r="I696" s="3" t="s">
        <v>110</v>
      </c>
      <c r="J696" s="3">
        <v>569.0</v>
      </c>
      <c r="K696" s="3">
        <v>0.0</v>
      </c>
      <c r="L696" s="3">
        <v>18.1</v>
      </c>
      <c r="M696" s="3" t="s">
        <v>224</v>
      </c>
      <c r="N696" s="3">
        <v>201.7</v>
      </c>
      <c r="O696" s="3">
        <v>-6.527</v>
      </c>
      <c r="P696" s="3">
        <v>129.933</v>
      </c>
      <c r="Q696" s="3" t="s">
        <v>452</v>
      </c>
      <c r="R696" s="4"/>
      <c r="S696" s="3" t="s">
        <v>153</v>
      </c>
      <c r="T696" s="16">
        <f t="shared" si="1"/>
        <v>38413.44583</v>
      </c>
      <c r="U696" s="4" t="b">
        <f t="shared" si="2"/>
        <v>1</v>
      </c>
      <c r="V696" s="4" t="b">
        <f t="shared" si="3"/>
        <v>1</v>
      </c>
      <c r="W696" s="4" t="str">
        <f t="shared" si="8"/>
        <v>Named Region</v>
      </c>
      <c r="X696" s="4" t="str">
        <f t="shared" si="4"/>
        <v>mwb</v>
      </c>
      <c r="Y696" s="4">
        <f t="shared" si="5"/>
        <v>1</v>
      </c>
      <c r="Z696" s="4" t="str">
        <f t="shared" si="6"/>
        <v>Unique</v>
      </c>
      <c r="AA696" s="4" t="str">
        <f t="shared" si="7"/>
        <v>Valid</v>
      </c>
    </row>
    <row r="697">
      <c r="A697" s="3" t="s">
        <v>1643</v>
      </c>
      <c r="B697" s="3">
        <v>6.8</v>
      </c>
      <c r="C697" s="3" t="s">
        <v>1644</v>
      </c>
      <c r="D697" s="3">
        <v>0.0</v>
      </c>
      <c r="E697" s="3">
        <v>6.0</v>
      </c>
      <c r="F697" s="4"/>
      <c r="G697" s="3">
        <v>0.0</v>
      </c>
      <c r="H697" s="3">
        <v>711.0</v>
      </c>
      <c r="I697" s="3" t="s">
        <v>110</v>
      </c>
      <c r="J697" s="3">
        <v>444.0</v>
      </c>
      <c r="K697" s="3">
        <v>0.0</v>
      </c>
      <c r="L697" s="3">
        <v>33.8</v>
      </c>
      <c r="M697" s="3" t="s">
        <v>224</v>
      </c>
      <c r="N697" s="3">
        <v>36.0</v>
      </c>
      <c r="O697" s="3">
        <v>2.908</v>
      </c>
      <c r="P697" s="3">
        <v>95.592</v>
      </c>
      <c r="Q697" s="3" t="s">
        <v>368</v>
      </c>
      <c r="R697" s="4"/>
      <c r="S697" s="3" t="s">
        <v>153</v>
      </c>
      <c r="T697" s="16">
        <f t="shared" si="1"/>
        <v>38409.53889</v>
      </c>
      <c r="U697" s="4" t="b">
        <f t="shared" si="2"/>
        <v>1</v>
      </c>
      <c r="V697" s="4" t="b">
        <f t="shared" si="3"/>
        <v>0</v>
      </c>
      <c r="W697" s="4" t="str">
        <f t="shared" si="8"/>
        <v>Distance/Location</v>
      </c>
      <c r="X697" s="4" t="str">
        <f t="shared" si="4"/>
        <v>mwb</v>
      </c>
      <c r="Y697" s="4">
        <f t="shared" si="5"/>
        <v>1</v>
      </c>
      <c r="Z697" s="4" t="str">
        <f t="shared" si="6"/>
        <v>Unique</v>
      </c>
      <c r="AA697" s="4" t="str">
        <f t="shared" si="7"/>
        <v>Valid</v>
      </c>
    </row>
    <row r="698">
      <c r="A698" s="3" t="s">
        <v>1645</v>
      </c>
      <c r="B698" s="3">
        <v>6.5</v>
      </c>
      <c r="C698" s="3" t="s">
        <v>1646</v>
      </c>
      <c r="D698" s="3">
        <v>0.0</v>
      </c>
      <c r="E698" s="3">
        <v>7.0</v>
      </c>
      <c r="F698" s="4"/>
      <c r="G698" s="3">
        <v>0.0</v>
      </c>
      <c r="H698" s="3">
        <v>650.0</v>
      </c>
      <c r="I698" s="3" t="s">
        <v>110</v>
      </c>
      <c r="J698" s="3">
        <v>371.0</v>
      </c>
      <c r="K698" s="3">
        <v>0.0</v>
      </c>
      <c r="L698" s="3">
        <v>31.8</v>
      </c>
      <c r="M698" s="3" t="s">
        <v>224</v>
      </c>
      <c r="N698" s="3">
        <v>10.0</v>
      </c>
      <c r="O698" s="3">
        <v>-5.562</v>
      </c>
      <c r="P698" s="3">
        <v>122.129</v>
      </c>
      <c r="Q698" s="3" t="s">
        <v>419</v>
      </c>
      <c r="R698" s="4"/>
      <c r="S698" s="3" t="s">
        <v>153</v>
      </c>
      <c r="T698" s="16">
        <f t="shared" si="1"/>
        <v>38402.00278</v>
      </c>
      <c r="U698" s="4" t="b">
        <f t="shared" si="2"/>
        <v>1</v>
      </c>
      <c r="V698" s="4" t="b">
        <f t="shared" si="3"/>
        <v>0</v>
      </c>
      <c r="W698" s="4" t="str">
        <f t="shared" si="8"/>
        <v>Distance/Location</v>
      </c>
      <c r="X698" s="4" t="str">
        <f t="shared" si="4"/>
        <v>mwb</v>
      </c>
      <c r="Y698" s="4">
        <f t="shared" si="5"/>
        <v>1</v>
      </c>
      <c r="Z698" s="4" t="str">
        <f t="shared" si="6"/>
        <v>Unique</v>
      </c>
      <c r="AA698" s="4" t="str">
        <f t="shared" si="7"/>
        <v>Valid</v>
      </c>
    </row>
    <row r="699">
      <c r="A699" s="3" t="s">
        <v>1647</v>
      </c>
      <c r="B699" s="3">
        <v>6.5</v>
      </c>
      <c r="C699" s="3" t="s">
        <v>1648</v>
      </c>
      <c r="D699" s="3">
        <v>3.0</v>
      </c>
      <c r="E699" s="3">
        <v>5.0</v>
      </c>
      <c r="F699" s="4"/>
      <c r="G699" s="3">
        <v>0.0</v>
      </c>
      <c r="H699" s="3">
        <v>652.0</v>
      </c>
      <c r="I699" s="3" t="s">
        <v>110</v>
      </c>
      <c r="J699" s="3">
        <v>286.0</v>
      </c>
      <c r="K699" s="3">
        <v>0.0</v>
      </c>
      <c r="L699" s="3">
        <v>47.3</v>
      </c>
      <c r="M699" s="3" t="s">
        <v>204</v>
      </c>
      <c r="N699" s="3">
        <v>39.7</v>
      </c>
      <c r="O699" s="3">
        <v>4.756</v>
      </c>
      <c r="P699" s="3">
        <v>126.421</v>
      </c>
      <c r="Q699" s="3" t="s">
        <v>1649</v>
      </c>
      <c r="R699" s="4"/>
      <c r="S699" s="3" t="s">
        <v>153</v>
      </c>
      <c r="T699" s="16">
        <f t="shared" si="1"/>
        <v>38398.6125</v>
      </c>
      <c r="U699" s="4" t="b">
        <f t="shared" si="2"/>
        <v>1</v>
      </c>
      <c r="V699" s="4" t="b">
        <f t="shared" si="3"/>
        <v>0</v>
      </c>
      <c r="W699" s="4" t="str">
        <f t="shared" si="8"/>
        <v>Named Region</v>
      </c>
      <c r="X699" s="4" t="str">
        <f t="shared" si="4"/>
        <v>mwc</v>
      </c>
      <c r="Y699" s="4">
        <f t="shared" si="5"/>
        <v>1</v>
      </c>
      <c r="Z699" s="4" t="str">
        <f t="shared" si="6"/>
        <v>Unique</v>
      </c>
      <c r="AA699" s="4" t="str">
        <f t="shared" si="7"/>
        <v>Valid</v>
      </c>
    </row>
    <row r="700">
      <c r="A700" s="3" t="s">
        <v>1650</v>
      </c>
      <c r="B700" s="3">
        <v>6.7</v>
      </c>
      <c r="C700" s="17">
        <v>38566.61666666667</v>
      </c>
      <c r="D700" s="3">
        <v>0.0</v>
      </c>
      <c r="E700" s="3">
        <v>4.0</v>
      </c>
      <c r="F700" s="4"/>
      <c r="G700" s="3">
        <v>0.0</v>
      </c>
      <c r="H700" s="3">
        <v>691.0</v>
      </c>
      <c r="I700" s="3" t="s">
        <v>110</v>
      </c>
      <c r="J700" s="3">
        <v>457.0</v>
      </c>
      <c r="K700" s="3">
        <v>0.0</v>
      </c>
      <c r="L700" s="3">
        <v>30.2</v>
      </c>
      <c r="M700" s="3" t="s">
        <v>224</v>
      </c>
      <c r="N700" s="3">
        <v>206.3</v>
      </c>
      <c r="O700" s="3">
        <v>-14.252</v>
      </c>
      <c r="P700" s="3">
        <v>167.259</v>
      </c>
      <c r="Q700" s="3" t="s">
        <v>112</v>
      </c>
      <c r="R700" s="4"/>
      <c r="S700" s="3" t="s">
        <v>113</v>
      </c>
      <c r="T700" s="16">
        <f t="shared" si="1"/>
        <v>38391.61667</v>
      </c>
      <c r="U700" s="4" t="b">
        <f t="shared" si="2"/>
        <v>1</v>
      </c>
      <c r="V700" s="4" t="b">
        <f t="shared" si="3"/>
        <v>1</v>
      </c>
      <c r="W700" s="4" t="str">
        <f t="shared" si="8"/>
        <v>Distance/Location</v>
      </c>
      <c r="X700" s="4" t="str">
        <f t="shared" si="4"/>
        <v>mwb</v>
      </c>
      <c r="Y700" s="4">
        <f t="shared" si="5"/>
        <v>1</v>
      </c>
      <c r="Z700" s="4" t="str">
        <f t="shared" si="6"/>
        <v>Unique</v>
      </c>
      <c r="AA700" s="4" t="str">
        <f t="shared" si="7"/>
        <v>Valid</v>
      </c>
    </row>
    <row r="701">
      <c r="A701" s="3" t="s">
        <v>1651</v>
      </c>
      <c r="B701" s="3">
        <v>7.1</v>
      </c>
      <c r="C701" s="17">
        <v>38474.51597222222</v>
      </c>
      <c r="D701" s="3">
        <v>7.0</v>
      </c>
      <c r="E701" s="3">
        <v>3.0</v>
      </c>
      <c r="F701" s="4"/>
      <c r="G701" s="3">
        <v>0.0</v>
      </c>
      <c r="H701" s="3">
        <v>782.0</v>
      </c>
      <c r="I701" s="3" t="s">
        <v>110</v>
      </c>
      <c r="J701" s="3">
        <v>640.0</v>
      </c>
      <c r="K701" s="3">
        <v>0.0</v>
      </c>
      <c r="L701" s="3">
        <v>26.4</v>
      </c>
      <c r="M701" s="3" t="s">
        <v>204</v>
      </c>
      <c r="N701" s="3">
        <v>525.0</v>
      </c>
      <c r="O701" s="3">
        <v>5.293</v>
      </c>
      <c r="P701" s="3">
        <v>123.337</v>
      </c>
      <c r="Q701" s="3" t="s">
        <v>1652</v>
      </c>
      <c r="R701" s="4"/>
      <c r="S701" s="4"/>
      <c r="T701" s="16">
        <f t="shared" si="1"/>
        <v>38388.51597</v>
      </c>
      <c r="U701" s="4" t="b">
        <f t="shared" si="2"/>
        <v>1</v>
      </c>
      <c r="V701" s="4" t="b">
        <f t="shared" si="3"/>
        <v>1</v>
      </c>
      <c r="W701" s="4" t="str">
        <f t="shared" si="8"/>
        <v>Distance/Location</v>
      </c>
      <c r="X701" s="4" t="str">
        <f t="shared" si="4"/>
        <v>mwc</v>
      </c>
      <c r="Y701" s="4">
        <f t="shared" si="5"/>
        <v>1</v>
      </c>
      <c r="Z701" s="4" t="str">
        <f t="shared" si="6"/>
        <v>Unique</v>
      </c>
      <c r="AA701" s="4" t="str">
        <f t="shared" si="7"/>
        <v>Valid</v>
      </c>
    </row>
    <row r="702">
      <c r="A702" s="3" t="s">
        <v>1653</v>
      </c>
      <c r="B702" s="3">
        <v>6.6</v>
      </c>
      <c r="C702" s="3" t="s">
        <v>1654</v>
      </c>
      <c r="D702" s="3">
        <v>6.0</v>
      </c>
      <c r="E702" s="3">
        <v>4.0</v>
      </c>
      <c r="F702" s="4"/>
      <c r="G702" s="3">
        <v>0.0</v>
      </c>
      <c r="H702" s="3">
        <v>676.0</v>
      </c>
      <c r="I702" s="3" t="s">
        <v>110</v>
      </c>
      <c r="J702" s="3">
        <v>225.0</v>
      </c>
      <c r="K702" s="3">
        <v>0.0</v>
      </c>
      <c r="L702" s="3">
        <v>78.5</v>
      </c>
      <c r="M702" s="3" t="s">
        <v>204</v>
      </c>
      <c r="N702" s="3">
        <v>27.8</v>
      </c>
      <c r="O702" s="3">
        <v>34.064</v>
      </c>
      <c r="P702" s="3">
        <v>141.491</v>
      </c>
      <c r="Q702" s="3" t="s">
        <v>1655</v>
      </c>
      <c r="R702" s="4"/>
      <c r="S702" s="4"/>
      <c r="T702" s="16">
        <f t="shared" si="1"/>
        <v>38371.25764</v>
      </c>
      <c r="U702" s="4" t="b">
        <f t="shared" si="2"/>
        <v>1</v>
      </c>
      <c r="V702" s="4" t="b">
        <f t="shared" si="3"/>
        <v>0</v>
      </c>
      <c r="W702" s="4" t="str">
        <f t="shared" si="8"/>
        <v>Distance/Location</v>
      </c>
      <c r="X702" s="4" t="str">
        <f t="shared" si="4"/>
        <v>mwc</v>
      </c>
      <c r="Y702" s="4">
        <f t="shared" si="5"/>
        <v>1</v>
      </c>
      <c r="Z702" s="4" t="str">
        <f t="shared" si="6"/>
        <v>Unique</v>
      </c>
      <c r="AA702" s="4" t="str">
        <f t="shared" si="7"/>
        <v>Valid</v>
      </c>
    </row>
    <row r="703">
      <c r="A703" s="3" t="s">
        <v>859</v>
      </c>
      <c r="B703" s="3">
        <v>6.6</v>
      </c>
      <c r="C703" s="3" t="s">
        <v>1656</v>
      </c>
      <c r="D703" s="3">
        <v>0.0</v>
      </c>
      <c r="E703" s="3">
        <v>5.0</v>
      </c>
      <c r="F703" s="4"/>
      <c r="G703" s="3">
        <v>0.0</v>
      </c>
      <c r="H703" s="3">
        <v>670.0</v>
      </c>
      <c r="I703" s="3" t="s">
        <v>110</v>
      </c>
      <c r="J703" s="3">
        <v>353.0</v>
      </c>
      <c r="K703" s="3">
        <v>0.0</v>
      </c>
      <c r="L703" s="3">
        <v>31.9</v>
      </c>
      <c r="M703" s="3" t="s">
        <v>204</v>
      </c>
      <c r="N703" s="3">
        <v>16.1</v>
      </c>
      <c r="O703" s="3">
        <v>8.879</v>
      </c>
      <c r="P703" s="3">
        <v>92.375</v>
      </c>
      <c r="Q703" s="3" t="s">
        <v>860</v>
      </c>
      <c r="R703" s="4"/>
      <c r="S703" s="4"/>
      <c r="T703" s="16">
        <f t="shared" si="1"/>
        <v>38347.38889</v>
      </c>
      <c r="U703" s="4" t="b">
        <f t="shared" si="2"/>
        <v>1</v>
      </c>
      <c r="V703" s="4" t="b">
        <f t="shared" si="3"/>
        <v>0</v>
      </c>
      <c r="W703" s="4" t="str">
        <f t="shared" si="8"/>
        <v>Named Region</v>
      </c>
      <c r="X703" s="4" t="str">
        <f t="shared" si="4"/>
        <v>mwc</v>
      </c>
      <c r="Y703" s="4">
        <f t="shared" si="5"/>
        <v>1</v>
      </c>
      <c r="Z703" s="4" t="str">
        <f t="shared" si="6"/>
        <v>Unique</v>
      </c>
      <c r="AA703" s="4" t="str">
        <f t="shared" si="7"/>
        <v>Valid</v>
      </c>
    </row>
    <row r="704">
      <c r="A704" s="3" t="s">
        <v>1657</v>
      </c>
      <c r="B704" s="3">
        <v>7.2</v>
      </c>
      <c r="C704" s="3" t="s">
        <v>1658</v>
      </c>
      <c r="D704" s="3">
        <v>5.0</v>
      </c>
      <c r="E704" s="3">
        <v>6.0</v>
      </c>
      <c r="F704" s="4"/>
      <c r="G704" s="3">
        <v>0.0</v>
      </c>
      <c r="H704" s="3">
        <v>802.0</v>
      </c>
      <c r="I704" s="3" t="s">
        <v>110</v>
      </c>
      <c r="J704" s="3">
        <v>385.0</v>
      </c>
      <c r="K704" s="3">
        <v>0.0</v>
      </c>
      <c r="L704" s="3">
        <v>27.9</v>
      </c>
      <c r="M704" s="3" t="s">
        <v>204</v>
      </c>
      <c r="N704" s="3">
        <v>39.2</v>
      </c>
      <c r="O704" s="3">
        <v>6.91</v>
      </c>
      <c r="P704" s="3">
        <v>92.958</v>
      </c>
      <c r="Q704" s="3" t="s">
        <v>1659</v>
      </c>
      <c r="R704" s="4"/>
      <c r="S704" s="4"/>
      <c r="T704" s="16">
        <f t="shared" si="1"/>
        <v>38347.18125</v>
      </c>
      <c r="U704" s="4" t="b">
        <f t="shared" si="2"/>
        <v>1</v>
      </c>
      <c r="V704" s="4" t="b">
        <f t="shared" si="3"/>
        <v>0</v>
      </c>
      <c r="W704" s="4" t="str">
        <f t="shared" si="8"/>
        <v>Distance/Location</v>
      </c>
      <c r="X704" s="4" t="str">
        <f t="shared" si="4"/>
        <v>mwc</v>
      </c>
      <c r="Y704" s="4">
        <f t="shared" si="5"/>
        <v>1</v>
      </c>
      <c r="Z704" s="4" t="str">
        <f t="shared" si="6"/>
        <v>Unique</v>
      </c>
      <c r="AA704" s="4" t="str">
        <f t="shared" si="7"/>
        <v>Valid</v>
      </c>
    </row>
    <row r="705">
      <c r="A705" s="3" t="s">
        <v>1660</v>
      </c>
      <c r="B705" s="3">
        <v>9.1</v>
      </c>
      <c r="C705" s="3" t="s">
        <v>1661</v>
      </c>
      <c r="D705" s="3">
        <v>0.0</v>
      </c>
      <c r="E705" s="3">
        <v>8.0</v>
      </c>
      <c r="F705" s="4"/>
      <c r="G705" s="3">
        <v>0.0</v>
      </c>
      <c r="H705" s="3">
        <v>1274.0</v>
      </c>
      <c r="I705" s="3" t="s">
        <v>1196</v>
      </c>
      <c r="J705" s="3">
        <v>601.0</v>
      </c>
      <c r="K705" s="3">
        <v>0.0</v>
      </c>
      <c r="L705" s="3">
        <v>22.0</v>
      </c>
      <c r="M705" s="3" t="s">
        <v>514</v>
      </c>
      <c r="N705" s="3">
        <v>30.0</v>
      </c>
      <c r="O705" s="3">
        <v>3.295</v>
      </c>
      <c r="P705" s="3">
        <v>95.982</v>
      </c>
      <c r="Q705" s="3" t="s">
        <v>1662</v>
      </c>
      <c r="R705" s="4"/>
      <c r="S705" s="3" t="s">
        <v>153</v>
      </c>
      <c r="T705" s="16">
        <f t="shared" si="1"/>
        <v>38347.04028</v>
      </c>
      <c r="U705" s="4" t="b">
        <f t="shared" si="2"/>
        <v>1</v>
      </c>
      <c r="V705" s="4" t="b">
        <f t="shared" si="3"/>
        <v>0</v>
      </c>
      <c r="W705" s="4" t="str">
        <f t="shared" si="8"/>
        <v>Named Region</v>
      </c>
      <c r="X705" s="4" t="str">
        <f t="shared" si="4"/>
        <v>mw</v>
      </c>
      <c r="Y705" s="4">
        <f t="shared" si="5"/>
        <v>1</v>
      </c>
      <c r="Z705" s="4" t="str">
        <f t="shared" si="6"/>
        <v>Unique</v>
      </c>
      <c r="AA705" s="4" t="str">
        <f t="shared" si="7"/>
        <v>Valid</v>
      </c>
    </row>
    <row r="706">
      <c r="A706" s="3" t="s">
        <v>1663</v>
      </c>
      <c r="B706" s="3">
        <v>8.1</v>
      </c>
      <c r="C706" s="3" t="s">
        <v>1664</v>
      </c>
      <c r="D706" s="3">
        <v>0.0</v>
      </c>
      <c r="E706" s="3">
        <v>5.0</v>
      </c>
      <c r="F706" s="4"/>
      <c r="G706" s="3">
        <v>0.0</v>
      </c>
      <c r="H706" s="3">
        <v>1009.0</v>
      </c>
      <c r="I706" s="3" t="s">
        <v>110</v>
      </c>
      <c r="J706" s="3">
        <v>331.0</v>
      </c>
      <c r="K706" s="3">
        <v>0.0</v>
      </c>
      <c r="L706" s="3">
        <v>59.3</v>
      </c>
      <c r="M706" s="3" t="s">
        <v>204</v>
      </c>
      <c r="N706" s="3">
        <v>10.0</v>
      </c>
      <c r="O706" s="3">
        <v>-49.312</v>
      </c>
      <c r="P706" s="3">
        <v>161.345</v>
      </c>
      <c r="Q706" s="3" t="s">
        <v>1665</v>
      </c>
      <c r="R706" s="4"/>
      <c r="S706" s="4"/>
      <c r="T706" s="16">
        <f t="shared" si="1"/>
        <v>38344.62431</v>
      </c>
      <c r="U706" s="4" t="b">
        <f t="shared" si="2"/>
        <v>1</v>
      </c>
      <c r="V706" s="4" t="b">
        <f t="shared" si="3"/>
        <v>0</v>
      </c>
      <c r="W706" s="4" t="str">
        <f t="shared" si="8"/>
        <v>Named Region</v>
      </c>
      <c r="X706" s="4" t="str">
        <f t="shared" si="4"/>
        <v>mwc</v>
      </c>
      <c r="Y706" s="4">
        <f t="shared" si="5"/>
        <v>1</v>
      </c>
      <c r="Z706" s="4" t="str">
        <f t="shared" si="6"/>
        <v>Unique</v>
      </c>
      <c r="AA706" s="4" t="str">
        <f t="shared" si="7"/>
        <v>Valid</v>
      </c>
    </row>
    <row r="707">
      <c r="A707" s="3" t="s">
        <v>1666</v>
      </c>
      <c r="B707" s="3">
        <v>6.8</v>
      </c>
      <c r="C707" s="3" t="s">
        <v>1667</v>
      </c>
      <c r="D707" s="3">
        <v>5.0</v>
      </c>
      <c r="E707" s="3">
        <v>6.0</v>
      </c>
      <c r="F707" s="4"/>
      <c r="G707" s="3">
        <v>0.0</v>
      </c>
      <c r="H707" s="3">
        <v>858.0</v>
      </c>
      <c r="I707" s="3" t="s">
        <v>110</v>
      </c>
      <c r="J707" s="3">
        <v>639.0</v>
      </c>
      <c r="K707" s="3">
        <v>0.0</v>
      </c>
      <c r="L707" s="3">
        <v>21.8</v>
      </c>
      <c r="M707" s="3" t="s">
        <v>224</v>
      </c>
      <c r="N707" s="3">
        <v>10.0</v>
      </c>
      <c r="O707" s="3">
        <v>18.958</v>
      </c>
      <c r="P707" s="3">
        <v>-81.409</v>
      </c>
      <c r="Q707" s="3" t="s">
        <v>1668</v>
      </c>
      <c r="R707" s="4"/>
      <c r="S707" s="4"/>
      <c r="T707" s="16">
        <f t="shared" si="1"/>
        <v>38335.97222</v>
      </c>
      <c r="U707" s="4" t="b">
        <f t="shared" si="2"/>
        <v>1</v>
      </c>
      <c r="V707" s="4" t="b">
        <f t="shared" si="3"/>
        <v>0</v>
      </c>
      <c r="W707" s="4" t="str">
        <f t="shared" si="8"/>
        <v>Distance/Location</v>
      </c>
      <c r="X707" s="4" t="str">
        <f t="shared" si="4"/>
        <v>mwb</v>
      </c>
      <c r="Y707" s="4">
        <f t="shared" si="5"/>
        <v>1</v>
      </c>
      <c r="Z707" s="4" t="str">
        <f t="shared" si="6"/>
        <v>Unique</v>
      </c>
      <c r="AA707" s="4" t="str">
        <f t="shared" si="7"/>
        <v>Valid</v>
      </c>
    </row>
    <row r="708">
      <c r="A708" s="3" t="s">
        <v>1669</v>
      </c>
      <c r="B708" s="3">
        <v>6.8</v>
      </c>
      <c r="C708" s="17">
        <v>38150.59375</v>
      </c>
      <c r="D708" s="3">
        <v>4.0</v>
      </c>
      <c r="E708" s="3">
        <v>7.0</v>
      </c>
      <c r="F708" s="4"/>
      <c r="G708" s="3">
        <v>0.0</v>
      </c>
      <c r="H708" s="3">
        <v>724.0</v>
      </c>
      <c r="I708" s="3" t="s">
        <v>110</v>
      </c>
      <c r="J708" s="3">
        <v>759.0</v>
      </c>
      <c r="K708" s="3">
        <v>0.0</v>
      </c>
      <c r="L708" s="3">
        <v>23.6</v>
      </c>
      <c r="M708" s="3" t="s">
        <v>224</v>
      </c>
      <c r="N708" s="3">
        <v>35.0</v>
      </c>
      <c r="O708" s="3">
        <v>42.9</v>
      </c>
      <c r="P708" s="3">
        <v>145.228</v>
      </c>
      <c r="Q708" s="3" t="s">
        <v>1670</v>
      </c>
      <c r="R708" s="3" t="s">
        <v>164</v>
      </c>
      <c r="S708" s="3" t="s">
        <v>371</v>
      </c>
      <c r="T708" s="16">
        <f t="shared" si="1"/>
        <v>38327.59375</v>
      </c>
      <c r="U708" s="4" t="b">
        <f t="shared" si="2"/>
        <v>1</v>
      </c>
      <c r="V708" s="4" t="b">
        <f t="shared" si="3"/>
        <v>1</v>
      </c>
      <c r="W708" s="4" t="str">
        <f t="shared" si="8"/>
        <v>Distance/Location</v>
      </c>
      <c r="X708" s="4" t="str">
        <f t="shared" si="4"/>
        <v>mwb</v>
      </c>
      <c r="Y708" s="4">
        <f t="shared" si="5"/>
        <v>1</v>
      </c>
      <c r="Z708" s="4" t="str">
        <f t="shared" si="6"/>
        <v>Unique</v>
      </c>
      <c r="AA708" s="4" t="str">
        <f t="shared" si="7"/>
        <v>Valid</v>
      </c>
    </row>
    <row r="709">
      <c r="A709" s="3" t="s">
        <v>1671</v>
      </c>
      <c r="B709" s="3">
        <v>7.0</v>
      </c>
      <c r="C709" s="3" t="s">
        <v>1672</v>
      </c>
      <c r="D709" s="3">
        <v>4.0</v>
      </c>
      <c r="E709" s="3">
        <v>7.0</v>
      </c>
      <c r="F709" s="4"/>
      <c r="G709" s="3">
        <v>0.0</v>
      </c>
      <c r="H709" s="3">
        <v>771.0</v>
      </c>
      <c r="I709" s="3" t="s">
        <v>110</v>
      </c>
      <c r="J709" s="3">
        <v>929.0</v>
      </c>
      <c r="K709" s="3">
        <v>0.0</v>
      </c>
      <c r="L709" s="3">
        <v>23.9</v>
      </c>
      <c r="M709" s="3" t="s">
        <v>224</v>
      </c>
      <c r="N709" s="3">
        <v>39.0</v>
      </c>
      <c r="O709" s="3">
        <v>43.006</v>
      </c>
      <c r="P709" s="3">
        <v>145.119</v>
      </c>
      <c r="Q709" s="3" t="s">
        <v>1670</v>
      </c>
      <c r="R709" s="3" t="s">
        <v>164</v>
      </c>
      <c r="S709" s="3" t="s">
        <v>371</v>
      </c>
      <c r="T709" s="16">
        <f t="shared" si="1"/>
        <v>38319.77222</v>
      </c>
      <c r="U709" s="4" t="b">
        <f t="shared" si="2"/>
        <v>1</v>
      </c>
      <c r="V709" s="4" t="b">
        <f t="shared" si="3"/>
        <v>0</v>
      </c>
      <c r="W709" s="4" t="str">
        <f t="shared" si="8"/>
        <v>Distance/Location</v>
      </c>
      <c r="X709" s="4" t="str">
        <f t="shared" si="4"/>
        <v>mwb</v>
      </c>
      <c r="Y709" s="4">
        <f t="shared" si="5"/>
        <v>1</v>
      </c>
      <c r="Z709" s="4" t="str">
        <f t="shared" si="6"/>
        <v>Unique</v>
      </c>
      <c r="AA709" s="4" t="str">
        <f t="shared" si="7"/>
        <v>Valid</v>
      </c>
    </row>
    <row r="710">
      <c r="A710" s="3" t="s">
        <v>1673</v>
      </c>
      <c r="B710" s="3">
        <v>7.1</v>
      </c>
      <c r="C710" s="3" t="s">
        <v>1674</v>
      </c>
      <c r="D710" s="3">
        <v>0.0</v>
      </c>
      <c r="E710" s="3">
        <v>7.0</v>
      </c>
      <c r="F710" s="4"/>
      <c r="G710" s="3">
        <v>0.0</v>
      </c>
      <c r="H710" s="3">
        <v>776.0</v>
      </c>
      <c r="I710" s="3" t="s">
        <v>110</v>
      </c>
      <c r="J710" s="3">
        <v>439.0</v>
      </c>
      <c r="K710" s="3">
        <v>0.0</v>
      </c>
      <c r="L710" s="3">
        <v>28.8</v>
      </c>
      <c r="M710" s="3" t="s">
        <v>204</v>
      </c>
      <c r="N710" s="3">
        <v>10.0</v>
      </c>
      <c r="O710" s="3">
        <v>-3.609</v>
      </c>
      <c r="P710" s="3">
        <v>135.404</v>
      </c>
      <c r="Q710" s="3" t="s">
        <v>1675</v>
      </c>
      <c r="R710" s="4"/>
      <c r="S710" s="3" t="s">
        <v>153</v>
      </c>
      <c r="T710" s="16">
        <f t="shared" si="1"/>
        <v>38317.10069</v>
      </c>
      <c r="U710" s="4" t="b">
        <f t="shared" si="2"/>
        <v>1</v>
      </c>
      <c r="V710" s="4" t="b">
        <f t="shared" si="3"/>
        <v>0</v>
      </c>
      <c r="W710" s="4" t="str">
        <f t="shared" si="8"/>
        <v>Distance/Location</v>
      </c>
      <c r="X710" s="4" t="str">
        <f t="shared" si="4"/>
        <v>mwc</v>
      </c>
      <c r="Y710" s="4">
        <f t="shared" si="5"/>
        <v>1</v>
      </c>
      <c r="Z710" s="4" t="str">
        <f t="shared" si="6"/>
        <v>Unique</v>
      </c>
      <c r="AA710" s="4" t="str">
        <f t="shared" si="7"/>
        <v>Valid</v>
      </c>
    </row>
    <row r="711">
      <c r="A711" s="3" t="s">
        <v>1676</v>
      </c>
      <c r="B711" s="3">
        <v>7.1</v>
      </c>
      <c r="C711" s="3" t="s">
        <v>1677</v>
      </c>
      <c r="D711" s="3">
        <v>5.0</v>
      </c>
      <c r="E711" s="3">
        <v>5.0</v>
      </c>
      <c r="F711" s="4"/>
      <c r="G711" s="3">
        <v>0.0</v>
      </c>
      <c r="H711" s="3">
        <v>782.0</v>
      </c>
      <c r="I711" s="3" t="s">
        <v>110</v>
      </c>
      <c r="J711" s="3">
        <v>585.0</v>
      </c>
      <c r="K711" s="3">
        <v>0.0</v>
      </c>
      <c r="L711" s="3">
        <v>14.7</v>
      </c>
      <c r="M711" s="3" t="s">
        <v>204</v>
      </c>
      <c r="N711" s="3">
        <v>10.0</v>
      </c>
      <c r="O711" s="3">
        <v>-46.676</v>
      </c>
      <c r="P711" s="3">
        <v>164.721</v>
      </c>
      <c r="Q711" s="3" t="s">
        <v>1678</v>
      </c>
      <c r="R711" s="4"/>
      <c r="S711" s="4"/>
      <c r="T711" s="16">
        <f t="shared" si="1"/>
        <v>38313.85139</v>
      </c>
      <c r="U711" s="4" t="b">
        <f t="shared" si="2"/>
        <v>1</v>
      </c>
      <c r="V711" s="4" t="b">
        <f t="shared" si="3"/>
        <v>0</v>
      </c>
      <c r="W711" s="4" t="str">
        <f t="shared" si="8"/>
        <v>Distance/Location</v>
      </c>
      <c r="X711" s="4" t="str">
        <f t="shared" si="4"/>
        <v>mwc</v>
      </c>
      <c r="Y711" s="4">
        <f t="shared" si="5"/>
        <v>1</v>
      </c>
      <c r="Z711" s="4" t="str">
        <f t="shared" si="6"/>
        <v>Unique</v>
      </c>
      <c r="AA711" s="4" t="str">
        <f t="shared" si="7"/>
        <v>Valid</v>
      </c>
    </row>
    <row r="712">
      <c r="A712" s="3" t="s">
        <v>1679</v>
      </c>
      <c r="B712" s="3">
        <v>7.2</v>
      </c>
      <c r="C712" s="3" t="s">
        <v>1680</v>
      </c>
      <c r="D712" s="3">
        <v>8.0</v>
      </c>
      <c r="E712" s="3">
        <v>8.0</v>
      </c>
      <c r="F712" s="4"/>
      <c r="G712" s="3">
        <v>0.0</v>
      </c>
      <c r="H712" s="3">
        <v>820.0</v>
      </c>
      <c r="I712" s="3" t="s">
        <v>110</v>
      </c>
      <c r="J712" s="3">
        <v>708.0</v>
      </c>
      <c r="K712" s="3">
        <v>0.0</v>
      </c>
      <c r="L712" s="3">
        <v>50.2</v>
      </c>
      <c r="M712" s="3" t="s">
        <v>224</v>
      </c>
      <c r="N712" s="3">
        <v>15.0</v>
      </c>
      <c r="O712" s="3">
        <v>4.695</v>
      </c>
      <c r="P712" s="3">
        <v>-77.508</v>
      </c>
      <c r="Q712" s="3" t="s">
        <v>1681</v>
      </c>
      <c r="R712" s="4"/>
      <c r="S712" s="3" t="s">
        <v>140</v>
      </c>
      <c r="T712" s="16">
        <f t="shared" si="1"/>
        <v>38306.37917</v>
      </c>
      <c r="U712" s="4" t="b">
        <f t="shared" si="2"/>
        <v>1</v>
      </c>
      <c r="V712" s="4" t="b">
        <f t="shared" si="3"/>
        <v>0</v>
      </c>
      <c r="W712" s="4" t="str">
        <f t="shared" si="8"/>
        <v>Distance/Location</v>
      </c>
      <c r="X712" s="4" t="str">
        <f t="shared" si="4"/>
        <v>mwb</v>
      </c>
      <c r="Y712" s="4">
        <f t="shared" si="5"/>
        <v>1</v>
      </c>
      <c r="Z712" s="4" t="str">
        <f t="shared" si="6"/>
        <v>Unique</v>
      </c>
      <c r="AA712" s="4" t="str">
        <f t="shared" si="7"/>
        <v>Valid</v>
      </c>
    </row>
    <row r="713">
      <c r="A713" s="3" t="s">
        <v>1682</v>
      </c>
      <c r="B713" s="3">
        <v>7.5</v>
      </c>
      <c r="C713" s="18">
        <v>38302.893055555556</v>
      </c>
      <c r="D713" s="3">
        <v>5.0</v>
      </c>
      <c r="E713" s="3">
        <v>7.0</v>
      </c>
      <c r="F713" s="4"/>
      <c r="G713" s="3">
        <v>0.0</v>
      </c>
      <c r="H713" s="3">
        <v>870.0</v>
      </c>
      <c r="I713" s="3" t="s">
        <v>110</v>
      </c>
      <c r="J713" s="3">
        <v>301.0</v>
      </c>
      <c r="K713" s="3">
        <v>0.0</v>
      </c>
      <c r="L713" s="3">
        <v>33.8</v>
      </c>
      <c r="M713" s="3" t="s">
        <v>204</v>
      </c>
      <c r="N713" s="3">
        <v>10.0</v>
      </c>
      <c r="O713" s="3">
        <v>-8.152</v>
      </c>
      <c r="P713" s="3">
        <v>124.868</v>
      </c>
      <c r="Q713" s="3" t="s">
        <v>864</v>
      </c>
      <c r="R713" s="4"/>
      <c r="S713" s="3" t="s">
        <v>153</v>
      </c>
      <c r="T713" s="16">
        <f t="shared" si="1"/>
        <v>38302.89306</v>
      </c>
      <c r="U713" s="4" t="b">
        <f t="shared" si="2"/>
        <v>1</v>
      </c>
      <c r="V713" s="4" t="b">
        <f t="shared" si="3"/>
        <v>1</v>
      </c>
      <c r="W713" s="4" t="str">
        <f t="shared" si="8"/>
        <v>Distance/Location</v>
      </c>
      <c r="X713" s="4" t="str">
        <f t="shared" si="4"/>
        <v>mwc</v>
      </c>
      <c r="Y713" s="4">
        <f t="shared" si="5"/>
        <v>1</v>
      </c>
      <c r="Z713" s="4" t="str">
        <f t="shared" si="6"/>
        <v>Unique</v>
      </c>
      <c r="AA713" s="4" t="str">
        <f t="shared" si="7"/>
        <v>Valid</v>
      </c>
    </row>
    <row r="714">
      <c r="A714" s="3" t="s">
        <v>1683</v>
      </c>
      <c r="B714" s="3">
        <v>6.7</v>
      </c>
      <c r="C714" s="18">
        <v>38302.731944444444</v>
      </c>
      <c r="D714" s="3">
        <v>0.0</v>
      </c>
      <c r="E714" s="3">
        <v>6.0</v>
      </c>
      <c r="F714" s="4"/>
      <c r="G714" s="3">
        <v>0.0</v>
      </c>
      <c r="H714" s="3">
        <v>691.0</v>
      </c>
      <c r="I714" s="3" t="s">
        <v>110</v>
      </c>
      <c r="J714" s="3">
        <v>233.0</v>
      </c>
      <c r="K714" s="3">
        <v>0.0</v>
      </c>
      <c r="L714" s="3">
        <v>21.5</v>
      </c>
      <c r="M714" s="3" t="s">
        <v>224</v>
      </c>
      <c r="N714" s="3">
        <v>10.0</v>
      </c>
      <c r="O714" s="3">
        <v>-11.128</v>
      </c>
      <c r="P714" s="3">
        <v>162.208</v>
      </c>
      <c r="Q714" s="3" t="s">
        <v>595</v>
      </c>
      <c r="R714" s="4"/>
      <c r="S714" s="4"/>
      <c r="T714" s="16">
        <f t="shared" si="1"/>
        <v>38302.73194</v>
      </c>
      <c r="U714" s="4" t="b">
        <f t="shared" si="2"/>
        <v>1</v>
      </c>
      <c r="V714" s="4" t="b">
        <f t="shared" si="3"/>
        <v>1</v>
      </c>
      <c r="W714" s="4" t="str">
        <f t="shared" si="8"/>
        <v>Distance/Location</v>
      </c>
      <c r="X714" s="4" t="str">
        <f t="shared" si="4"/>
        <v>mwb</v>
      </c>
      <c r="Y714" s="4">
        <f t="shared" si="5"/>
        <v>1</v>
      </c>
      <c r="Z714" s="4" t="str">
        <f t="shared" si="6"/>
        <v>Unique</v>
      </c>
      <c r="AA714" s="4" t="str">
        <f t="shared" si="7"/>
        <v>Valid</v>
      </c>
    </row>
    <row r="715">
      <c r="A715" s="3" t="s">
        <v>1684</v>
      </c>
      <c r="B715" s="3">
        <v>6.7</v>
      </c>
      <c r="C715" s="17">
        <v>38028.41805555556</v>
      </c>
      <c r="D715" s="3">
        <v>7.0</v>
      </c>
      <c r="E715" s="3">
        <v>4.0</v>
      </c>
      <c r="F715" s="4"/>
      <c r="G715" s="3">
        <v>0.0</v>
      </c>
      <c r="H715" s="3">
        <v>703.0</v>
      </c>
      <c r="I715" s="3" t="s">
        <v>110</v>
      </c>
      <c r="J715" s="3">
        <v>459.0</v>
      </c>
      <c r="K715" s="3">
        <v>0.0</v>
      </c>
      <c r="L715" s="3">
        <v>37.3</v>
      </c>
      <c r="M715" s="3" t="s">
        <v>224</v>
      </c>
      <c r="N715" s="3">
        <v>10.0</v>
      </c>
      <c r="O715" s="3">
        <v>49.277</v>
      </c>
      <c r="P715" s="3">
        <v>-128.772</v>
      </c>
      <c r="Q715" s="3" t="s">
        <v>574</v>
      </c>
      <c r="R715" s="4"/>
      <c r="S715" s="4"/>
      <c r="T715" s="16">
        <f t="shared" si="1"/>
        <v>38293.41806</v>
      </c>
      <c r="U715" s="4" t="b">
        <f t="shared" si="2"/>
        <v>1</v>
      </c>
      <c r="V715" s="4" t="b">
        <f t="shared" si="3"/>
        <v>1</v>
      </c>
      <c r="W715" s="4" t="str">
        <f t="shared" si="8"/>
        <v>Distance/Location</v>
      </c>
      <c r="X715" s="4" t="str">
        <f t="shared" si="4"/>
        <v>mwb</v>
      </c>
      <c r="Y715" s="4">
        <f t="shared" si="5"/>
        <v>1</v>
      </c>
      <c r="Z715" s="4" t="str">
        <f t="shared" si="6"/>
        <v>Unique</v>
      </c>
      <c r="AA715" s="4" t="str">
        <f t="shared" si="7"/>
        <v>Valid</v>
      </c>
    </row>
    <row r="716">
      <c r="A716" s="3" t="s">
        <v>1685</v>
      </c>
      <c r="B716" s="3">
        <v>6.6</v>
      </c>
      <c r="C716" s="3" t="s">
        <v>1686</v>
      </c>
      <c r="D716" s="3">
        <v>0.0</v>
      </c>
      <c r="E716" s="3">
        <v>8.0</v>
      </c>
      <c r="F716" s="4"/>
      <c r="G716" s="3">
        <v>0.0</v>
      </c>
      <c r="H716" s="3">
        <v>670.0</v>
      </c>
      <c r="I716" s="3" t="s">
        <v>110</v>
      </c>
      <c r="J716" s="3">
        <v>782.0</v>
      </c>
      <c r="K716" s="3">
        <v>0.0</v>
      </c>
      <c r="L716" s="3">
        <v>37.0</v>
      </c>
      <c r="M716" s="3" t="s">
        <v>204</v>
      </c>
      <c r="N716" s="3">
        <v>16.0</v>
      </c>
      <c r="O716" s="3">
        <v>37.226</v>
      </c>
      <c r="P716" s="3">
        <v>138.779</v>
      </c>
      <c r="Q716" s="3" t="s">
        <v>1687</v>
      </c>
      <c r="R716" s="3" t="s">
        <v>164</v>
      </c>
      <c r="S716" s="3" t="s">
        <v>371</v>
      </c>
      <c r="T716" s="16">
        <f t="shared" si="1"/>
        <v>38283.37222</v>
      </c>
      <c r="U716" s="4" t="b">
        <f t="shared" si="2"/>
        <v>1</v>
      </c>
      <c r="V716" s="4" t="b">
        <f t="shared" si="3"/>
        <v>0</v>
      </c>
      <c r="W716" s="4" t="str">
        <f t="shared" si="8"/>
        <v>Distance/Location</v>
      </c>
      <c r="X716" s="4" t="str">
        <f t="shared" si="4"/>
        <v>mwc</v>
      </c>
      <c r="Y716" s="4">
        <f t="shared" si="5"/>
        <v>1</v>
      </c>
      <c r="Z716" s="4" t="str">
        <f t="shared" si="6"/>
        <v>Unique</v>
      </c>
      <c r="AA716" s="4" t="str">
        <f t="shared" si="7"/>
        <v>Valid</v>
      </c>
    </row>
    <row r="717">
      <c r="A717" s="3" t="s">
        <v>1688</v>
      </c>
      <c r="B717" s="3">
        <v>6.7</v>
      </c>
      <c r="C717" s="3" t="s">
        <v>1689</v>
      </c>
      <c r="D717" s="3">
        <v>5.0</v>
      </c>
      <c r="E717" s="3">
        <v>6.0</v>
      </c>
      <c r="F717" s="4"/>
      <c r="G717" s="3">
        <v>0.0</v>
      </c>
      <c r="H717" s="3">
        <v>705.0</v>
      </c>
      <c r="I717" s="3" t="s">
        <v>110</v>
      </c>
      <c r="J717" s="3">
        <v>698.0</v>
      </c>
      <c r="K717" s="3">
        <v>0.0</v>
      </c>
      <c r="L717" s="3">
        <v>24.7</v>
      </c>
      <c r="M717" s="3" t="s">
        <v>224</v>
      </c>
      <c r="N717" s="3">
        <v>94.0</v>
      </c>
      <c r="O717" s="3">
        <v>24.53</v>
      </c>
      <c r="P717" s="3">
        <v>122.694</v>
      </c>
      <c r="Q717" s="3" t="s">
        <v>1690</v>
      </c>
      <c r="R717" s="4"/>
      <c r="S717" s="4"/>
      <c r="T717" s="16">
        <f t="shared" si="1"/>
        <v>38275.17222</v>
      </c>
      <c r="U717" s="4" t="b">
        <f t="shared" si="2"/>
        <v>1</v>
      </c>
      <c r="V717" s="4" t="b">
        <f t="shared" si="3"/>
        <v>0</v>
      </c>
      <c r="W717" s="4" t="str">
        <f t="shared" si="8"/>
        <v>Distance/Location</v>
      </c>
      <c r="X717" s="4" t="str">
        <f t="shared" si="4"/>
        <v>mwb</v>
      </c>
      <c r="Y717" s="4">
        <f t="shared" si="5"/>
        <v>1</v>
      </c>
      <c r="Z717" s="4" t="str">
        <f t="shared" si="6"/>
        <v>Unique</v>
      </c>
      <c r="AA717" s="4" t="str">
        <f t="shared" si="7"/>
        <v>Valid</v>
      </c>
    </row>
    <row r="718">
      <c r="A718" s="3" t="s">
        <v>1691</v>
      </c>
      <c r="B718" s="3">
        <v>7.0</v>
      </c>
      <c r="C718" s="17">
        <v>38240.893055555556</v>
      </c>
      <c r="D718" s="3">
        <v>0.0</v>
      </c>
      <c r="E718" s="3">
        <v>6.0</v>
      </c>
      <c r="F718" s="4"/>
      <c r="G718" s="3">
        <v>0.0</v>
      </c>
      <c r="H718" s="3">
        <v>754.0</v>
      </c>
      <c r="I718" s="3" t="s">
        <v>110</v>
      </c>
      <c r="J718" s="3">
        <v>441.0</v>
      </c>
      <c r="K718" s="3">
        <v>0.0</v>
      </c>
      <c r="L718" s="3">
        <v>32.2</v>
      </c>
      <c r="M718" s="3" t="s">
        <v>204</v>
      </c>
      <c r="N718" s="3">
        <v>35.0</v>
      </c>
      <c r="O718" s="3">
        <v>11.422</v>
      </c>
      <c r="P718" s="3">
        <v>-86.665</v>
      </c>
      <c r="Q718" s="3" t="s">
        <v>271</v>
      </c>
      <c r="R718" s="4"/>
      <c r="S718" s="4"/>
      <c r="T718" s="16">
        <f t="shared" si="1"/>
        <v>38269.89306</v>
      </c>
      <c r="U718" s="4" t="b">
        <f t="shared" si="2"/>
        <v>1</v>
      </c>
      <c r="V718" s="4" t="b">
        <f t="shared" si="3"/>
        <v>1</v>
      </c>
      <c r="W718" s="4" t="str">
        <f t="shared" si="8"/>
        <v>Distance/Location</v>
      </c>
      <c r="X718" s="4" t="str">
        <f t="shared" si="4"/>
        <v>mwc</v>
      </c>
      <c r="Y718" s="4">
        <f t="shared" si="5"/>
        <v>1</v>
      </c>
      <c r="Z718" s="4" t="str">
        <f t="shared" si="6"/>
        <v>Unique</v>
      </c>
      <c r="AA718" s="4" t="str">
        <f t="shared" si="7"/>
        <v>Valid</v>
      </c>
    </row>
    <row r="719">
      <c r="A719" s="3" t="s">
        <v>1692</v>
      </c>
      <c r="B719" s="3">
        <v>6.5</v>
      </c>
      <c r="C719" s="17">
        <v>38209.60833333333</v>
      </c>
      <c r="D719" s="3">
        <v>5.0</v>
      </c>
      <c r="E719" s="3">
        <v>5.0</v>
      </c>
      <c r="F719" s="4"/>
      <c r="G719" s="3">
        <v>0.0</v>
      </c>
      <c r="H719" s="3">
        <v>665.0</v>
      </c>
      <c r="I719" s="3" t="s">
        <v>110</v>
      </c>
      <c r="J719" s="3">
        <v>526.0</v>
      </c>
      <c r="K719" s="3">
        <v>0.0</v>
      </c>
      <c r="L719" s="3">
        <v>18.3</v>
      </c>
      <c r="M719" s="3" t="s">
        <v>224</v>
      </c>
      <c r="N719" s="3">
        <v>105.0</v>
      </c>
      <c r="O719" s="3">
        <v>13.925</v>
      </c>
      <c r="P719" s="3">
        <v>120.534</v>
      </c>
      <c r="Q719" s="3" t="s">
        <v>1693</v>
      </c>
      <c r="R719" s="4"/>
      <c r="S719" s="3" t="s">
        <v>258</v>
      </c>
      <c r="T719" s="16">
        <f t="shared" si="1"/>
        <v>38268.60833</v>
      </c>
      <c r="U719" s="4" t="b">
        <f t="shared" si="2"/>
        <v>1</v>
      </c>
      <c r="V719" s="4" t="b">
        <f t="shared" si="3"/>
        <v>1</v>
      </c>
      <c r="W719" s="4" t="str">
        <f t="shared" si="8"/>
        <v>Distance/Location</v>
      </c>
      <c r="X719" s="4" t="str">
        <f t="shared" si="4"/>
        <v>mwb</v>
      </c>
      <c r="Y719" s="4">
        <f t="shared" si="5"/>
        <v>1</v>
      </c>
      <c r="Z719" s="4" t="str">
        <f t="shared" si="6"/>
        <v>Unique</v>
      </c>
      <c r="AA719" s="4" t="str">
        <f t="shared" si="7"/>
        <v>Valid</v>
      </c>
    </row>
    <row r="720">
      <c r="A720" s="3" t="s">
        <v>1694</v>
      </c>
      <c r="B720" s="3">
        <v>6.8</v>
      </c>
      <c r="C720" s="17">
        <v>38209.35208333333</v>
      </c>
      <c r="D720" s="3">
        <v>0.0</v>
      </c>
      <c r="E720" s="3">
        <v>6.0</v>
      </c>
      <c r="F720" s="4"/>
      <c r="G720" s="3">
        <v>0.0</v>
      </c>
      <c r="H720" s="3">
        <v>711.0</v>
      </c>
      <c r="I720" s="3" t="s">
        <v>110</v>
      </c>
      <c r="J720" s="3">
        <v>545.0</v>
      </c>
      <c r="K720" s="3">
        <v>0.0</v>
      </c>
      <c r="L720" s="3">
        <v>15.7</v>
      </c>
      <c r="M720" s="3" t="s">
        <v>224</v>
      </c>
      <c r="N720" s="3">
        <v>36.0</v>
      </c>
      <c r="O720" s="3">
        <v>-10.951</v>
      </c>
      <c r="P720" s="3">
        <v>162.161</v>
      </c>
      <c r="Q720" s="3" t="s">
        <v>595</v>
      </c>
      <c r="R720" s="4"/>
      <c r="S720" s="3" t="s">
        <v>214</v>
      </c>
      <c r="T720" s="16">
        <f t="shared" si="1"/>
        <v>38268.35208</v>
      </c>
      <c r="U720" s="4" t="b">
        <f t="shared" si="2"/>
        <v>1</v>
      </c>
      <c r="V720" s="4" t="b">
        <f t="shared" si="3"/>
        <v>1</v>
      </c>
      <c r="W720" s="4" t="str">
        <f t="shared" si="8"/>
        <v>Distance/Location</v>
      </c>
      <c r="X720" s="4" t="str">
        <f t="shared" si="4"/>
        <v>mwb</v>
      </c>
      <c r="Y720" s="4">
        <f t="shared" si="5"/>
        <v>1</v>
      </c>
      <c r="Z720" s="4" t="str">
        <f t="shared" si="6"/>
        <v>Unique</v>
      </c>
      <c r="AA720" s="4" t="str">
        <f t="shared" si="7"/>
        <v>Valid</v>
      </c>
    </row>
    <row r="721">
      <c r="A721" s="3" t="s">
        <v>1695</v>
      </c>
      <c r="B721" s="3">
        <v>6.6</v>
      </c>
      <c r="C721" s="17">
        <v>38147.978472222225</v>
      </c>
      <c r="D721" s="3">
        <v>0.0</v>
      </c>
      <c r="E721" s="3">
        <v>4.0</v>
      </c>
      <c r="F721" s="4"/>
      <c r="G721" s="3">
        <v>0.0</v>
      </c>
      <c r="H721" s="3">
        <v>670.0</v>
      </c>
      <c r="I721" s="3" t="s">
        <v>110</v>
      </c>
      <c r="J721" s="3">
        <v>478.0</v>
      </c>
      <c r="K721" s="3">
        <v>0.0</v>
      </c>
      <c r="L721" s="3">
        <v>29.8</v>
      </c>
      <c r="M721" s="3" t="s">
        <v>204</v>
      </c>
      <c r="N721" s="3">
        <v>10.0</v>
      </c>
      <c r="O721" s="3">
        <v>33.205</v>
      </c>
      <c r="P721" s="3">
        <v>137.227</v>
      </c>
      <c r="Q721" s="3" t="s">
        <v>1696</v>
      </c>
      <c r="R721" s="4"/>
      <c r="S721" s="4"/>
      <c r="T721" s="16">
        <f t="shared" si="1"/>
        <v>38236.97847</v>
      </c>
      <c r="U721" s="4" t="b">
        <f t="shared" si="2"/>
        <v>1</v>
      </c>
      <c r="V721" s="4" t="b">
        <f t="shared" si="3"/>
        <v>1</v>
      </c>
      <c r="W721" s="4" t="str">
        <f t="shared" si="8"/>
        <v>Distance/Location</v>
      </c>
      <c r="X721" s="4" t="str">
        <f t="shared" si="4"/>
        <v>mwc</v>
      </c>
      <c r="Y721" s="4">
        <f t="shared" si="5"/>
        <v>1</v>
      </c>
      <c r="Z721" s="4" t="str">
        <f t="shared" si="6"/>
        <v>Unique</v>
      </c>
      <c r="AA721" s="4" t="str">
        <f t="shared" si="7"/>
        <v>Valid</v>
      </c>
    </row>
    <row r="722">
      <c r="A722" s="3" t="s">
        <v>1697</v>
      </c>
      <c r="B722" s="3">
        <v>7.4</v>
      </c>
      <c r="C722" s="17">
        <v>38116.62291666667</v>
      </c>
      <c r="D722" s="3">
        <v>0.0</v>
      </c>
      <c r="E722" s="3">
        <v>5.0</v>
      </c>
      <c r="F722" s="4"/>
      <c r="G722" s="3">
        <v>0.0</v>
      </c>
      <c r="H722" s="3">
        <v>842.0</v>
      </c>
      <c r="I722" s="3" t="s">
        <v>110</v>
      </c>
      <c r="J722" s="3">
        <v>594.0</v>
      </c>
      <c r="K722" s="3">
        <v>0.0</v>
      </c>
      <c r="L722" s="3">
        <v>27.5</v>
      </c>
      <c r="M722" s="3" t="s">
        <v>224</v>
      </c>
      <c r="N722" s="3">
        <v>10.0</v>
      </c>
      <c r="O722" s="3">
        <v>33.184</v>
      </c>
      <c r="P722" s="3">
        <v>137.071</v>
      </c>
      <c r="Q722" s="3" t="s">
        <v>1696</v>
      </c>
      <c r="R722" s="4"/>
      <c r="S722" s="4"/>
      <c r="T722" s="16">
        <f t="shared" si="1"/>
        <v>38235.62292</v>
      </c>
      <c r="U722" s="4" t="b">
        <f t="shared" si="2"/>
        <v>1</v>
      </c>
      <c r="V722" s="4" t="b">
        <f t="shared" si="3"/>
        <v>1</v>
      </c>
      <c r="W722" s="4" t="str">
        <f t="shared" si="8"/>
        <v>Distance/Location</v>
      </c>
      <c r="X722" s="4" t="str">
        <f t="shared" si="4"/>
        <v>mwb</v>
      </c>
      <c r="Y722" s="4">
        <f t="shared" si="5"/>
        <v>1</v>
      </c>
      <c r="Z722" s="4" t="str">
        <f t="shared" si="6"/>
        <v>Unique</v>
      </c>
      <c r="AA722" s="4" t="str">
        <f t="shared" si="7"/>
        <v>Valid</v>
      </c>
    </row>
    <row r="723">
      <c r="A723" s="3" t="s">
        <v>1698</v>
      </c>
      <c r="B723" s="3">
        <v>7.2</v>
      </c>
      <c r="C723" s="17">
        <v>38116.42152777778</v>
      </c>
      <c r="D723" s="3">
        <v>0.0</v>
      </c>
      <c r="E723" s="3">
        <v>5.0</v>
      </c>
      <c r="F723" s="4"/>
      <c r="G723" s="3">
        <v>0.0</v>
      </c>
      <c r="H723" s="3">
        <v>798.0</v>
      </c>
      <c r="I723" s="3" t="s">
        <v>110</v>
      </c>
      <c r="J723" s="3">
        <v>643.0</v>
      </c>
      <c r="K723" s="3">
        <v>0.0</v>
      </c>
      <c r="L723" s="3">
        <v>28.4</v>
      </c>
      <c r="M723" s="3" t="s">
        <v>204</v>
      </c>
      <c r="N723" s="3">
        <v>14.0</v>
      </c>
      <c r="O723" s="3">
        <v>33.07</v>
      </c>
      <c r="P723" s="3">
        <v>136.618</v>
      </c>
      <c r="Q723" s="3" t="s">
        <v>1696</v>
      </c>
      <c r="R723" s="4"/>
      <c r="S723" s="4"/>
      <c r="T723" s="16">
        <f t="shared" si="1"/>
        <v>38235.42153</v>
      </c>
      <c r="U723" s="4" t="b">
        <f t="shared" si="2"/>
        <v>1</v>
      </c>
      <c r="V723" s="4" t="b">
        <f t="shared" si="3"/>
        <v>1</v>
      </c>
      <c r="W723" s="4" t="str">
        <f t="shared" si="8"/>
        <v>Distance/Location</v>
      </c>
      <c r="X723" s="4" t="str">
        <f t="shared" si="4"/>
        <v>mwc</v>
      </c>
      <c r="Y723" s="4">
        <f t="shared" si="5"/>
        <v>1</v>
      </c>
      <c r="Z723" s="4" t="str">
        <f t="shared" si="6"/>
        <v>Unique</v>
      </c>
      <c r="AA723" s="4" t="str">
        <f t="shared" si="7"/>
        <v>Valid</v>
      </c>
    </row>
    <row r="724">
      <c r="A724" s="3" t="s">
        <v>1699</v>
      </c>
      <c r="B724" s="3">
        <v>6.5</v>
      </c>
      <c r="C724" s="3" t="s">
        <v>1700</v>
      </c>
      <c r="D724" s="3">
        <v>0.0</v>
      </c>
      <c r="E724" s="3">
        <v>7.0</v>
      </c>
      <c r="F724" s="4"/>
      <c r="G724" s="3">
        <v>0.0</v>
      </c>
      <c r="H724" s="3">
        <v>650.0</v>
      </c>
      <c r="I724" s="3" t="s">
        <v>110</v>
      </c>
      <c r="J724" s="3">
        <v>349.0</v>
      </c>
      <c r="K724" s="3">
        <v>0.0</v>
      </c>
      <c r="L724" s="3">
        <v>30.1</v>
      </c>
      <c r="M724" s="3" t="s">
        <v>224</v>
      </c>
      <c r="N724" s="3">
        <v>5.0</v>
      </c>
      <c r="O724" s="3">
        <v>-35.173</v>
      </c>
      <c r="P724" s="3">
        <v>-70.525</v>
      </c>
      <c r="Q724" s="3" t="s">
        <v>1701</v>
      </c>
      <c r="R724" s="3" t="s">
        <v>121</v>
      </c>
      <c r="S724" s="3" t="s">
        <v>414</v>
      </c>
      <c r="T724" s="16">
        <f t="shared" si="1"/>
        <v>38227.57014</v>
      </c>
      <c r="U724" s="4" t="b">
        <f t="shared" si="2"/>
        <v>1</v>
      </c>
      <c r="V724" s="4" t="b">
        <f t="shared" si="3"/>
        <v>0</v>
      </c>
      <c r="W724" s="4" t="str">
        <f t="shared" si="8"/>
        <v>Distance/Location</v>
      </c>
      <c r="X724" s="4" t="str">
        <f t="shared" si="4"/>
        <v>mwb</v>
      </c>
      <c r="Y724" s="4">
        <f t="shared" si="5"/>
        <v>1</v>
      </c>
      <c r="Z724" s="4" t="str">
        <f t="shared" si="6"/>
        <v>Unique</v>
      </c>
      <c r="AA724" s="4" t="str">
        <f t="shared" si="7"/>
        <v>Valid</v>
      </c>
    </row>
    <row r="725">
      <c r="A725" s="3" t="s">
        <v>1702</v>
      </c>
      <c r="B725" s="3">
        <v>6.5</v>
      </c>
      <c r="C725" s="3" t="s">
        <v>1703</v>
      </c>
      <c r="D725" s="3">
        <v>0.0</v>
      </c>
      <c r="E725" s="3">
        <v>7.0</v>
      </c>
      <c r="F725" s="4"/>
      <c r="G725" s="3">
        <v>0.0</v>
      </c>
      <c r="H725" s="3">
        <v>650.0</v>
      </c>
      <c r="I725" s="3" t="s">
        <v>110</v>
      </c>
      <c r="J725" s="3">
        <v>305.0</v>
      </c>
      <c r="K725" s="3">
        <v>0.0</v>
      </c>
      <c r="L725" s="3">
        <v>39.0</v>
      </c>
      <c r="M725" s="3" t="s">
        <v>204</v>
      </c>
      <c r="N725" s="3">
        <v>13.4</v>
      </c>
      <c r="O725" s="3">
        <v>-0.443</v>
      </c>
      <c r="P725" s="3">
        <v>133.091</v>
      </c>
      <c r="Q725" s="3" t="s">
        <v>1182</v>
      </c>
      <c r="R725" s="4"/>
      <c r="S725" s="3" t="s">
        <v>153</v>
      </c>
      <c r="T725" s="16">
        <f t="shared" si="1"/>
        <v>38196.16389</v>
      </c>
      <c r="U725" s="4" t="b">
        <f t="shared" si="2"/>
        <v>1</v>
      </c>
      <c r="V725" s="4" t="b">
        <f t="shared" si="3"/>
        <v>0</v>
      </c>
      <c r="W725" s="4" t="str">
        <f t="shared" si="8"/>
        <v>Distance/Location</v>
      </c>
      <c r="X725" s="4" t="str">
        <f t="shared" si="4"/>
        <v>mwc</v>
      </c>
      <c r="Y725" s="4">
        <f t="shared" si="5"/>
        <v>1</v>
      </c>
      <c r="Z725" s="4" t="str">
        <f t="shared" si="6"/>
        <v>Unique</v>
      </c>
      <c r="AA725" s="4" t="str">
        <f t="shared" si="7"/>
        <v>Valid</v>
      </c>
    </row>
    <row r="726">
      <c r="A726" s="3" t="s">
        <v>1704</v>
      </c>
      <c r="B726" s="3">
        <v>6.9</v>
      </c>
      <c r="C726" s="17">
        <v>38266.638194444444</v>
      </c>
      <c r="D726" s="3">
        <v>0.0</v>
      </c>
      <c r="E726" s="3">
        <v>5.0</v>
      </c>
      <c r="F726" s="4"/>
      <c r="G726" s="3">
        <v>0.0</v>
      </c>
      <c r="H726" s="3">
        <v>732.0</v>
      </c>
      <c r="I726" s="3" t="s">
        <v>110</v>
      </c>
      <c r="J726" s="3">
        <v>798.0</v>
      </c>
      <c r="K726" s="3">
        <v>0.0</v>
      </c>
      <c r="L726" s="3">
        <v>31.2</v>
      </c>
      <c r="M726" s="3" t="s">
        <v>224</v>
      </c>
      <c r="N726" s="3">
        <v>188.6</v>
      </c>
      <c r="O726" s="3">
        <v>55.682</v>
      </c>
      <c r="P726" s="3">
        <v>160.003</v>
      </c>
      <c r="Q726" s="3" t="s">
        <v>1705</v>
      </c>
      <c r="R726" s="3" t="s">
        <v>164</v>
      </c>
      <c r="S726" s="3" t="s">
        <v>464</v>
      </c>
      <c r="T726" s="16">
        <f t="shared" si="1"/>
        <v>38148.63819</v>
      </c>
      <c r="U726" s="4" t="b">
        <f t="shared" si="2"/>
        <v>1</v>
      </c>
      <c r="V726" s="4" t="b">
        <f t="shared" si="3"/>
        <v>1</v>
      </c>
      <c r="W726" s="4" t="str">
        <f t="shared" si="8"/>
        <v>Distance/Location</v>
      </c>
      <c r="X726" s="4" t="str">
        <f t="shared" si="4"/>
        <v>mwb</v>
      </c>
      <c r="Y726" s="4">
        <f t="shared" si="5"/>
        <v>1</v>
      </c>
      <c r="Z726" s="4" t="str">
        <f t="shared" si="6"/>
        <v>Unique</v>
      </c>
      <c r="AA726" s="4" t="str">
        <f t="shared" si="7"/>
        <v>Valid</v>
      </c>
    </row>
    <row r="727">
      <c r="A727" s="3" t="s">
        <v>1706</v>
      </c>
      <c r="B727" s="3">
        <v>6.6</v>
      </c>
      <c r="C727" s="17">
        <v>38051.191666666666</v>
      </c>
      <c r="D727" s="3">
        <v>0.0</v>
      </c>
      <c r="E727" s="3">
        <v>7.0</v>
      </c>
      <c r="F727" s="4"/>
      <c r="G727" s="3">
        <v>0.0</v>
      </c>
      <c r="H727" s="3">
        <v>670.0</v>
      </c>
      <c r="I727" s="3" t="s">
        <v>110</v>
      </c>
      <c r="J727" s="3">
        <v>282.0</v>
      </c>
      <c r="K727" s="3">
        <v>0.0</v>
      </c>
      <c r="L727" s="3">
        <v>46.9</v>
      </c>
      <c r="M727" s="3" t="s">
        <v>224</v>
      </c>
      <c r="N727" s="3">
        <v>21.0</v>
      </c>
      <c r="O727" s="3">
        <v>-37.695</v>
      </c>
      <c r="P727" s="3">
        <v>-73.406</v>
      </c>
      <c r="Q727" s="3" t="s">
        <v>1315</v>
      </c>
      <c r="R727" s="3" t="s">
        <v>121</v>
      </c>
      <c r="S727" s="3" t="s">
        <v>414</v>
      </c>
      <c r="T727" s="16">
        <f t="shared" si="1"/>
        <v>38110.19167</v>
      </c>
      <c r="U727" s="4" t="b">
        <f t="shared" si="2"/>
        <v>1</v>
      </c>
      <c r="V727" s="4" t="b">
        <f t="shared" si="3"/>
        <v>1</v>
      </c>
      <c r="W727" s="4" t="str">
        <f t="shared" si="8"/>
        <v>Distance/Location</v>
      </c>
      <c r="X727" s="4" t="str">
        <f t="shared" si="4"/>
        <v>mwb</v>
      </c>
      <c r="Y727" s="4">
        <f t="shared" si="5"/>
        <v>1</v>
      </c>
      <c r="Z727" s="4" t="str">
        <f t="shared" si="6"/>
        <v>Unique</v>
      </c>
      <c r="AA727" s="4" t="str">
        <f t="shared" si="7"/>
        <v>Valid</v>
      </c>
    </row>
    <row r="728">
      <c r="A728" s="3" t="s">
        <v>1707</v>
      </c>
      <c r="B728" s="3">
        <v>6.7</v>
      </c>
      <c r="C728" s="3" t="s">
        <v>1708</v>
      </c>
      <c r="D728" s="3">
        <v>0.0</v>
      </c>
      <c r="E728" s="3">
        <v>5.0</v>
      </c>
      <c r="F728" s="4"/>
      <c r="G728" s="3">
        <v>0.0</v>
      </c>
      <c r="H728" s="3">
        <v>691.0</v>
      </c>
      <c r="I728" s="3" t="s">
        <v>110</v>
      </c>
      <c r="J728" s="3">
        <v>386.0</v>
      </c>
      <c r="K728" s="3">
        <v>0.0</v>
      </c>
      <c r="L728" s="3">
        <v>27.6</v>
      </c>
      <c r="M728" s="3" t="s">
        <v>224</v>
      </c>
      <c r="N728" s="3">
        <v>65.8</v>
      </c>
      <c r="O728" s="3">
        <v>-9.362</v>
      </c>
      <c r="P728" s="3">
        <v>122.839</v>
      </c>
      <c r="Q728" s="3" t="s">
        <v>1709</v>
      </c>
      <c r="R728" s="4"/>
      <c r="S728" s="3" t="s">
        <v>153</v>
      </c>
      <c r="T728" s="16">
        <f t="shared" si="1"/>
        <v>38100.07639</v>
      </c>
      <c r="U728" s="4" t="b">
        <f t="shared" si="2"/>
        <v>1</v>
      </c>
      <c r="V728" s="4" t="b">
        <f t="shared" si="3"/>
        <v>0</v>
      </c>
      <c r="W728" s="4" t="str">
        <f t="shared" si="8"/>
        <v>Distance/Location</v>
      </c>
      <c r="X728" s="4" t="str">
        <f t="shared" si="4"/>
        <v>mwb</v>
      </c>
      <c r="Y728" s="4">
        <f t="shared" si="5"/>
        <v>1</v>
      </c>
      <c r="Z728" s="4" t="str">
        <f t="shared" si="6"/>
        <v>Unique</v>
      </c>
      <c r="AA728" s="4" t="str">
        <f t="shared" si="7"/>
        <v>Valid</v>
      </c>
    </row>
    <row r="729">
      <c r="A729" s="3" t="s">
        <v>1710</v>
      </c>
      <c r="B729" s="3">
        <v>6.5</v>
      </c>
      <c r="C729" s="17">
        <v>38234.64097222222</v>
      </c>
      <c r="D729" s="3">
        <v>0.0</v>
      </c>
      <c r="E729" s="3">
        <v>4.0</v>
      </c>
      <c r="F729" s="4"/>
      <c r="G729" s="3">
        <v>0.0</v>
      </c>
      <c r="H729" s="3">
        <v>650.0</v>
      </c>
      <c r="I729" s="3" t="s">
        <v>110</v>
      </c>
      <c r="J729" s="3">
        <v>424.0</v>
      </c>
      <c r="K729" s="3">
        <v>0.0</v>
      </c>
      <c r="L729" s="3">
        <v>29.9</v>
      </c>
      <c r="M729" s="3" t="s">
        <v>224</v>
      </c>
      <c r="N729" s="3">
        <v>228.4</v>
      </c>
      <c r="O729" s="3">
        <v>-13.174</v>
      </c>
      <c r="P729" s="3">
        <v>167.198</v>
      </c>
      <c r="Q729" s="3" t="s">
        <v>112</v>
      </c>
      <c r="R729" s="4"/>
      <c r="S729" s="3" t="s">
        <v>113</v>
      </c>
      <c r="T729" s="16">
        <f t="shared" si="1"/>
        <v>38086.64097</v>
      </c>
      <c r="U729" s="4" t="b">
        <f t="shared" si="2"/>
        <v>1</v>
      </c>
      <c r="V729" s="4" t="b">
        <f t="shared" si="3"/>
        <v>1</v>
      </c>
      <c r="W729" s="4" t="str">
        <f t="shared" si="8"/>
        <v>Distance/Location</v>
      </c>
      <c r="X729" s="4" t="str">
        <f t="shared" si="4"/>
        <v>mwb</v>
      </c>
      <c r="Y729" s="4">
        <f t="shared" si="5"/>
        <v>1</v>
      </c>
      <c r="Z729" s="4" t="str">
        <f t="shared" si="6"/>
        <v>Unique</v>
      </c>
      <c r="AA729" s="4" t="str">
        <f t="shared" si="7"/>
        <v>Valid</v>
      </c>
    </row>
    <row r="730">
      <c r="A730" s="3" t="s">
        <v>1711</v>
      </c>
      <c r="B730" s="3">
        <v>6.6</v>
      </c>
      <c r="C730" s="17">
        <v>38111.89166666667</v>
      </c>
      <c r="D730" s="3">
        <v>0.0</v>
      </c>
      <c r="E730" s="3">
        <v>4.0</v>
      </c>
      <c r="F730" s="4"/>
      <c r="G730" s="3">
        <v>0.0</v>
      </c>
      <c r="H730" s="3">
        <v>670.0</v>
      </c>
      <c r="I730" s="3" t="s">
        <v>110</v>
      </c>
      <c r="J730" s="3">
        <v>728.0</v>
      </c>
      <c r="K730" s="3">
        <v>0.0</v>
      </c>
      <c r="L730" s="3">
        <v>18.3</v>
      </c>
      <c r="M730" s="3" t="s">
        <v>224</v>
      </c>
      <c r="N730" s="3">
        <v>187.1</v>
      </c>
      <c r="O730" s="3">
        <v>36.512</v>
      </c>
      <c r="P730" s="3">
        <v>71.029</v>
      </c>
      <c r="Q730" s="3" t="s">
        <v>1712</v>
      </c>
      <c r="R730" s="3" t="s">
        <v>164</v>
      </c>
      <c r="S730" s="3" t="s">
        <v>175</v>
      </c>
      <c r="T730" s="16">
        <f t="shared" si="1"/>
        <v>38082.89167</v>
      </c>
      <c r="U730" s="4" t="b">
        <f t="shared" si="2"/>
        <v>1</v>
      </c>
      <c r="V730" s="4" t="b">
        <f t="shared" si="3"/>
        <v>1</v>
      </c>
      <c r="W730" s="4" t="str">
        <f t="shared" si="8"/>
        <v>Named Region</v>
      </c>
      <c r="X730" s="4" t="str">
        <f t="shared" si="4"/>
        <v>mwb</v>
      </c>
      <c r="Y730" s="4">
        <f t="shared" si="5"/>
        <v>1</v>
      </c>
      <c r="Z730" s="4" t="str">
        <f t="shared" si="6"/>
        <v>Unique</v>
      </c>
      <c r="AA730" s="4" t="str">
        <f t="shared" si="7"/>
        <v>Valid</v>
      </c>
    </row>
    <row r="731">
      <c r="A731" s="3" t="s">
        <v>1713</v>
      </c>
      <c r="B731" s="3">
        <v>6.7</v>
      </c>
      <c r="C731" s="17">
        <v>38201.373611111114</v>
      </c>
      <c r="D731" s="3">
        <v>0.0</v>
      </c>
      <c r="E731" s="3">
        <v>7.0</v>
      </c>
      <c r="F731" s="4"/>
      <c r="G731" s="3">
        <v>0.0</v>
      </c>
      <c r="H731" s="3">
        <v>691.0</v>
      </c>
      <c r="I731" s="3" t="s">
        <v>110</v>
      </c>
      <c r="J731" s="3">
        <v>256.0</v>
      </c>
      <c r="K731" s="3">
        <v>0.0</v>
      </c>
      <c r="L731" s="3">
        <v>33.3</v>
      </c>
      <c r="M731" s="3" t="s">
        <v>204</v>
      </c>
      <c r="N731" s="3">
        <v>25.7</v>
      </c>
      <c r="O731" s="3">
        <v>-3.665</v>
      </c>
      <c r="P731" s="3">
        <v>135.339</v>
      </c>
      <c r="Q731" s="3" t="s">
        <v>1675</v>
      </c>
      <c r="R731" s="4"/>
      <c r="S731" s="3" t="s">
        <v>153</v>
      </c>
      <c r="T731" s="16">
        <f t="shared" si="1"/>
        <v>38025.37361</v>
      </c>
      <c r="U731" s="4" t="b">
        <f t="shared" si="2"/>
        <v>1</v>
      </c>
      <c r="V731" s="4" t="b">
        <f t="shared" si="3"/>
        <v>1</v>
      </c>
      <c r="W731" s="4" t="str">
        <f t="shared" si="8"/>
        <v>Distance/Location</v>
      </c>
      <c r="X731" s="4" t="str">
        <f t="shared" si="4"/>
        <v>mwc</v>
      </c>
      <c r="Y731" s="4">
        <f t="shared" si="5"/>
        <v>1</v>
      </c>
      <c r="Z731" s="4" t="str">
        <f t="shared" si="6"/>
        <v>Unique</v>
      </c>
      <c r="AA731" s="4" t="str">
        <f t="shared" si="7"/>
        <v>Valid</v>
      </c>
    </row>
    <row r="732">
      <c r="A732" s="3" t="s">
        <v>1714</v>
      </c>
      <c r="B732" s="3">
        <v>7.3</v>
      </c>
      <c r="C732" s="17">
        <v>38170.1125</v>
      </c>
      <c r="D732" s="3">
        <v>0.0</v>
      </c>
      <c r="E732" s="3">
        <v>7.0</v>
      </c>
      <c r="F732" s="4"/>
      <c r="G732" s="3">
        <v>0.0</v>
      </c>
      <c r="H732" s="3">
        <v>820.0</v>
      </c>
      <c r="I732" s="3" t="s">
        <v>110</v>
      </c>
      <c r="J732" s="3">
        <v>390.0</v>
      </c>
      <c r="K732" s="3">
        <v>0.0</v>
      </c>
      <c r="L732" s="3">
        <v>23.0</v>
      </c>
      <c r="M732" s="3" t="s">
        <v>224</v>
      </c>
      <c r="N732" s="3">
        <v>10.0</v>
      </c>
      <c r="O732" s="3">
        <v>-4.003</v>
      </c>
      <c r="P732" s="3">
        <v>135.023</v>
      </c>
      <c r="Q732" s="3" t="s">
        <v>1297</v>
      </c>
      <c r="R732" s="4"/>
      <c r="S732" s="3" t="s">
        <v>153</v>
      </c>
      <c r="T732" s="16">
        <f t="shared" si="1"/>
        <v>38024.1125</v>
      </c>
      <c r="U732" s="4" t="b">
        <f t="shared" si="2"/>
        <v>1</v>
      </c>
      <c r="V732" s="4" t="b">
        <f t="shared" si="3"/>
        <v>1</v>
      </c>
      <c r="W732" s="4" t="str">
        <f t="shared" si="8"/>
        <v>Named Region</v>
      </c>
      <c r="X732" s="4" t="str">
        <f t="shared" si="4"/>
        <v>mwb</v>
      </c>
      <c r="Y732" s="4">
        <f t="shared" si="5"/>
        <v>1</v>
      </c>
      <c r="Z732" s="4" t="str">
        <f t="shared" si="6"/>
        <v>Unique</v>
      </c>
      <c r="AA732" s="4" t="str">
        <f t="shared" si="7"/>
        <v>Valid</v>
      </c>
    </row>
    <row r="733">
      <c r="A733" s="3" t="s">
        <v>1715</v>
      </c>
      <c r="B733" s="3">
        <v>7.0</v>
      </c>
      <c r="C733" s="17">
        <v>38109.87847222222</v>
      </c>
      <c r="D733" s="3">
        <v>0.0</v>
      </c>
      <c r="E733" s="3">
        <v>7.0</v>
      </c>
      <c r="F733" s="4"/>
      <c r="G733" s="3">
        <v>0.0</v>
      </c>
      <c r="H733" s="3">
        <v>754.0</v>
      </c>
      <c r="I733" s="3" t="s">
        <v>110</v>
      </c>
      <c r="J733" s="3">
        <v>367.0</v>
      </c>
      <c r="K733" s="3">
        <v>0.0</v>
      </c>
      <c r="L733" s="3">
        <v>33.0</v>
      </c>
      <c r="M733" s="3" t="s">
        <v>204</v>
      </c>
      <c r="N733" s="3">
        <v>16.6</v>
      </c>
      <c r="O733" s="3">
        <v>-3.615</v>
      </c>
      <c r="P733" s="3">
        <v>135.538</v>
      </c>
      <c r="Q733" s="3" t="s">
        <v>1675</v>
      </c>
      <c r="R733" s="4"/>
      <c r="S733" s="3" t="s">
        <v>153</v>
      </c>
      <c r="T733" s="16">
        <f t="shared" si="1"/>
        <v>38022.87847</v>
      </c>
      <c r="U733" s="4" t="b">
        <f t="shared" si="2"/>
        <v>1</v>
      </c>
      <c r="V733" s="4" t="b">
        <f t="shared" si="3"/>
        <v>1</v>
      </c>
      <c r="W733" s="4" t="str">
        <f t="shared" si="8"/>
        <v>Distance/Location</v>
      </c>
      <c r="X733" s="4" t="str">
        <f t="shared" si="4"/>
        <v>mwc</v>
      </c>
      <c r="Y733" s="4">
        <f t="shared" si="5"/>
        <v>1</v>
      </c>
      <c r="Z733" s="4" t="str">
        <f t="shared" si="6"/>
        <v>Unique</v>
      </c>
      <c r="AA733" s="4" t="str">
        <f t="shared" si="7"/>
        <v>Valid</v>
      </c>
    </row>
    <row r="734">
      <c r="A734" s="3" t="s">
        <v>1716</v>
      </c>
      <c r="B734" s="3">
        <v>6.7</v>
      </c>
      <c r="C734" s="3" t="s">
        <v>1717</v>
      </c>
      <c r="D734" s="3">
        <v>0.0</v>
      </c>
      <c r="E734" s="3">
        <v>6.0</v>
      </c>
      <c r="F734" s="4"/>
      <c r="G734" s="3">
        <v>0.0</v>
      </c>
      <c r="H734" s="3">
        <v>691.0</v>
      </c>
      <c r="I734" s="3" t="s">
        <v>110</v>
      </c>
      <c r="J734" s="3">
        <v>243.0</v>
      </c>
      <c r="K734" s="3">
        <v>0.0</v>
      </c>
      <c r="L734" s="3">
        <v>42.5</v>
      </c>
      <c r="M734" s="3" t="s">
        <v>224</v>
      </c>
      <c r="N734" s="3">
        <v>17.4</v>
      </c>
      <c r="O734" s="3">
        <v>-3.12</v>
      </c>
      <c r="P734" s="3">
        <v>127.4</v>
      </c>
      <c r="Q734" s="3" t="s">
        <v>1594</v>
      </c>
      <c r="R734" s="4"/>
      <c r="S734" s="3" t="s">
        <v>153</v>
      </c>
      <c r="T734" s="16">
        <f t="shared" si="1"/>
        <v>38014.92708</v>
      </c>
      <c r="U734" s="4" t="b">
        <f t="shared" si="2"/>
        <v>1</v>
      </c>
      <c r="V734" s="4" t="b">
        <f t="shared" si="3"/>
        <v>0</v>
      </c>
      <c r="W734" s="4" t="str">
        <f t="shared" si="8"/>
        <v>Distance/Location</v>
      </c>
      <c r="X734" s="4" t="str">
        <f t="shared" si="4"/>
        <v>mwb</v>
      </c>
      <c r="Y734" s="4">
        <f t="shared" si="5"/>
        <v>1</v>
      </c>
      <c r="Z734" s="4" t="str">
        <f t="shared" si="6"/>
        <v>Unique</v>
      </c>
      <c r="AA734" s="4" t="str">
        <f t="shared" si="7"/>
        <v>Valid</v>
      </c>
    </row>
    <row r="735">
      <c r="A735" s="3" t="s">
        <v>1718</v>
      </c>
      <c r="B735" s="3">
        <v>7.3</v>
      </c>
      <c r="C735" s="3" t="s">
        <v>1719</v>
      </c>
      <c r="D735" s="3">
        <v>0.0</v>
      </c>
      <c r="E735" s="3">
        <v>4.0</v>
      </c>
      <c r="F735" s="4"/>
      <c r="G735" s="3">
        <v>0.0</v>
      </c>
      <c r="H735" s="3">
        <v>820.0</v>
      </c>
      <c r="I735" s="3" t="s">
        <v>110</v>
      </c>
      <c r="J735" s="3">
        <v>235.0</v>
      </c>
      <c r="K735" s="3">
        <v>0.0</v>
      </c>
      <c r="L735" s="3">
        <v>46.6</v>
      </c>
      <c r="M735" s="3" t="s">
        <v>204</v>
      </c>
      <c r="N735" s="3">
        <v>10.0</v>
      </c>
      <c r="O735" s="3">
        <v>-22.015</v>
      </c>
      <c r="P735" s="3">
        <v>169.766</v>
      </c>
      <c r="Q735" s="3" t="s">
        <v>276</v>
      </c>
      <c r="R735" s="4"/>
      <c r="S735" s="4"/>
      <c r="T735" s="16">
        <f t="shared" si="1"/>
        <v>37982.66667</v>
      </c>
      <c r="U735" s="4" t="b">
        <f t="shared" si="2"/>
        <v>1</v>
      </c>
      <c r="V735" s="4" t="b">
        <f t="shared" si="3"/>
        <v>0</v>
      </c>
      <c r="W735" s="4" t="str">
        <f t="shared" si="8"/>
        <v>Distance/Location</v>
      </c>
      <c r="X735" s="4" t="str">
        <f t="shared" si="4"/>
        <v>mwc</v>
      </c>
      <c r="Y735" s="4">
        <f t="shared" si="5"/>
        <v>1</v>
      </c>
      <c r="Z735" s="4" t="str">
        <f t="shared" si="6"/>
        <v>Unique</v>
      </c>
      <c r="AA735" s="4" t="str">
        <f t="shared" si="7"/>
        <v>Valid</v>
      </c>
    </row>
    <row r="736">
      <c r="A736" s="3" t="s">
        <v>1720</v>
      </c>
      <c r="B736" s="3">
        <v>6.6</v>
      </c>
      <c r="C736" s="3" t="s">
        <v>1721</v>
      </c>
      <c r="D736" s="3">
        <v>0.0</v>
      </c>
      <c r="E736" s="3">
        <v>9.0</v>
      </c>
      <c r="F736" s="4"/>
      <c r="G736" s="3">
        <v>0.0</v>
      </c>
      <c r="H736" s="3">
        <v>670.0</v>
      </c>
      <c r="I736" s="3" t="s">
        <v>110</v>
      </c>
      <c r="J736" s="3">
        <v>552.0</v>
      </c>
      <c r="K736" s="3">
        <v>0.0</v>
      </c>
      <c r="L736" s="3">
        <v>44.8</v>
      </c>
      <c r="M736" s="3" t="s">
        <v>204</v>
      </c>
      <c r="N736" s="3">
        <v>10.0</v>
      </c>
      <c r="O736" s="3">
        <v>28.995</v>
      </c>
      <c r="P736" s="3">
        <v>58.311</v>
      </c>
      <c r="Q736" s="3" t="s">
        <v>1288</v>
      </c>
      <c r="R736" s="3" t="s">
        <v>164</v>
      </c>
      <c r="S736" s="3" t="s">
        <v>665</v>
      </c>
      <c r="T736" s="16">
        <f t="shared" si="1"/>
        <v>37981.08056</v>
      </c>
      <c r="U736" s="4" t="b">
        <f t="shared" si="2"/>
        <v>1</v>
      </c>
      <c r="V736" s="4" t="b">
        <f t="shared" si="3"/>
        <v>0</v>
      </c>
      <c r="W736" s="4" t="str">
        <f t="shared" si="8"/>
        <v>Distance/Location</v>
      </c>
      <c r="X736" s="4" t="str">
        <f t="shared" si="4"/>
        <v>mwc</v>
      </c>
      <c r="Y736" s="4">
        <f t="shared" si="5"/>
        <v>1</v>
      </c>
      <c r="Z736" s="4" t="str">
        <f t="shared" si="6"/>
        <v>Unique</v>
      </c>
      <c r="AA736" s="4" t="str">
        <f t="shared" si="7"/>
        <v>Valid</v>
      </c>
    </row>
    <row r="737">
      <c r="A737" s="3" t="s">
        <v>1722</v>
      </c>
      <c r="B737" s="3">
        <v>6.5</v>
      </c>
      <c r="C737" s="3" t="s">
        <v>1723</v>
      </c>
      <c r="D737" s="3">
        <v>0.0</v>
      </c>
      <c r="E737" s="3">
        <v>6.0</v>
      </c>
      <c r="F737" s="4"/>
      <c r="G737" s="3">
        <v>0.0</v>
      </c>
      <c r="H737" s="3">
        <v>650.0</v>
      </c>
      <c r="I737" s="3" t="s">
        <v>110</v>
      </c>
      <c r="J737" s="3">
        <v>405.0</v>
      </c>
      <c r="K737" s="3">
        <v>0.0</v>
      </c>
      <c r="L737" s="3">
        <v>48.4</v>
      </c>
      <c r="M737" s="3" t="s">
        <v>224</v>
      </c>
      <c r="N737" s="3">
        <v>33.0</v>
      </c>
      <c r="O737" s="3">
        <v>8.416</v>
      </c>
      <c r="P737" s="3">
        <v>-82.824</v>
      </c>
      <c r="Q737" s="3" t="s">
        <v>1724</v>
      </c>
      <c r="R737" s="4"/>
      <c r="S737" s="3" t="s">
        <v>229</v>
      </c>
      <c r="T737" s="16">
        <f t="shared" si="1"/>
        <v>37980.29931</v>
      </c>
      <c r="U737" s="4" t="b">
        <f t="shared" si="2"/>
        <v>1</v>
      </c>
      <c r="V737" s="4" t="b">
        <f t="shared" si="3"/>
        <v>0</v>
      </c>
      <c r="W737" s="4" t="str">
        <f t="shared" si="8"/>
        <v>Distance/Location</v>
      </c>
      <c r="X737" s="4" t="str">
        <f t="shared" si="4"/>
        <v>mwb</v>
      </c>
      <c r="Y737" s="4">
        <f t="shared" si="5"/>
        <v>1</v>
      </c>
      <c r="Z737" s="4" t="str">
        <f t="shared" si="6"/>
        <v>Unique</v>
      </c>
      <c r="AA737" s="4" t="str">
        <f t="shared" si="7"/>
        <v>Valid</v>
      </c>
    </row>
    <row r="738">
      <c r="A738" s="3" t="s">
        <v>1725</v>
      </c>
      <c r="B738" s="3">
        <v>6.5</v>
      </c>
      <c r="C738" s="3" t="s">
        <v>1726</v>
      </c>
      <c r="D738" s="3">
        <v>7.0</v>
      </c>
      <c r="E738" s="3">
        <v>9.0</v>
      </c>
      <c r="F738" s="4"/>
      <c r="G738" s="3">
        <v>0.0</v>
      </c>
      <c r="H738" s="3">
        <v>1390.0</v>
      </c>
      <c r="I738" s="3" t="s">
        <v>1026</v>
      </c>
      <c r="J738" s="3">
        <v>65.0</v>
      </c>
      <c r="K738" s="3">
        <v>0.04685</v>
      </c>
      <c r="L738" s="3">
        <v>71.0</v>
      </c>
      <c r="M738" s="3" t="s">
        <v>514</v>
      </c>
      <c r="N738" s="3">
        <v>8.382</v>
      </c>
      <c r="O738" s="3">
        <v>35.7005</v>
      </c>
      <c r="P738" s="3">
        <v>-121.101</v>
      </c>
      <c r="Q738" s="3" t="s">
        <v>1727</v>
      </c>
      <c r="R738" s="3" t="s">
        <v>233</v>
      </c>
      <c r="S738" s="3" t="s">
        <v>318</v>
      </c>
      <c r="T738" s="16">
        <f t="shared" si="1"/>
        <v>37977.80208</v>
      </c>
      <c r="U738" s="4" t="b">
        <f t="shared" si="2"/>
        <v>1</v>
      </c>
      <c r="V738" s="4" t="b">
        <f t="shared" si="3"/>
        <v>0</v>
      </c>
      <c r="W738" s="4" t="str">
        <f t="shared" si="8"/>
        <v>Distance/Location</v>
      </c>
      <c r="X738" s="4" t="str">
        <f t="shared" si="4"/>
        <v>mw</v>
      </c>
      <c r="Y738" s="4">
        <f t="shared" si="5"/>
        <v>1</v>
      </c>
      <c r="Z738" s="4" t="str">
        <f t="shared" si="6"/>
        <v>Unique</v>
      </c>
      <c r="AA738" s="4" t="str">
        <f t="shared" si="7"/>
        <v>Valid</v>
      </c>
    </row>
    <row r="739">
      <c r="A739" s="3" t="s">
        <v>1728</v>
      </c>
      <c r="B739" s="3">
        <v>6.8</v>
      </c>
      <c r="C739" s="18">
        <v>37906.19305555556</v>
      </c>
      <c r="D739" s="3">
        <v>0.0</v>
      </c>
      <c r="E739" s="3">
        <v>7.0</v>
      </c>
      <c r="F739" s="4"/>
      <c r="G739" s="3">
        <v>0.0</v>
      </c>
      <c r="H739" s="3">
        <v>711.0</v>
      </c>
      <c r="I739" s="3" t="s">
        <v>110</v>
      </c>
      <c r="J739" s="3">
        <v>447.0</v>
      </c>
      <c r="K739" s="3">
        <v>0.0</v>
      </c>
      <c r="L739" s="3">
        <v>27.7</v>
      </c>
      <c r="M739" s="3" t="s">
        <v>224</v>
      </c>
      <c r="N739" s="3">
        <v>10.0</v>
      </c>
      <c r="O739" s="3">
        <v>23.039</v>
      </c>
      <c r="P739" s="3">
        <v>121.362</v>
      </c>
      <c r="Q739" s="3" t="s">
        <v>239</v>
      </c>
      <c r="R739" s="3" t="s">
        <v>164</v>
      </c>
      <c r="S739" s="3" t="s">
        <v>240</v>
      </c>
      <c r="T739" s="16">
        <f t="shared" si="1"/>
        <v>37965.19306</v>
      </c>
      <c r="U739" s="4" t="b">
        <f t="shared" si="2"/>
        <v>1</v>
      </c>
      <c r="V739" s="4" t="b">
        <f t="shared" si="3"/>
        <v>1</v>
      </c>
      <c r="W739" s="4" t="str">
        <f t="shared" si="8"/>
        <v>Distance/Location</v>
      </c>
      <c r="X739" s="4" t="str">
        <f t="shared" si="4"/>
        <v>mwb</v>
      </c>
      <c r="Y739" s="4">
        <f t="shared" si="5"/>
        <v>1</v>
      </c>
      <c r="Z739" s="4" t="str">
        <f t="shared" si="6"/>
        <v>Unique</v>
      </c>
      <c r="AA739" s="4" t="str">
        <f t="shared" si="7"/>
        <v>Valid</v>
      </c>
    </row>
    <row r="740">
      <c r="A740" s="3" t="s">
        <v>1729</v>
      </c>
      <c r="B740" s="3">
        <v>6.6</v>
      </c>
      <c r="C740" s="3" t="s">
        <v>1730</v>
      </c>
      <c r="D740" s="3">
        <v>0.0</v>
      </c>
      <c r="E740" s="3">
        <v>6.0</v>
      </c>
      <c r="F740" s="4"/>
      <c r="G740" s="3">
        <v>0.0</v>
      </c>
      <c r="H740" s="3">
        <v>670.0</v>
      </c>
      <c r="I740" s="3" t="s">
        <v>110</v>
      </c>
      <c r="J740" s="3">
        <v>384.0</v>
      </c>
      <c r="K740" s="3">
        <v>0.0</v>
      </c>
      <c r="L740" s="3">
        <v>25.1</v>
      </c>
      <c r="M740" s="3" t="s">
        <v>224</v>
      </c>
      <c r="N740" s="3">
        <v>35.0</v>
      </c>
      <c r="O740" s="3">
        <v>-5.581</v>
      </c>
      <c r="P740" s="3">
        <v>150.88</v>
      </c>
      <c r="Q740" s="3" t="s">
        <v>187</v>
      </c>
      <c r="R740" s="4"/>
      <c r="S740" s="3" t="s">
        <v>168</v>
      </c>
      <c r="T740" s="16">
        <f t="shared" si="1"/>
        <v>37950.84653</v>
      </c>
      <c r="U740" s="4" t="b">
        <f t="shared" si="2"/>
        <v>1</v>
      </c>
      <c r="V740" s="4" t="b">
        <f t="shared" si="3"/>
        <v>0</v>
      </c>
      <c r="W740" s="4" t="str">
        <f t="shared" si="8"/>
        <v>Distance/Location</v>
      </c>
      <c r="X740" s="4" t="str">
        <f t="shared" si="4"/>
        <v>mwb</v>
      </c>
      <c r="Y740" s="4">
        <f t="shared" si="5"/>
        <v>1</v>
      </c>
      <c r="Z740" s="4" t="str">
        <f t="shared" si="6"/>
        <v>Unique</v>
      </c>
      <c r="AA740" s="4" t="str">
        <f t="shared" si="7"/>
        <v>Valid</v>
      </c>
    </row>
    <row r="741">
      <c r="A741" s="3" t="s">
        <v>1731</v>
      </c>
      <c r="B741" s="3">
        <v>6.5</v>
      </c>
      <c r="C741" s="3" t="s">
        <v>1732</v>
      </c>
      <c r="D741" s="3">
        <v>0.0</v>
      </c>
      <c r="E741" s="3">
        <v>6.0</v>
      </c>
      <c r="F741" s="4"/>
      <c r="G741" s="3">
        <v>0.0</v>
      </c>
      <c r="H741" s="3">
        <v>650.0</v>
      </c>
      <c r="I741" s="3" t="s">
        <v>110</v>
      </c>
      <c r="J741" s="3">
        <v>487.0</v>
      </c>
      <c r="K741" s="3">
        <v>0.0</v>
      </c>
      <c r="L741" s="3">
        <v>45.9</v>
      </c>
      <c r="M741" s="3" t="s">
        <v>224</v>
      </c>
      <c r="N741" s="3">
        <v>35.0</v>
      </c>
      <c r="O741" s="3">
        <v>12.025</v>
      </c>
      <c r="P741" s="3">
        <v>125.416</v>
      </c>
      <c r="Q741" s="3" t="s">
        <v>1733</v>
      </c>
      <c r="R741" s="4"/>
      <c r="S741" s="3" t="s">
        <v>258</v>
      </c>
      <c r="T741" s="16">
        <f t="shared" si="1"/>
        <v>37943.71806</v>
      </c>
      <c r="U741" s="4" t="b">
        <f t="shared" si="2"/>
        <v>1</v>
      </c>
      <c r="V741" s="4" t="b">
        <f t="shared" si="3"/>
        <v>0</v>
      </c>
      <c r="W741" s="4" t="str">
        <f t="shared" si="8"/>
        <v>Distance/Location</v>
      </c>
      <c r="X741" s="4" t="str">
        <f t="shared" si="4"/>
        <v>mwb</v>
      </c>
      <c r="Y741" s="4">
        <f t="shared" si="5"/>
        <v>1</v>
      </c>
      <c r="Z741" s="4" t="str">
        <f t="shared" si="6"/>
        <v>Unique</v>
      </c>
      <c r="AA741" s="4" t="str">
        <f t="shared" si="7"/>
        <v>Valid</v>
      </c>
    </row>
    <row r="742">
      <c r="A742" s="3" t="s">
        <v>1734</v>
      </c>
      <c r="B742" s="3">
        <v>6.6</v>
      </c>
      <c r="C742" s="17">
        <v>37783.44305555556</v>
      </c>
      <c r="D742" s="3">
        <v>0.0</v>
      </c>
      <c r="E742" s="3">
        <v>5.0</v>
      </c>
      <c r="F742" s="4"/>
      <c r="G742" s="3">
        <v>0.0</v>
      </c>
      <c r="H742" s="3">
        <v>670.0</v>
      </c>
      <c r="I742" s="3" t="s">
        <v>110</v>
      </c>
      <c r="J742" s="3">
        <v>475.0</v>
      </c>
      <c r="K742" s="3">
        <v>0.0</v>
      </c>
      <c r="L742" s="3">
        <v>26.2</v>
      </c>
      <c r="M742" s="3" t="s">
        <v>224</v>
      </c>
      <c r="N742" s="3">
        <v>113.7</v>
      </c>
      <c r="O742" s="3">
        <v>-19.262</v>
      </c>
      <c r="P742" s="3">
        <v>168.892</v>
      </c>
      <c r="Q742" s="3" t="s">
        <v>246</v>
      </c>
      <c r="R742" s="4"/>
      <c r="S742" s="4"/>
      <c r="T742" s="16">
        <f t="shared" si="1"/>
        <v>37931.44306</v>
      </c>
      <c r="U742" s="4" t="b">
        <f t="shared" si="2"/>
        <v>1</v>
      </c>
      <c r="V742" s="4" t="b">
        <f t="shared" si="3"/>
        <v>1</v>
      </c>
      <c r="W742" s="4" t="str">
        <f t="shared" si="8"/>
        <v>Distance/Location</v>
      </c>
      <c r="X742" s="4" t="str">
        <f t="shared" si="4"/>
        <v>mwb</v>
      </c>
      <c r="Y742" s="4">
        <f t="shared" si="5"/>
        <v>1</v>
      </c>
      <c r="Z742" s="4" t="str">
        <f t="shared" si="6"/>
        <v>Unique</v>
      </c>
      <c r="AA742" s="4" t="str">
        <f t="shared" si="7"/>
        <v>Valid</v>
      </c>
    </row>
    <row r="743">
      <c r="A743" s="3" t="s">
        <v>1735</v>
      </c>
      <c r="B743" s="3">
        <v>7.0</v>
      </c>
      <c r="C743" s="3" t="s">
        <v>1736</v>
      </c>
      <c r="D743" s="3">
        <v>0.0</v>
      </c>
      <c r="E743" s="3">
        <v>5.0</v>
      </c>
      <c r="F743" s="4"/>
      <c r="G743" s="3">
        <v>0.0</v>
      </c>
      <c r="H743" s="3">
        <v>754.0</v>
      </c>
      <c r="I743" s="3" t="s">
        <v>110</v>
      </c>
      <c r="J743" s="3">
        <v>568.0</v>
      </c>
      <c r="K743" s="3">
        <v>0.0</v>
      </c>
      <c r="L743" s="3">
        <v>61.2</v>
      </c>
      <c r="M743" s="3" t="s">
        <v>224</v>
      </c>
      <c r="N743" s="3">
        <v>10.0</v>
      </c>
      <c r="O743" s="3">
        <v>37.812</v>
      </c>
      <c r="P743" s="3">
        <v>142.619</v>
      </c>
      <c r="Q743" s="3" t="s">
        <v>380</v>
      </c>
      <c r="R743" s="4"/>
      <c r="S743" s="4"/>
      <c r="T743" s="16">
        <f t="shared" si="1"/>
        <v>37925.04583</v>
      </c>
      <c r="U743" s="4" t="b">
        <f t="shared" si="2"/>
        <v>1</v>
      </c>
      <c r="V743" s="4" t="b">
        <f t="shared" si="3"/>
        <v>0</v>
      </c>
      <c r="W743" s="4" t="str">
        <f t="shared" si="8"/>
        <v>Distance/Location</v>
      </c>
      <c r="X743" s="4" t="str">
        <f t="shared" si="4"/>
        <v>mwb</v>
      </c>
      <c r="Y743" s="4">
        <f t="shared" si="5"/>
        <v>1</v>
      </c>
      <c r="Z743" s="4" t="str">
        <f t="shared" si="6"/>
        <v>Unique</v>
      </c>
      <c r="AA743" s="4" t="str">
        <f t="shared" si="7"/>
        <v>Valid</v>
      </c>
    </row>
    <row r="744">
      <c r="A744" s="3" t="s">
        <v>1737</v>
      </c>
      <c r="B744" s="3">
        <v>6.7</v>
      </c>
      <c r="C744" s="17">
        <v>37843.379166666666</v>
      </c>
      <c r="D744" s="3">
        <v>0.0</v>
      </c>
      <c r="E744" s="3">
        <v>6.0</v>
      </c>
      <c r="F744" s="4"/>
      <c r="G744" s="3">
        <v>0.0</v>
      </c>
      <c r="H744" s="3">
        <v>691.0</v>
      </c>
      <c r="I744" s="3" t="s">
        <v>110</v>
      </c>
      <c r="J744" s="3">
        <v>556.0</v>
      </c>
      <c r="K744" s="3">
        <v>0.0</v>
      </c>
      <c r="L744" s="3">
        <v>55.4</v>
      </c>
      <c r="M744" s="3" t="s">
        <v>204</v>
      </c>
      <c r="N744" s="3">
        <v>32.0</v>
      </c>
      <c r="O744" s="3">
        <v>42.648</v>
      </c>
      <c r="P744" s="3">
        <v>144.57</v>
      </c>
      <c r="Q744" s="3" t="s">
        <v>1738</v>
      </c>
      <c r="R744" s="3" t="s">
        <v>164</v>
      </c>
      <c r="S744" s="4"/>
      <c r="T744" s="16">
        <f t="shared" si="1"/>
        <v>37902.37917</v>
      </c>
      <c r="U744" s="4" t="b">
        <f t="shared" si="2"/>
        <v>1</v>
      </c>
      <c r="V744" s="4" t="b">
        <f t="shared" si="3"/>
        <v>1</v>
      </c>
      <c r="W744" s="4" t="str">
        <f t="shared" si="8"/>
        <v>Distance/Location</v>
      </c>
      <c r="X744" s="4" t="str">
        <f t="shared" si="4"/>
        <v>mwc</v>
      </c>
      <c r="Y744" s="4">
        <f t="shared" si="5"/>
        <v>1</v>
      </c>
      <c r="Z744" s="4" t="str">
        <f t="shared" si="6"/>
        <v>Unique</v>
      </c>
      <c r="AA744" s="4" t="str">
        <f t="shared" si="7"/>
        <v>Valid</v>
      </c>
    </row>
    <row r="745">
      <c r="A745" s="3" t="s">
        <v>1739</v>
      </c>
      <c r="B745" s="3">
        <v>6.7</v>
      </c>
      <c r="C745" s="17">
        <v>37631.04375</v>
      </c>
      <c r="D745" s="3">
        <v>0.0</v>
      </c>
      <c r="E745" s="3">
        <v>7.0</v>
      </c>
      <c r="F745" s="4"/>
      <c r="G745" s="3">
        <v>0.0</v>
      </c>
      <c r="H745" s="3">
        <v>691.0</v>
      </c>
      <c r="I745" s="3" t="s">
        <v>110</v>
      </c>
      <c r="J745" s="3">
        <v>643.0</v>
      </c>
      <c r="K745" s="3">
        <v>0.0</v>
      </c>
      <c r="L745" s="3">
        <v>24.5</v>
      </c>
      <c r="M745" s="3" t="s">
        <v>224</v>
      </c>
      <c r="N745" s="3">
        <v>10.0</v>
      </c>
      <c r="O745" s="3">
        <v>50.211</v>
      </c>
      <c r="P745" s="3">
        <v>87.721</v>
      </c>
      <c r="Q745" s="3" t="s">
        <v>1740</v>
      </c>
      <c r="R745" s="3" t="s">
        <v>164</v>
      </c>
      <c r="S745" s="3" t="s">
        <v>464</v>
      </c>
      <c r="T745" s="16">
        <f t="shared" si="1"/>
        <v>37895.04375</v>
      </c>
      <c r="U745" s="4" t="b">
        <f t="shared" si="2"/>
        <v>1</v>
      </c>
      <c r="V745" s="4" t="b">
        <f t="shared" si="3"/>
        <v>1</v>
      </c>
      <c r="W745" s="4" t="str">
        <f t="shared" si="8"/>
        <v>Distance/Location</v>
      </c>
      <c r="X745" s="4" t="str">
        <f t="shared" si="4"/>
        <v>mwb</v>
      </c>
      <c r="Y745" s="4">
        <f t="shared" si="5"/>
        <v>1</v>
      </c>
      <c r="Z745" s="4" t="str">
        <f t="shared" si="6"/>
        <v>Unique</v>
      </c>
      <c r="AA745" s="4" t="str">
        <f t="shared" si="7"/>
        <v>Valid</v>
      </c>
    </row>
    <row r="746">
      <c r="A746" s="3" t="s">
        <v>1741</v>
      </c>
      <c r="B746" s="3">
        <v>6.5</v>
      </c>
      <c r="C746" s="3" t="s">
        <v>1742</v>
      </c>
      <c r="D746" s="3">
        <v>0.0</v>
      </c>
      <c r="E746" s="3">
        <v>5.0</v>
      </c>
      <c r="F746" s="4"/>
      <c r="G746" s="3">
        <v>0.0</v>
      </c>
      <c r="H746" s="3">
        <v>650.0</v>
      </c>
      <c r="I746" s="3" t="s">
        <v>110</v>
      </c>
      <c r="J746" s="3">
        <v>586.0</v>
      </c>
      <c r="K746" s="3">
        <v>0.0</v>
      </c>
      <c r="L746" s="3">
        <v>71.3</v>
      </c>
      <c r="M746" s="3" t="s">
        <v>204</v>
      </c>
      <c r="N746" s="3">
        <v>25.0</v>
      </c>
      <c r="O746" s="3">
        <v>42.45</v>
      </c>
      <c r="P746" s="3">
        <v>144.38</v>
      </c>
      <c r="Q746" s="3" t="s">
        <v>1738</v>
      </c>
      <c r="R746" s="4"/>
      <c r="S746" s="4"/>
      <c r="T746" s="16">
        <f t="shared" si="1"/>
        <v>37893.10833</v>
      </c>
      <c r="U746" s="4" t="b">
        <f t="shared" si="2"/>
        <v>1</v>
      </c>
      <c r="V746" s="4" t="b">
        <f t="shared" si="3"/>
        <v>0</v>
      </c>
      <c r="W746" s="4" t="str">
        <f t="shared" si="8"/>
        <v>Distance/Location</v>
      </c>
      <c r="X746" s="4" t="str">
        <f t="shared" si="4"/>
        <v>mwc</v>
      </c>
      <c r="Y746" s="4">
        <f t="shared" si="5"/>
        <v>1</v>
      </c>
      <c r="Z746" s="4" t="str">
        <f t="shared" si="6"/>
        <v>Unique</v>
      </c>
      <c r="AA746" s="4" t="str">
        <f t="shared" si="7"/>
        <v>Valid</v>
      </c>
    </row>
    <row r="747">
      <c r="A747" s="3" t="s">
        <v>1743</v>
      </c>
      <c r="B747" s="3">
        <v>7.3</v>
      </c>
      <c r="C747" s="3" t="s">
        <v>1744</v>
      </c>
      <c r="D747" s="3">
        <v>0.0</v>
      </c>
      <c r="E747" s="3">
        <v>7.0</v>
      </c>
      <c r="F747" s="4"/>
      <c r="G747" s="3">
        <v>0.0</v>
      </c>
      <c r="H747" s="3">
        <v>820.0</v>
      </c>
      <c r="I747" s="3" t="s">
        <v>110</v>
      </c>
      <c r="J747" s="3">
        <v>667.0</v>
      </c>
      <c r="K747" s="3">
        <v>0.0</v>
      </c>
      <c r="L747" s="3">
        <v>24.5</v>
      </c>
      <c r="M747" s="3" t="s">
        <v>224</v>
      </c>
      <c r="N747" s="3">
        <v>16.0</v>
      </c>
      <c r="O747" s="3">
        <v>50.038</v>
      </c>
      <c r="P747" s="3">
        <v>87.813</v>
      </c>
      <c r="Q747" s="3" t="s">
        <v>1740</v>
      </c>
      <c r="R747" s="3" t="s">
        <v>164</v>
      </c>
      <c r="S747" s="3" t="s">
        <v>464</v>
      </c>
      <c r="T747" s="16">
        <f t="shared" si="1"/>
        <v>37891.48125</v>
      </c>
      <c r="U747" s="4" t="b">
        <f t="shared" si="2"/>
        <v>1</v>
      </c>
      <c r="V747" s="4" t="b">
        <f t="shared" si="3"/>
        <v>0</v>
      </c>
      <c r="W747" s="4" t="str">
        <f t="shared" si="8"/>
        <v>Distance/Location</v>
      </c>
      <c r="X747" s="4" t="str">
        <f t="shared" si="4"/>
        <v>mwb</v>
      </c>
      <c r="Y747" s="4">
        <f t="shared" si="5"/>
        <v>1</v>
      </c>
      <c r="Z747" s="4" t="str">
        <f t="shared" si="6"/>
        <v>Unique</v>
      </c>
      <c r="AA747" s="4" t="str">
        <f t="shared" si="7"/>
        <v>Valid</v>
      </c>
    </row>
    <row r="748">
      <c r="A748" s="3" t="s">
        <v>1745</v>
      </c>
      <c r="B748" s="3">
        <v>7.4</v>
      </c>
      <c r="C748" s="3" t="s">
        <v>1746</v>
      </c>
      <c r="D748" s="3">
        <v>0.0</v>
      </c>
      <c r="E748" s="3">
        <v>7.0</v>
      </c>
      <c r="F748" s="4"/>
      <c r="G748" s="3">
        <v>0.0</v>
      </c>
      <c r="H748" s="3">
        <v>842.0</v>
      </c>
      <c r="I748" s="3" t="s">
        <v>110</v>
      </c>
      <c r="J748" s="3">
        <v>514.0</v>
      </c>
      <c r="K748" s="3">
        <v>0.0</v>
      </c>
      <c r="L748" s="3">
        <v>78.8</v>
      </c>
      <c r="M748" s="3" t="s">
        <v>204</v>
      </c>
      <c r="N748" s="3">
        <v>33.0</v>
      </c>
      <c r="O748" s="3">
        <v>41.774</v>
      </c>
      <c r="P748" s="3">
        <v>143.593</v>
      </c>
      <c r="Q748" s="3" t="s">
        <v>830</v>
      </c>
      <c r="R748" s="3" t="s">
        <v>164</v>
      </c>
      <c r="S748" s="4"/>
      <c r="T748" s="16">
        <f t="shared" si="1"/>
        <v>37889.88056</v>
      </c>
      <c r="U748" s="4" t="b">
        <f t="shared" si="2"/>
        <v>1</v>
      </c>
      <c r="V748" s="4" t="b">
        <f t="shared" si="3"/>
        <v>0</v>
      </c>
      <c r="W748" s="4" t="str">
        <f t="shared" si="8"/>
        <v>Distance/Location</v>
      </c>
      <c r="X748" s="4" t="str">
        <f t="shared" si="4"/>
        <v>mwc</v>
      </c>
      <c r="Y748" s="4">
        <f t="shared" si="5"/>
        <v>1</v>
      </c>
      <c r="Z748" s="4" t="str">
        <f t="shared" si="6"/>
        <v>Unique</v>
      </c>
      <c r="AA748" s="4" t="str">
        <f t="shared" si="7"/>
        <v>Valid</v>
      </c>
    </row>
    <row r="749">
      <c r="A749" s="3" t="s">
        <v>1747</v>
      </c>
      <c r="B749" s="3">
        <v>8.16</v>
      </c>
      <c r="C749" s="3" t="s">
        <v>1748</v>
      </c>
      <c r="D749" s="3">
        <v>0.0</v>
      </c>
      <c r="E749" s="3">
        <v>9.0</v>
      </c>
      <c r="F749" s="4"/>
      <c r="G749" s="3">
        <v>0.0</v>
      </c>
      <c r="H749" s="3">
        <v>1024.0</v>
      </c>
      <c r="I749" s="3" t="s">
        <v>1196</v>
      </c>
      <c r="J749" s="3">
        <v>0.0</v>
      </c>
      <c r="K749" s="3">
        <v>0.0</v>
      </c>
      <c r="L749" s="3">
        <v>0.0</v>
      </c>
      <c r="M749" s="3" t="s">
        <v>111</v>
      </c>
      <c r="N749" s="3">
        <v>27.0</v>
      </c>
      <c r="O749" s="3">
        <v>41.815</v>
      </c>
      <c r="P749" s="3">
        <v>143.91</v>
      </c>
      <c r="Q749" s="3" t="s">
        <v>1738</v>
      </c>
      <c r="R749" s="4"/>
      <c r="S749" s="4"/>
      <c r="T749" s="16">
        <f t="shared" si="1"/>
        <v>37889.82639</v>
      </c>
      <c r="U749" s="4" t="b">
        <f t="shared" si="2"/>
        <v>1</v>
      </c>
      <c r="V749" s="4" t="b">
        <f t="shared" si="3"/>
        <v>0</v>
      </c>
      <c r="W749" s="4" t="str">
        <f t="shared" si="8"/>
        <v>Distance/Location</v>
      </c>
      <c r="X749" s="4" t="str">
        <f t="shared" si="4"/>
        <v>mww</v>
      </c>
      <c r="Y749" s="4">
        <f t="shared" si="5"/>
        <v>1</v>
      </c>
      <c r="Z749" s="4" t="str">
        <f t="shared" si="6"/>
        <v>Unique</v>
      </c>
      <c r="AA749" s="4" t="str">
        <f t="shared" si="7"/>
        <v>Valid</v>
      </c>
    </row>
    <row r="750">
      <c r="A750" s="3" t="s">
        <v>1749</v>
      </c>
      <c r="B750" s="3">
        <v>6.6</v>
      </c>
      <c r="C750" s="3" t="s">
        <v>1750</v>
      </c>
      <c r="D750" s="3">
        <v>0.0</v>
      </c>
      <c r="E750" s="3">
        <v>7.0</v>
      </c>
      <c r="F750" s="4"/>
      <c r="G750" s="3">
        <v>0.0</v>
      </c>
      <c r="H750" s="3">
        <v>670.0</v>
      </c>
      <c r="I750" s="3" t="s">
        <v>110</v>
      </c>
      <c r="J750" s="3">
        <v>518.0</v>
      </c>
      <c r="K750" s="3">
        <v>0.0</v>
      </c>
      <c r="L750" s="3">
        <v>24.7</v>
      </c>
      <c r="M750" s="3" t="s">
        <v>224</v>
      </c>
      <c r="N750" s="3">
        <v>10.0</v>
      </c>
      <c r="O750" s="3">
        <v>19.917</v>
      </c>
      <c r="P750" s="3">
        <v>95.672</v>
      </c>
      <c r="Q750" s="3" t="s">
        <v>1751</v>
      </c>
      <c r="R750" s="3" t="s">
        <v>164</v>
      </c>
      <c r="S750" s="3" t="s">
        <v>785</v>
      </c>
      <c r="T750" s="16">
        <f t="shared" si="1"/>
        <v>37885.76111</v>
      </c>
      <c r="U750" s="4" t="b">
        <f t="shared" si="2"/>
        <v>1</v>
      </c>
      <c r="V750" s="4" t="b">
        <f t="shared" si="3"/>
        <v>0</v>
      </c>
      <c r="W750" s="4" t="str">
        <f t="shared" si="8"/>
        <v>Distance/Location</v>
      </c>
      <c r="X750" s="4" t="str">
        <f t="shared" si="4"/>
        <v>mwb</v>
      </c>
      <c r="Y750" s="4">
        <f t="shared" si="5"/>
        <v>1</v>
      </c>
      <c r="Z750" s="4" t="str">
        <f t="shared" si="6"/>
        <v>Unique</v>
      </c>
      <c r="AA750" s="4" t="str">
        <f t="shared" si="7"/>
        <v>Valid</v>
      </c>
    </row>
    <row r="751">
      <c r="A751" s="3" t="s">
        <v>1752</v>
      </c>
      <c r="B751" s="3">
        <v>7.2</v>
      </c>
      <c r="C751" s="3" t="s">
        <v>1753</v>
      </c>
      <c r="D751" s="3">
        <v>0.0</v>
      </c>
      <c r="E751" s="3">
        <v>7.0</v>
      </c>
      <c r="F751" s="4"/>
      <c r="G751" s="3">
        <v>0.0</v>
      </c>
      <c r="H751" s="3">
        <v>798.0</v>
      </c>
      <c r="I751" s="3" t="s">
        <v>110</v>
      </c>
      <c r="J751" s="3">
        <v>428.0</v>
      </c>
      <c r="K751" s="3">
        <v>0.0</v>
      </c>
      <c r="L751" s="3">
        <v>17.5</v>
      </c>
      <c r="M751" s="3" t="s">
        <v>204</v>
      </c>
      <c r="N751" s="3">
        <v>28.0</v>
      </c>
      <c r="O751" s="3">
        <v>-45.104</v>
      </c>
      <c r="P751" s="3">
        <v>167.144</v>
      </c>
      <c r="Q751" s="3" t="s">
        <v>1398</v>
      </c>
      <c r="R751" s="4"/>
      <c r="S751" s="3" t="s">
        <v>759</v>
      </c>
      <c r="T751" s="16">
        <f t="shared" si="1"/>
        <v>37854.50833</v>
      </c>
      <c r="U751" s="4" t="b">
        <f t="shared" si="2"/>
        <v>1</v>
      </c>
      <c r="V751" s="4" t="b">
        <f t="shared" si="3"/>
        <v>0</v>
      </c>
      <c r="W751" s="4" t="str">
        <f t="shared" si="8"/>
        <v>Distance/Location</v>
      </c>
      <c r="X751" s="4" t="str">
        <f t="shared" si="4"/>
        <v>mwc</v>
      </c>
      <c r="Y751" s="4">
        <f t="shared" si="5"/>
        <v>1</v>
      </c>
      <c r="Z751" s="4" t="str">
        <f t="shared" si="6"/>
        <v>Unique</v>
      </c>
      <c r="AA751" s="4" t="str">
        <f t="shared" si="7"/>
        <v>Valid</v>
      </c>
    </row>
    <row r="752">
      <c r="A752" s="3" t="s">
        <v>1754</v>
      </c>
      <c r="B752" s="3">
        <v>7.6</v>
      </c>
      <c r="C752" s="17">
        <v>37719.19236111111</v>
      </c>
      <c r="D752" s="3">
        <v>0.0</v>
      </c>
      <c r="E752" s="3">
        <v>6.0</v>
      </c>
      <c r="F752" s="4"/>
      <c r="G752" s="3">
        <v>0.0</v>
      </c>
      <c r="H752" s="3">
        <v>889.0</v>
      </c>
      <c r="I752" s="3" t="s">
        <v>110</v>
      </c>
      <c r="J752" s="3">
        <v>315.0</v>
      </c>
      <c r="K752" s="3">
        <v>0.0</v>
      </c>
      <c r="L752" s="3">
        <v>25.2</v>
      </c>
      <c r="M752" s="3" t="s">
        <v>204</v>
      </c>
      <c r="N752" s="3">
        <v>10.0</v>
      </c>
      <c r="O752" s="3">
        <v>-60.532</v>
      </c>
      <c r="P752" s="3">
        <v>-43.411</v>
      </c>
      <c r="Q752" s="3" t="s">
        <v>1042</v>
      </c>
      <c r="R752" s="4"/>
      <c r="S752" s="3" t="s">
        <v>497</v>
      </c>
      <c r="T752" s="16">
        <f t="shared" si="1"/>
        <v>37837.19236</v>
      </c>
      <c r="U752" s="4" t="b">
        <f t="shared" si="2"/>
        <v>1</v>
      </c>
      <c r="V752" s="4" t="b">
        <f t="shared" si="3"/>
        <v>1</v>
      </c>
      <c r="W752" s="4" t="str">
        <f t="shared" si="8"/>
        <v>Named Region</v>
      </c>
      <c r="X752" s="4" t="str">
        <f t="shared" si="4"/>
        <v>mwc</v>
      </c>
      <c r="Y752" s="4">
        <f t="shared" si="5"/>
        <v>1</v>
      </c>
      <c r="Z752" s="4" t="str">
        <f t="shared" si="6"/>
        <v>Unique</v>
      </c>
      <c r="AA752" s="4" t="str">
        <f t="shared" si="7"/>
        <v>Valid</v>
      </c>
    </row>
    <row r="753">
      <c r="A753" s="3" t="s">
        <v>1755</v>
      </c>
      <c r="B753" s="3">
        <v>6.5</v>
      </c>
      <c r="C753" s="3" t="s">
        <v>1756</v>
      </c>
      <c r="D753" s="3">
        <v>0.0</v>
      </c>
      <c r="E753" s="3">
        <v>6.0</v>
      </c>
      <c r="F753" s="4"/>
      <c r="G753" s="3">
        <v>0.0</v>
      </c>
      <c r="H753" s="3">
        <v>650.0</v>
      </c>
      <c r="I753" s="3" t="s">
        <v>110</v>
      </c>
      <c r="J753" s="3">
        <v>156.0</v>
      </c>
      <c r="K753" s="3">
        <v>0.0</v>
      </c>
      <c r="L753" s="3">
        <v>31.4</v>
      </c>
      <c r="M753" s="3" t="s">
        <v>224</v>
      </c>
      <c r="N753" s="3">
        <v>33.0</v>
      </c>
      <c r="O753" s="3">
        <v>-3.828</v>
      </c>
      <c r="P753" s="3">
        <v>152.174</v>
      </c>
      <c r="Q753" s="3" t="s">
        <v>781</v>
      </c>
      <c r="R753" s="4"/>
      <c r="S753" s="3" t="s">
        <v>168</v>
      </c>
      <c r="T753" s="16">
        <f t="shared" si="1"/>
        <v>37817.78194</v>
      </c>
      <c r="U753" s="4" t="b">
        <f t="shared" si="2"/>
        <v>1</v>
      </c>
      <c r="V753" s="4" t="b">
        <f t="shared" si="3"/>
        <v>0</v>
      </c>
      <c r="W753" s="4" t="str">
        <f t="shared" si="8"/>
        <v>Distance/Location</v>
      </c>
      <c r="X753" s="4" t="str">
        <f t="shared" si="4"/>
        <v>mwb</v>
      </c>
      <c r="Y753" s="4">
        <f t="shared" si="5"/>
        <v>1</v>
      </c>
      <c r="Z753" s="4" t="str">
        <f t="shared" si="6"/>
        <v>Unique</v>
      </c>
      <c r="AA753" s="4" t="str">
        <f t="shared" si="7"/>
        <v>Valid</v>
      </c>
    </row>
    <row r="754">
      <c r="A754" s="3" t="s">
        <v>1757</v>
      </c>
      <c r="B754" s="3">
        <v>6.8</v>
      </c>
      <c r="C754" s="3" t="s">
        <v>1758</v>
      </c>
      <c r="D754" s="3">
        <v>0.0</v>
      </c>
      <c r="E754" s="3">
        <v>7.0</v>
      </c>
      <c r="F754" s="4"/>
      <c r="G754" s="3">
        <v>0.0</v>
      </c>
      <c r="H754" s="3">
        <v>711.0</v>
      </c>
      <c r="I754" s="3" t="s">
        <v>110</v>
      </c>
      <c r="J754" s="3">
        <v>398.0</v>
      </c>
      <c r="K754" s="3">
        <v>0.0</v>
      </c>
      <c r="L754" s="3">
        <v>39.1</v>
      </c>
      <c r="M754" s="3" t="s">
        <v>204</v>
      </c>
      <c r="N754" s="3">
        <v>33.0</v>
      </c>
      <c r="O754" s="3">
        <v>-30.608</v>
      </c>
      <c r="P754" s="3">
        <v>-71.637</v>
      </c>
      <c r="Q754" s="3" t="s">
        <v>862</v>
      </c>
      <c r="R754" s="3" t="s">
        <v>121</v>
      </c>
      <c r="S754" s="3" t="s">
        <v>414</v>
      </c>
      <c r="T754" s="16">
        <f t="shared" si="1"/>
        <v>37792.5625</v>
      </c>
      <c r="U754" s="4" t="b">
        <f t="shared" si="2"/>
        <v>1</v>
      </c>
      <c r="V754" s="4" t="b">
        <f t="shared" si="3"/>
        <v>0</v>
      </c>
      <c r="W754" s="4" t="str">
        <f t="shared" si="8"/>
        <v>Distance/Location</v>
      </c>
      <c r="X754" s="4" t="str">
        <f t="shared" si="4"/>
        <v>mwc</v>
      </c>
      <c r="Y754" s="4">
        <f t="shared" si="5"/>
        <v>1</v>
      </c>
      <c r="Z754" s="4" t="str">
        <f t="shared" si="6"/>
        <v>Unique</v>
      </c>
      <c r="AA754" s="4" t="str">
        <f t="shared" si="7"/>
        <v>Valid</v>
      </c>
    </row>
    <row r="755">
      <c r="A755" s="3" t="s">
        <v>1759</v>
      </c>
      <c r="B755" s="3">
        <v>6.9</v>
      </c>
      <c r="C755" s="3" t="s">
        <v>1760</v>
      </c>
      <c r="D755" s="3">
        <v>0.0</v>
      </c>
      <c r="E755" s="3">
        <v>5.0</v>
      </c>
      <c r="F755" s="4"/>
      <c r="G755" s="3">
        <v>0.0</v>
      </c>
      <c r="H755" s="3">
        <v>732.0</v>
      </c>
      <c r="I755" s="3" t="s">
        <v>110</v>
      </c>
      <c r="J755" s="3">
        <v>733.0</v>
      </c>
      <c r="K755" s="3">
        <v>0.0</v>
      </c>
      <c r="L755" s="3">
        <v>26.7</v>
      </c>
      <c r="M755" s="3" t="s">
        <v>224</v>
      </c>
      <c r="N755" s="3">
        <v>174.8</v>
      </c>
      <c r="O755" s="3">
        <v>55.492</v>
      </c>
      <c r="P755" s="3">
        <v>159.999</v>
      </c>
      <c r="Q755" s="3" t="s">
        <v>1705</v>
      </c>
      <c r="R755" s="3" t="s">
        <v>164</v>
      </c>
      <c r="S755" s="3" t="s">
        <v>464</v>
      </c>
      <c r="T755" s="16">
        <f t="shared" si="1"/>
        <v>37788.92222</v>
      </c>
      <c r="U755" s="4" t="b">
        <f t="shared" si="2"/>
        <v>1</v>
      </c>
      <c r="V755" s="4" t="b">
        <f t="shared" si="3"/>
        <v>0</v>
      </c>
      <c r="W755" s="4" t="str">
        <f t="shared" si="8"/>
        <v>Distance/Location</v>
      </c>
      <c r="X755" s="4" t="str">
        <f t="shared" si="4"/>
        <v>mwb</v>
      </c>
      <c r="Y755" s="4">
        <f t="shared" si="5"/>
        <v>1</v>
      </c>
      <c r="Z755" s="4" t="str">
        <f t="shared" si="6"/>
        <v>Unique</v>
      </c>
      <c r="AA755" s="4" t="str">
        <f t="shared" si="7"/>
        <v>Valid</v>
      </c>
    </row>
    <row r="756">
      <c r="A756" s="3" t="s">
        <v>1761</v>
      </c>
      <c r="B756" s="3">
        <v>6.6</v>
      </c>
      <c r="C756" s="17">
        <v>37808.02222222222</v>
      </c>
      <c r="D756" s="3">
        <v>0.0</v>
      </c>
      <c r="E756" s="3">
        <v>6.0</v>
      </c>
      <c r="F756" s="4"/>
      <c r="G756" s="3">
        <v>0.0</v>
      </c>
      <c r="H756" s="3">
        <v>670.0</v>
      </c>
      <c r="I756" s="3" t="s">
        <v>110</v>
      </c>
      <c r="J756" s="3">
        <v>419.0</v>
      </c>
      <c r="K756" s="3">
        <v>0.0</v>
      </c>
      <c r="L756" s="3">
        <v>27.8</v>
      </c>
      <c r="M756" s="3" t="s">
        <v>204</v>
      </c>
      <c r="N756" s="3">
        <v>33.0</v>
      </c>
      <c r="O756" s="3">
        <v>-5.095</v>
      </c>
      <c r="P756" s="3">
        <v>152.502</v>
      </c>
      <c r="Q756" s="3" t="s">
        <v>633</v>
      </c>
      <c r="R756" s="4"/>
      <c r="S756" s="3" t="s">
        <v>168</v>
      </c>
      <c r="T756" s="16">
        <f t="shared" si="1"/>
        <v>37779.02222</v>
      </c>
      <c r="U756" s="4" t="b">
        <f t="shared" si="2"/>
        <v>1</v>
      </c>
      <c r="V756" s="4" t="b">
        <f t="shared" si="3"/>
        <v>1</v>
      </c>
      <c r="W756" s="4" t="str">
        <f t="shared" si="8"/>
        <v>Distance/Location</v>
      </c>
      <c r="X756" s="4" t="str">
        <f t="shared" si="4"/>
        <v>mwc</v>
      </c>
      <c r="Y756" s="4">
        <f t="shared" si="5"/>
        <v>1</v>
      </c>
      <c r="Z756" s="4" t="str">
        <f t="shared" si="6"/>
        <v>Unique</v>
      </c>
      <c r="AA756" s="4" t="str">
        <f t="shared" si="7"/>
        <v>Valid</v>
      </c>
    </row>
    <row r="757">
      <c r="A757" s="3" t="s">
        <v>1762</v>
      </c>
      <c r="B757" s="3">
        <v>7.0</v>
      </c>
      <c r="C757" s="3" t="s">
        <v>1763</v>
      </c>
      <c r="D757" s="3">
        <v>0.0</v>
      </c>
      <c r="E757" s="3">
        <v>6.0</v>
      </c>
      <c r="F757" s="4"/>
      <c r="G757" s="3">
        <v>0.0</v>
      </c>
      <c r="H757" s="3">
        <v>754.0</v>
      </c>
      <c r="I757" s="3" t="s">
        <v>110</v>
      </c>
      <c r="J757" s="3">
        <v>473.0</v>
      </c>
      <c r="K757" s="3">
        <v>0.0</v>
      </c>
      <c r="L757" s="3">
        <v>30.3</v>
      </c>
      <c r="M757" s="3" t="s">
        <v>204</v>
      </c>
      <c r="N757" s="3">
        <v>31.0</v>
      </c>
      <c r="O757" s="3">
        <v>2.354</v>
      </c>
      <c r="P757" s="3">
        <v>128.855</v>
      </c>
      <c r="Q757" s="3" t="s">
        <v>205</v>
      </c>
      <c r="R757" s="4"/>
      <c r="S757" s="3" t="s">
        <v>153</v>
      </c>
      <c r="T757" s="16">
        <f t="shared" si="1"/>
        <v>37767.80764</v>
      </c>
      <c r="U757" s="4" t="b">
        <f t="shared" si="2"/>
        <v>1</v>
      </c>
      <c r="V757" s="4" t="b">
        <f t="shared" si="3"/>
        <v>0</v>
      </c>
      <c r="W757" s="4" t="str">
        <f t="shared" si="8"/>
        <v>Distance/Location</v>
      </c>
      <c r="X757" s="4" t="str">
        <f t="shared" si="4"/>
        <v>mwc</v>
      </c>
      <c r="Y757" s="4">
        <f t="shared" si="5"/>
        <v>1</v>
      </c>
      <c r="Z757" s="4" t="str">
        <f t="shared" si="6"/>
        <v>Unique</v>
      </c>
      <c r="AA757" s="4" t="str">
        <f t="shared" si="7"/>
        <v>Valid</v>
      </c>
    </row>
    <row r="758">
      <c r="A758" s="3" t="s">
        <v>1764</v>
      </c>
      <c r="B758" s="3">
        <v>7.0</v>
      </c>
      <c r="C758" s="3" t="s">
        <v>1765</v>
      </c>
      <c r="D758" s="3">
        <v>0.0</v>
      </c>
      <c r="E758" s="3">
        <v>7.0</v>
      </c>
      <c r="F758" s="4"/>
      <c r="G758" s="3">
        <v>0.0</v>
      </c>
      <c r="H758" s="3">
        <v>754.0</v>
      </c>
      <c r="I758" s="3" t="s">
        <v>110</v>
      </c>
      <c r="J758" s="3">
        <v>690.0</v>
      </c>
      <c r="K758" s="3">
        <v>0.0</v>
      </c>
      <c r="L758" s="3">
        <v>19.1</v>
      </c>
      <c r="M758" s="3" t="s">
        <v>224</v>
      </c>
      <c r="N758" s="3">
        <v>68.0</v>
      </c>
      <c r="O758" s="3">
        <v>38.849</v>
      </c>
      <c r="P758" s="3">
        <v>141.568</v>
      </c>
      <c r="Q758" s="3" t="s">
        <v>917</v>
      </c>
      <c r="R758" s="3" t="s">
        <v>164</v>
      </c>
      <c r="S758" s="3" t="s">
        <v>371</v>
      </c>
      <c r="T758" s="16">
        <f t="shared" si="1"/>
        <v>37767.39167</v>
      </c>
      <c r="U758" s="4" t="b">
        <f t="shared" si="2"/>
        <v>1</v>
      </c>
      <c r="V758" s="4" t="b">
        <f t="shared" si="3"/>
        <v>0</v>
      </c>
      <c r="W758" s="4" t="str">
        <f t="shared" si="8"/>
        <v>Distance/Location</v>
      </c>
      <c r="X758" s="4" t="str">
        <f t="shared" si="4"/>
        <v>mwb</v>
      </c>
      <c r="Y758" s="4">
        <f t="shared" si="5"/>
        <v>1</v>
      </c>
      <c r="Z758" s="4" t="str">
        <f t="shared" si="6"/>
        <v>Unique</v>
      </c>
      <c r="AA758" s="4" t="str">
        <f t="shared" si="7"/>
        <v>Valid</v>
      </c>
    </row>
    <row r="759">
      <c r="A759" s="3" t="s">
        <v>1766</v>
      </c>
      <c r="B759" s="3">
        <v>6.8</v>
      </c>
      <c r="C759" s="3" t="s">
        <v>1767</v>
      </c>
      <c r="D759" s="3">
        <v>0.0</v>
      </c>
      <c r="E759" s="3">
        <v>9.0</v>
      </c>
      <c r="F759" s="4"/>
      <c r="G759" s="3">
        <v>0.0</v>
      </c>
      <c r="H759" s="3">
        <v>711.0</v>
      </c>
      <c r="I759" s="3" t="s">
        <v>110</v>
      </c>
      <c r="J759" s="3">
        <v>534.0</v>
      </c>
      <c r="K759" s="3">
        <v>0.0</v>
      </c>
      <c r="L759" s="3">
        <v>19.4</v>
      </c>
      <c r="M759" s="3" t="s">
        <v>204</v>
      </c>
      <c r="N759" s="3">
        <v>12.0</v>
      </c>
      <c r="O759" s="3">
        <v>36.964</v>
      </c>
      <c r="P759" s="3">
        <v>3.634</v>
      </c>
      <c r="Q759" s="3" t="s">
        <v>1768</v>
      </c>
      <c r="R759" s="4"/>
      <c r="S759" s="3" t="s">
        <v>1769</v>
      </c>
      <c r="T759" s="16">
        <f t="shared" si="1"/>
        <v>37762.78056</v>
      </c>
      <c r="U759" s="4" t="b">
        <f t="shared" si="2"/>
        <v>1</v>
      </c>
      <c r="V759" s="4" t="b">
        <f t="shared" si="3"/>
        <v>0</v>
      </c>
      <c r="W759" s="4" t="str">
        <f t="shared" si="8"/>
        <v>Distance/Location</v>
      </c>
      <c r="X759" s="4" t="str">
        <f t="shared" si="4"/>
        <v>mwc</v>
      </c>
      <c r="Y759" s="4">
        <f t="shared" si="5"/>
        <v>1</v>
      </c>
      <c r="Z759" s="4" t="str">
        <f t="shared" si="6"/>
        <v>Unique</v>
      </c>
      <c r="AA759" s="4" t="str">
        <f t="shared" si="7"/>
        <v>Valid</v>
      </c>
    </row>
    <row r="760">
      <c r="A760" s="3" t="s">
        <v>1770</v>
      </c>
      <c r="B760" s="3">
        <v>6.5</v>
      </c>
      <c r="C760" s="3" t="s">
        <v>1771</v>
      </c>
      <c r="D760" s="3">
        <v>0.0</v>
      </c>
      <c r="E760" s="3">
        <v>7.0</v>
      </c>
      <c r="F760" s="4"/>
      <c r="G760" s="3">
        <v>0.0</v>
      </c>
      <c r="H760" s="3">
        <v>650.0</v>
      </c>
      <c r="I760" s="3" t="s">
        <v>110</v>
      </c>
      <c r="J760" s="3">
        <v>247.0</v>
      </c>
      <c r="K760" s="3">
        <v>0.0</v>
      </c>
      <c r="L760" s="3">
        <v>28.7</v>
      </c>
      <c r="M760" s="3" t="s">
        <v>204</v>
      </c>
      <c r="N760" s="3">
        <v>33.0</v>
      </c>
      <c r="O760" s="3">
        <v>-8.294</v>
      </c>
      <c r="P760" s="3">
        <v>120.743</v>
      </c>
      <c r="Q760" s="3" t="s">
        <v>1772</v>
      </c>
      <c r="R760" s="4"/>
      <c r="S760" s="3" t="s">
        <v>153</v>
      </c>
      <c r="T760" s="16">
        <f t="shared" si="1"/>
        <v>37705.12014</v>
      </c>
      <c r="U760" s="4" t="b">
        <f t="shared" si="2"/>
        <v>1</v>
      </c>
      <c r="V760" s="4" t="b">
        <f t="shared" si="3"/>
        <v>0</v>
      </c>
      <c r="W760" s="4" t="str">
        <f t="shared" si="8"/>
        <v>Distance/Location</v>
      </c>
      <c r="X760" s="4" t="str">
        <f t="shared" si="4"/>
        <v>mwc</v>
      </c>
      <c r="Y760" s="4">
        <f t="shared" si="5"/>
        <v>1</v>
      </c>
      <c r="Z760" s="4" t="str">
        <f t="shared" si="6"/>
        <v>Unique</v>
      </c>
      <c r="AA760" s="4" t="str">
        <f t="shared" si="7"/>
        <v>Valid</v>
      </c>
    </row>
    <row r="761">
      <c r="A761" s="3" t="s">
        <v>1773</v>
      </c>
      <c r="B761" s="3">
        <v>6.8</v>
      </c>
      <c r="C761" s="17">
        <v>37928.31041666667</v>
      </c>
      <c r="D761" s="3">
        <v>0.0</v>
      </c>
      <c r="E761" s="3">
        <v>7.0</v>
      </c>
      <c r="F761" s="4"/>
      <c r="G761" s="3">
        <v>0.0</v>
      </c>
      <c r="H761" s="3">
        <v>711.0</v>
      </c>
      <c r="I761" s="3" t="s">
        <v>110</v>
      </c>
      <c r="J761" s="3">
        <v>431.0</v>
      </c>
      <c r="K761" s="3">
        <v>0.0</v>
      </c>
      <c r="L761" s="3">
        <v>38.4</v>
      </c>
      <c r="M761" s="3" t="s">
        <v>204</v>
      </c>
      <c r="N761" s="3">
        <v>40.2</v>
      </c>
      <c r="O761" s="3">
        <v>-4.694</v>
      </c>
      <c r="P761" s="3">
        <v>153.238</v>
      </c>
      <c r="Q761" s="3" t="s">
        <v>633</v>
      </c>
      <c r="R761" s="4"/>
      <c r="S761" s="3" t="s">
        <v>168</v>
      </c>
      <c r="T761" s="16">
        <f t="shared" si="1"/>
        <v>37691.31042</v>
      </c>
      <c r="U761" s="4" t="b">
        <f t="shared" si="2"/>
        <v>1</v>
      </c>
      <c r="V761" s="4" t="b">
        <f t="shared" si="3"/>
        <v>1</v>
      </c>
      <c r="W761" s="4" t="str">
        <f t="shared" si="8"/>
        <v>Distance/Location</v>
      </c>
      <c r="X761" s="4" t="str">
        <f t="shared" si="4"/>
        <v>mwc</v>
      </c>
      <c r="Y761" s="4">
        <f t="shared" si="5"/>
        <v>1</v>
      </c>
      <c r="Z761" s="4" t="str">
        <f t="shared" si="6"/>
        <v>Unique</v>
      </c>
      <c r="AA761" s="4" t="str">
        <f t="shared" si="7"/>
        <v>Valid</v>
      </c>
    </row>
    <row r="762">
      <c r="A762" s="3" t="s">
        <v>1774</v>
      </c>
      <c r="B762" s="3">
        <v>7.6</v>
      </c>
      <c r="C762" s="3" t="s">
        <v>1775</v>
      </c>
      <c r="D762" s="3">
        <v>0.0</v>
      </c>
      <c r="E762" s="3">
        <v>7.0</v>
      </c>
      <c r="F762" s="4"/>
      <c r="G762" s="3">
        <v>0.0</v>
      </c>
      <c r="H762" s="3">
        <v>889.0</v>
      </c>
      <c r="I762" s="3" t="s">
        <v>110</v>
      </c>
      <c r="J762" s="3">
        <v>551.0</v>
      </c>
      <c r="K762" s="3">
        <v>0.0</v>
      </c>
      <c r="L762" s="3">
        <v>0.0</v>
      </c>
      <c r="M762" s="3" t="s">
        <v>224</v>
      </c>
      <c r="N762" s="3">
        <v>24.0</v>
      </c>
      <c r="O762" s="3">
        <v>18.77</v>
      </c>
      <c r="P762" s="3">
        <v>-104.104</v>
      </c>
      <c r="Q762" s="3" t="s">
        <v>1776</v>
      </c>
      <c r="R762" s="3" t="s">
        <v>233</v>
      </c>
      <c r="S762" s="3" t="s">
        <v>234</v>
      </c>
      <c r="T762" s="16">
        <f t="shared" si="1"/>
        <v>37643.0875</v>
      </c>
      <c r="U762" s="4" t="b">
        <f t="shared" si="2"/>
        <v>1</v>
      </c>
      <c r="V762" s="4" t="b">
        <f t="shared" si="3"/>
        <v>0</v>
      </c>
      <c r="W762" s="4" t="str">
        <f t="shared" si="8"/>
        <v>Distance/Location</v>
      </c>
      <c r="X762" s="4" t="str">
        <f t="shared" si="4"/>
        <v>mwb</v>
      </c>
      <c r="Y762" s="4">
        <f t="shared" si="5"/>
        <v>1</v>
      </c>
      <c r="Z762" s="4" t="str">
        <f t="shared" si="6"/>
        <v>Unique</v>
      </c>
      <c r="AA762" s="4" t="str">
        <f t="shared" si="7"/>
        <v>Valid</v>
      </c>
    </row>
    <row r="763">
      <c r="A763" s="3" t="s">
        <v>1777</v>
      </c>
      <c r="B763" s="3">
        <v>6.5</v>
      </c>
      <c r="C763" s="3" t="s">
        <v>1778</v>
      </c>
      <c r="D763" s="3">
        <v>0.0</v>
      </c>
      <c r="E763" s="3">
        <v>6.0</v>
      </c>
      <c r="F763" s="4"/>
      <c r="G763" s="3">
        <v>0.0</v>
      </c>
      <c r="H763" s="3">
        <v>650.0</v>
      </c>
      <c r="I763" s="3" t="s">
        <v>110</v>
      </c>
      <c r="J763" s="3">
        <v>316.0</v>
      </c>
      <c r="K763" s="3">
        <v>0.0</v>
      </c>
      <c r="L763" s="3">
        <v>0.0</v>
      </c>
      <c r="M763" s="3" t="s">
        <v>204</v>
      </c>
      <c r="N763" s="3">
        <v>24.0</v>
      </c>
      <c r="O763" s="3">
        <v>13.626</v>
      </c>
      <c r="P763" s="3">
        <v>-90.774</v>
      </c>
      <c r="Q763" s="3" t="s">
        <v>696</v>
      </c>
      <c r="R763" s="4"/>
      <c r="S763" s="4"/>
      <c r="T763" s="16">
        <f t="shared" si="1"/>
        <v>37642.11528</v>
      </c>
      <c r="U763" s="4" t="b">
        <f t="shared" si="2"/>
        <v>1</v>
      </c>
      <c r="V763" s="4" t="b">
        <f t="shared" si="3"/>
        <v>0</v>
      </c>
      <c r="W763" s="4" t="str">
        <f t="shared" si="8"/>
        <v>Distance/Location</v>
      </c>
      <c r="X763" s="4" t="str">
        <f t="shared" si="4"/>
        <v>mwc</v>
      </c>
      <c r="Y763" s="4">
        <f t="shared" si="5"/>
        <v>1</v>
      </c>
      <c r="Z763" s="4" t="str">
        <f t="shared" si="6"/>
        <v>Unique</v>
      </c>
      <c r="AA763" s="4" t="str">
        <f t="shared" si="7"/>
        <v>Valid</v>
      </c>
    </row>
    <row r="764">
      <c r="A764" s="3" t="s">
        <v>1779</v>
      </c>
      <c r="B764" s="3">
        <v>7.3</v>
      </c>
      <c r="C764" s="3" t="s">
        <v>1780</v>
      </c>
      <c r="D764" s="3">
        <v>0.0</v>
      </c>
      <c r="E764" s="3">
        <v>6.0</v>
      </c>
      <c r="F764" s="4"/>
      <c r="G764" s="3">
        <v>0.0</v>
      </c>
      <c r="H764" s="3">
        <v>820.0</v>
      </c>
      <c r="I764" s="3" t="s">
        <v>110</v>
      </c>
      <c r="J764" s="3">
        <v>457.0</v>
      </c>
      <c r="K764" s="3">
        <v>0.0</v>
      </c>
      <c r="L764" s="3">
        <v>0.0</v>
      </c>
      <c r="M764" s="3" t="s">
        <v>204</v>
      </c>
      <c r="N764" s="3">
        <v>33.0</v>
      </c>
      <c r="O764" s="3">
        <v>-10.491</v>
      </c>
      <c r="P764" s="3">
        <v>160.77</v>
      </c>
      <c r="Q764" s="3" t="s">
        <v>595</v>
      </c>
      <c r="R764" s="4"/>
      <c r="S764" s="4"/>
      <c r="T764" s="16">
        <f t="shared" si="1"/>
        <v>37641.36319</v>
      </c>
      <c r="U764" s="4" t="b">
        <f t="shared" si="2"/>
        <v>1</v>
      </c>
      <c r="V764" s="4" t="b">
        <f t="shared" si="3"/>
        <v>0</v>
      </c>
      <c r="W764" s="4" t="str">
        <f t="shared" si="8"/>
        <v>Distance/Location</v>
      </c>
      <c r="X764" s="4" t="str">
        <f t="shared" si="4"/>
        <v>mwc</v>
      </c>
      <c r="Y764" s="4">
        <f t="shared" si="5"/>
        <v>1</v>
      </c>
      <c r="Z764" s="4" t="str">
        <f t="shared" si="6"/>
        <v>Unique</v>
      </c>
      <c r="AA764" s="4" t="str">
        <f t="shared" si="7"/>
        <v>Valid</v>
      </c>
    </row>
    <row r="765">
      <c r="A765" s="3" t="s">
        <v>1781</v>
      </c>
      <c r="B765" s="3">
        <v>6.7</v>
      </c>
      <c r="C765" s="17">
        <v>37895.549305555556</v>
      </c>
      <c r="D765" s="3">
        <v>0.0</v>
      </c>
      <c r="E765" s="3">
        <v>5.0</v>
      </c>
      <c r="F765" s="4"/>
      <c r="G765" s="3">
        <v>0.0</v>
      </c>
      <c r="H765" s="3">
        <v>691.0</v>
      </c>
      <c r="I765" s="3" t="s">
        <v>110</v>
      </c>
      <c r="J765" s="3">
        <v>323.0</v>
      </c>
      <c r="K765" s="3">
        <v>0.0</v>
      </c>
      <c r="L765" s="3">
        <v>0.0</v>
      </c>
      <c r="M765" s="3" t="s">
        <v>224</v>
      </c>
      <c r="N765" s="3">
        <v>71.9</v>
      </c>
      <c r="O765" s="3">
        <v>-5.311</v>
      </c>
      <c r="P765" s="3">
        <v>153.701</v>
      </c>
      <c r="Q765" s="3" t="s">
        <v>633</v>
      </c>
      <c r="R765" s="4"/>
      <c r="S765" s="4"/>
      <c r="T765" s="16">
        <f t="shared" si="1"/>
        <v>37631.54931</v>
      </c>
      <c r="U765" s="4" t="b">
        <f t="shared" si="2"/>
        <v>1</v>
      </c>
      <c r="V765" s="4" t="b">
        <f t="shared" si="3"/>
        <v>1</v>
      </c>
      <c r="W765" s="4" t="str">
        <f t="shared" si="8"/>
        <v>Distance/Location</v>
      </c>
      <c r="X765" s="4" t="str">
        <f t="shared" si="4"/>
        <v>mwb</v>
      </c>
      <c r="Y765" s="4">
        <f t="shared" si="5"/>
        <v>1</v>
      </c>
      <c r="Z765" s="4" t="str">
        <f t="shared" si="6"/>
        <v>Unique</v>
      </c>
      <c r="AA765" s="4" t="str">
        <f t="shared" si="7"/>
        <v>Valid</v>
      </c>
    </row>
    <row r="766">
      <c r="A766" s="3" t="s">
        <v>1782</v>
      </c>
      <c r="B766" s="3">
        <v>6.7</v>
      </c>
      <c r="C766" s="18">
        <v>37602.354166666664</v>
      </c>
      <c r="D766" s="3">
        <v>0.0</v>
      </c>
      <c r="E766" s="3">
        <v>6.0</v>
      </c>
      <c r="F766" s="4"/>
      <c r="G766" s="3">
        <v>0.0</v>
      </c>
      <c r="H766" s="3">
        <v>691.0</v>
      </c>
      <c r="I766" s="3" t="s">
        <v>110</v>
      </c>
      <c r="J766" s="3">
        <v>453.0</v>
      </c>
      <c r="K766" s="3">
        <v>0.0</v>
      </c>
      <c r="L766" s="3">
        <v>0.0</v>
      </c>
      <c r="M766" s="3" t="s">
        <v>224</v>
      </c>
      <c r="N766" s="3">
        <v>34.0</v>
      </c>
      <c r="O766" s="3">
        <v>-4.786</v>
      </c>
      <c r="P766" s="3">
        <v>153.275</v>
      </c>
      <c r="Q766" s="3" t="s">
        <v>1783</v>
      </c>
      <c r="R766" s="4"/>
      <c r="S766" s="3" t="s">
        <v>168</v>
      </c>
      <c r="T766" s="16">
        <f t="shared" si="1"/>
        <v>37602.35417</v>
      </c>
      <c r="U766" s="4" t="b">
        <f t="shared" si="2"/>
        <v>1</v>
      </c>
      <c r="V766" s="4" t="b">
        <f t="shared" si="3"/>
        <v>1</v>
      </c>
      <c r="W766" s="4" t="str">
        <f t="shared" si="8"/>
        <v>Named Region</v>
      </c>
      <c r="X766" s="4" t="str">
        <f t="shared" si="4"/>
        <v>mwb</v>
      </c>
      <c r="Y766" s="4">
        <f t="shared" si="5"/>
        <v>1</v>
      </c>
      <c r="Z766" s="4" t="str">
        <f t="shared" si="6"/>
        <v>Unique</v>
      </c>
      <c r="AA766" s="4" t="str">
        <f t="shared" si="7"/>
        <v>Valid</v>
      </c>
    </row>
    <row r="767">
      <c r="A767" s="3" t="s">
        <v>1784</v>
      </c>
      <c r="B767" s="3">
        <v>7.9</v>
      </c>
      <c r="C767" s="17">
        <v>37326.925</v>
      </c>
      <c r="D767" s="3">
        <v>8.0</v>
      </c>
      <c r="E767" s="3">
        <v>9.0</v>
      </c>
      <c r="F767" s="4"/>
      <c r="G767" s="3">
        <v>0.0</v>
      </c>
      <c r="H767" s="3">
        <v>1750.0</v>
      </c>
      <c r="I767" s="3" t="s">
        <v>316</v>
      </c>
      <c r="J767" s="3">
        <v>0.0</v>
      </c>
      <c r="K767" s="3">
        <v>0.0</v>
      </c>
      <c r="L767" s="3">
        <v>0.0</v>
      </c>
      <c r="M767" s="3" t="s">
        <v>514</v>
      </c>
      <c r="N767" s="3">
        <v>4.2</v>
      </c>
      <c r="O767" s="3">
        <v>63.5141</v>
      </c>
      <c r="P767" s="3">
        <v>-147.453</v>
      </c>
      <c r="Q767" s="3" t="s">
        <v>1785</v>
      </c>
      <c r="R767" s="3" t="s">
        <v>233</v>
      </c>
      <c r="S767" s="3" t="s">
        <v>318</v>
      </c>
      <c r="T767" s="16">
        <f t="shared" si="1"/>
        <v>37563.925</v>
      </c>
      <c r="U767" s="4" t="b">
        <f t="shared" si="2"/>
        <v>1</v>
      </c>
      <c r="V767" s="4" t="b">
        <f t="shared" si="3"/>
        <v>1</v>
      </c>
      <c r="W767" s="4" t="str">
        <f t="shared" si="8"/>
        <v>Distance/Location</v>
      </c>
      <c r="X767" s="4" t="str">
        <f t="shared" si="4"/>
        <v>mw</v>
      </c>
      <c r="Y767" s="4">
        <f t="shared" si="5"/>
        <v>1</v>
      </c>
      <c r="Z767" s="4" t="str">
        <f t="shared" si="6"/>
        <v>Unique</v>
      </c>
      <c r="AA767" s="4" t="str">
        <f t="shared" si="7"/>
        <v>Valid</v>
      </c>
    </row>
    <row r="768">
      <c r="A768" s="3" t="s">
        <v>1786</v>
      </c>
      <c r="B768" s="3">
        <v>7.4</v>
      </c>
      <c r="C768" s="17">
        <v>37298.05972222222</v>
      </c>
      <c r="D768" s="3">
        <v>0.0</v>
      </c>
      <c r="E768" s="3">
        <v>7.0</v>
      </c>
      <c r="F768" s="4"/>
      <c r="G768" s="3">
        <v>0.0</v>
      </c>
      <c r="H768" s="3">
        <v>842.0</v>
      </c>
      <c r="I768" s="3" t="s">
        <v>110</v>
      </c>
      <c r="J768" s="3">
        <v>418.0</v>
      </c>
      <c r="K768" s="3">
        <v>0.0</v>
      </c>
      <c r="L768" s="3">
        <v>0.0</v>
      </c>
      <c r="M768" s="3" t="s">
        <v>224</v>
      </c>
      <c r="N768" s="3">
        <v>30.0</v>
      </c>
      <c r="O768" s="3">
        <v>2.824</v>
      </c>
      <c r="P768" s="3">
        <v>96.085</v>
      </c>
      <c r="Q768" s="3" t="s">
        <v>368</v>
      </c>
      <c r="R768" s="4"/>
      <c r="S768" s="3" t="s">
        <v>153</v>
      </c>
      <c r="T768" s="16">
        <f t="shared" si="1"/>
        <v>37562.05972</v>
      </c>
      <c r="U768" s="4" t="b">
        <f t="shared" si="2"/>
        <v>1</v>
      </c>
      <c r="V768" s="4" t="b">
        <f t="shared" si="3"/>
        <v>1</v>
      </c>
      <c r="W768" s="4" t="str">
        <f t="shared" si="8"/>
        <v>Distance/Location</v>
      </c>
      <c r="X768" s="4" t="str">
        <f t="shared" si="4"/>
        <v>mwb</v>
      </c>
      <c r="Y768" s="4">
        <f t="shared" si="5"/>
        <v>1</v>
      </c>
      <c r="Z768" s="4" t="str">
        <f t="shared" si="6"/>
        <v>Unique</v>
      </c>
      <c r="AA768" s="4" t="str">
        <f t="shared" si="7"/>
        <v>Valid</v>
      </c>
    </row>
    <row r="769">
      <c r="A769" s="3" t="s">
        <v>1787</v>
      </c>
      <c r="B769" s="3">
        <v>6.6</v>
      </c>
      <c r="C769" s="3" t="s">
        <v>1788</v>
      </c>
      <c r="D769" s="3">
        <v>0.0</v>
      </c>
      <c r="E769" s="3">
        <v>7.0</v>
      </c>
      <c r="F769" s="4"/>
      <c r="G769" s="3">
        <v>0.0</v>
      </c>
      <c r="H769" s="3">
        <v>670.0</v>
      </c>
      <c r="I769" s="3" t="s">
        <v>316</v>
      </c>
      <c r="J769" s="3">
        <v>0.0</v>
      </c>
      <c r="K769" s="3">
        <v>0.0</v>
      </c>
      <c r="L769" s="3">
        <v>0.0</v>
      </c>
      <c r="M769" s="3" t="s">
        <v>514</v>
      </c>
      <c r="N769" s="3">
        <v>4.2</v>
      </c>
      <c r="O769" s="3">
        <v>63.5144</v>
      </c>
      <c r="P769" s="3">
        <v>-147.912</v>
      </c>
      <c r="Q769" s="3" t="s">
        <v>1785</v>
      </c>
      <c r="R769" s="3" t="s">
        <v>233</v>
      </c>
      <c r="S769" s="3" t="s">
        <v>318</v>
      </c>
      <c r="T769" s="16">
        <f t="shared" si="1"/>
        <v>37552.47708</v>
      </c>
      <c r="U769" s="4" t="b">
        <f t="shared" si="2"/>
        <v>1</v>
      </c>
      <c r="V769" s="4" t="b">
        <f t="shared" si="3"/>
        <v>0</v>
      </c>
      <c r="W769" s="4" t="str">
        <f t="shared" si="8"/>
        <v>Distance/Location</v>
      </c>
      <c r="X769" s="4" t="str">
        <f t="shared" si="4"/>
        <v>mw</v>
      </c>
      <c r="Y769" s="4">
        <f t="shared" si="5"/>
        <v>1</v>
      </c>
      <c r="Z769" s="4" t="str">
        <f t="shared" si="6"/>
        <v>Unique</v>
      </c>
      <c r="AA769" s="4" t="str">
        <f t="shared" si="7"/>
        <v>Valid</v>
      </c>
    </row>
    <row r="770">
      <c r="A770" s="3" t="s">
        <v>1789</v>
      </c>
      <c r="B770" s="3">
        <v>6.7</v>
      </c>
      <c r="C770" s="18">
        <v>37539.51944444444</v>
      </c>
      <c r="D770" s="3">
        <v>0.0</v>
      </c>
      <c r="E770" s="3">
        <v>7.0</v>
      </c>
      <c r="F770" s="4"/>
      <c r="G770" s="3">
        <v>0.0</v>
      </c>
      <c r="H770" s="3">
        <v>691.0</v>
      </c>
      <c r="I770" s="3" t="s">
        <v>110</v>
      </c>
      <c r="J770" s="3">
        <v>250.0</v>
      </c>
      <c r="K770" s="3">
        <v>0.0</v>
      </c>
      <c r="L770" s="3">
        <v>0.0</v>
      </c>
      <c r="M770" s="3" t="s">
        <v>1261</v>
      </c>
      <c r="N770" s="3">
        <v>10.0</v>
      </c>
      <c r="O770" s="3">
        <v>-1.511</v>
      </c>
      <c r="P770" s="3">
        <v>133.973</v>
      </c>
      <c r="Q770" s="3" t="s">
        <v>1182</v>
      </c>
      <c r="R770" s="4"/>
      <c r="S770" s="3" t="s">
        <v>153</v>
      </c>
      <c r="T770" s="16">
        <f t="shared" si="1"/>
        <v>37539.51944</v>
      </c>
      <c r="U770" s="4" t="b">
        <f t="shared" si="2"/>
        <v>1</v>
      </c>
      <c r="V770" s="4" t="b">
        <f t="shared" si="3"/>
        <v>1</v>
      </c>
      <c r="W770" s="4" t="str">
        <f t="shared" si="8"/>
        <v>Distance/Location</v>
      </c>
      <c r="X770" s="4" t="str">
        <f t="shared" si="4"/>
        <v>ms</v>
      </c>
      <c r="Y770" s="4">
        <f t="shared" si="5"/>
        <v>1</v>
      </c>
      <c r="Z770" s="4" t="str">
        <f t="shared" si="6"/>
        <v>Unique</v>
      </c>
      <c r="AA770" s="4" t="str">
        <f t="shared" si="7"/>
        <v>Valid</v>
      </c>
    </row>
    <row r="771">
      <c r="A771" s="3" t="s">
        <v>1790</v>
      </c>
      <c r="B771" s="3">
        <v>7.6</v>
      </c>
      <c r="C771" s="18">
        <v>37539.45138888889</v>
      </c>
      <c r="D771" s="3">
        <v>0.0</v>
      </c>
      <c r="E771" s="3">
        <v>7.0</v>
      </c>
      <c r="F771" s="4"/>
      <c r="G771" s="3">
        <v>0.0</v>
      </c>
      <c r="H771" s="3">
        <v>889.0</v>
      </c>
      <c r="I771" s="3" t="s">
        <v>110</v>
      </c>
      <c r="J771" s="3">
        <v>375.0</v>
      </c>
      <c r="K771" s="3">
        <v>0.0</v>
      </c>
      <c r="L771" s="3">
        <v>0.0</v>
      </c>
      <c r="M771" s="3" t="s">
        <v>204</v>
      </c>
      <c r="N771" s="3">
        <v>10.0</v>
      </c>
      <c r="O771" s="3">
        <v>-1.757</v>
      </c>
      <c r="P771" s="3">
        <v>134.297</v>
      </c>
      <c r="Q771" s="3" t="s">
        <v>1182</v>
      </c>
      <c r="R771" s="4"/>
      <c r="S771" s="3" t="s">
        <v>153</v>
      </c>
      <c r="T771" s="16">
        <f t="shared" si="1"/>
        <v>37539.45139</v>
      </c>
      <c r="U771" s="4" t="b">
        <f t="shared" si="2"/>
        <v>1</v>
      </c>
      <c r="V771" s="4" t="b">
        <f t="shared" si="3"/>
        <v>1</v>
      </c>
      <c r="W771" s="4" t="str">
        <f t="shared" si="8"/>
        <v>Distance/Location</v>
      </c>
      <c r="X771" s="4" t="str">
        <f t="shared" si="4"/>
        <v>mwc</v>
      </c>
      <c r="Y771" s="4">
        <f t="shared" si="5"/>
        <v>1</v>
      </c>
      <c r="Z771" s="4" t="str">
        <f t="shared" si="6"/>
        <v>Unique</v>
      </c>
      <c r="AA771" s="4" t="str">
        <f t="shared" si="7"/>
        <v>Valid</v>
      </c>
    </row>
    <row r="772">
      <c r="A772" s="3" t="s">
        <v>1791</v>
      </c>
      <c r="B772" s="3">
        <v>6.5</v>
      </c>
      <c r="C772" s="3" t="s">
        <v>1792</v>
      </c>
      <c r="D772" s="3">
        <v>0.0</v>
      </c>
      <c r="E772" s="3">
        <v>6.0</v>
      </c>
      <c r="F772" s="4"/>
      <c r="G772" s="3">
        <v>0.0</v>
      </c>
      <c r="H772" s="3">
        <v>650.0</v>
      </c>
      <c r="I772" s="3" t="s">
        <v>110</v>
      </c>
      <c r="J772" s="3">
        <v>646.0</v>
      </c>
      <c r="K772" s="3">
        <v>0.0</v>
      </c>
      <c r="L772" s="3">
        <v>0.0</v>
      </c>
      <c r="M772" s="3" t="s">
        <v>204</v>
      </c>
      <c r="N772" s="3">
        <v>21.0</v>
      </c>
      <c r="O772" s="3">
        <v>13.036</v>
      </c>
      <c r="P772" s="3">
        <v>93.068</v>
      </c>
      <c r="Q772" s="3" t="s">
        <v>1337</v>
      </c>
      <c r="R772" s="4"/>
      <c r="S772" s="3" t="s">
        <v>835</v>
      </c>
      <c r="T772" s="16">
        <f t="shared" si="1"/>
        <v>37512.93611</v>
      </c>
      <c r="U772" s="4" t="b">
        <f t="shared" si="2"/>
        <v>1</v>
      </c>
      <c r="V772" s="4" t="b">
        <f t="shared" si="3"/>
        <v>0</v>
      </c>
      <c r="W772" s="4" t="str">
        <f t="shared" si="8"/>
        <v>Distance/Location</v>
      </c>
      <c r="X772" s="4" t="str">
        <f t="shared" si="4"/>
        <v>mwc</v>
      </c>
      <c r="Y772" s="4">
        <f t="shared" si="5"/>
        <v>1</v>
      </c>
      <c r="Z772" s="4" t="str">
        <f t="shared" si="6"/>
        <v>Unique</v>
      </c>
      <c r="AA772" s="4" t="str">
        <f t="shared" si="7"/>
        <v>Valid</v>
      </c>
    </row>
    <row r="773">
      <c r="A773" s="3" t="s">
        <v>1793</v>
      </c>
      <c r="B773" s="3">
        <v>7.6</v>
      </c>
      <c r="C773" s="17">
        <v>37477.78055555555</v>
      </c>
      <c r="D773" s="3">
        <v>0.0</v>
      </c>
      <c r="E773" s="3">
        <v>7.0</v>
      </c>
      <c r="F773" s="4"/>
      <c r="G773" s="3">
        <v>0.0</v>
      </c>
      <c r="H773" s="3">
        <v>889.0</v>
      </c>
      <c r="I773" s="3" t="s">
        <v>110</v>
      </c>
      <c r="J773" s="3">
        <v>428.0</v>
      </c>
      <c r="K773" s="3">
        <v>0.0</v>
      </c>
      <c r="L773" s="3">
        <v>0.0</v>
      </c>
      <c r="M773" s="3" t="s">
        <v>204</v>
      </c>
      <c r="N773" s="3">
        <v>13.0</v>
      </c>
      <c r="O773" s="3">
        <v>-3.302</v>
      </c>
      <c r="P773" s="3">
        <v>142.945</v>
      </c>
      <c r="Q773" s="3" t="s">
        <v>1115</v>
      </c>
      <c r="R773" s="4"/>
      <c r="S773" s="3" t="s">
        <v>168</v>
      </c>
      <c r="T773" s="16">
        <f t="shared" si="1"/>
        <v>37507.78056</v>
      </c>
      <c r="U773" s="4" t="b">
        <f t="shared" si="2"/>
        <v>1</v>
      </c>
      <c r="V773" s="4" t="b">
        <f t="shared" si="3"/>
        <v>1</v>
      </c>
      <c r="W773" s="4" t="str">
        <f t="shared" si="8"/>
        <v>Distance/Location</v>
      </c>
      <c r="X773" s="4" t="str">
        <f t="shared" si="4"/>
        <v>mwc</v>
      </c>
      <c r="Y773" s="4">
        <f t="shared" si="5"/>
        <v>1</v>
      </c>
      <c r="Z773" s="4" t="str">
        <f t="shared" si="6"/>
        <v>Unique</v>
      </c>
      <c r="AA773" s="4" t="str">
        <f t="shared" si="7"/>
        <v>Valid</v>
      </c>
    </row>
    <row r="774">
      <c r="A774" s="3" t="s">
        <v>1794</v>
      </c>
      <c r="B774" s="3">
        <v>6.5</v>
      </c>
      <c r="C774" s="3" t="s">
        <v>1795</v>
      </c>
      <c r="D774" s="3">
        <v>0.0</v>
      </c>
      <c r="E774" s="3">
        <v>4.0</v>
      </c>
      <c r="F774" s="4"/>
      <c r="G774" s="3">
        <v>0.0</v>
      </c>
      <c r="H774" s="3">
        <v>650.0</v>
      </c>
      <c r="I774" s="3" t="s">
        <v>110</v>
      </c>
      <c r="J774" s="3">
        <v>260.0</v>
      </c>
      <c r="K774" s="3">
        <v>0.0</v>
      </c>
      <c r="L774" s="3">
        <v>0.0</v>
      </c>
      <c r="M774" s="3" t="s">
        <v>204</v>
      </c>
      <c r="N774" s="3">
        <v>30.0</v>
      </c>
      <c r="O774" s="3">
        <v>14.101</v>
      </c>
      <c r="P774" s="3">
        <v>146.199</v>
      </c>
      <c r="Q774" s="3" t="s">
        <v>1796</v>
      </c>
      <c r="R774" s="4"/>
      <c r="S774" s="4"/>
      <c r="T774" s="16">
        <f t="shared" si="1"/>
        <v>37482.58125</v>
      </c>
      <c r="U774" s="4" t="b">
        <f t="shared" si="2"/>
        <v>1</v>
      </c>
      <c r="V774" s="4" t="b">
        <f t="shared" si="3"/>
        <v>0</v>
      </c>
      <c r="W774" s="4" t="str">
        <f t="shared" si="8"/>
        <v>Distance/Location</v>
      </c>
      <c r="X774" s="4" t="str">
        <f t="shared" si="4"/>
        <v>mwc</v>
      </c>
      <c r="Y774" s="4">
        <f t="shared" si="5"/>
        <v>1</v>
      </c>
      <c r="Z774" s="4" t="str">
        <f t="shared" si="6"/>
        <v>Unique</v>
      </c>
      <c r="AA774" s="4" t="str">
        <f t="shared" si="7"/>
        <v>Valid</v>
      </c>
    </row>
    <row r="775">
      <c r="A775" s="3" t="s">
        <v>1797</v>
      </c>
      <c r="B775" s="3">
        <v>6.5</v>
      </c>
      <c r="C775" s="3" t="s">
        <v>1798</v>
      </c>
      <c r="D775" s="3">
        <v>0.0</v>
      </c>
      <c r="E775" s="3">
        <v>7.0</v>
      </c>
      <c r="F775" s="4"/>
      <c r="G775" s="3">
        <v>0.0</v>
      </c>
      <c r="H775" s="3">
        <v>650.0</v>
      </c>
      <c r="I775" s="3" t="s">
        <v>110</v>
      </c>
      <c r="J775" s="3">
        <v>533.0</v>
      </c>
      <c r="K775" s="3">
        <v>0.0</v>
      </c>
      <c r="L775" s="3">
        <v>0.0</v>
      </c>
      <c r="M775" s="3" t="s">
        <v>204</v>
      </c>
      <c r="N775" s="3">
        <v>10.0</v>
      </c>
      <c r="O775" s="3">
        <v>7.929</v>
      </c>
      <c r="P775" s="3">
        <v>-82.793</v>
      </c>
      <c r="Q775" s="3" t="s">
        <v>950</v>
      </c>
      <c r="R775" s="4"/>
      <c r="S775" s="3" t="s">
        <v>229</v>
      </c>
      <c r="T775" s="16">
        <f t="shared" si="1"/>
        <v>37468.01111</v>
      </c>
      <c r="U775" s="4" t="b">
        <f t="shared" si="2"/>
        <v>1</v>
      </c>
      <c r="V775" s="4" t="b">
        <f t="shared" si="3"/>
        <v>0</v>
      </c>
      <c r="W775" s="4" t="str">
        <f t="shared" si="8"/>
        <v>Distance/Location</v>
      </c>
      <c r="X775" s="4" t="str">
        <f t="shared" si="4"/>
        <v>mwc</v>
      </c>
      <c r="Y775" s="4">
        <f t="shared" si="5"/>
        <v>1</v>
      </c>
      <c r="Z775" s="4" t="str">
        <f t="shared" si="6"/>
        <v>Unique</v>
      </c>
      <c r="AA775" s="4" t="str">
        <f t="shared" si="7"/>
        <v>Valid</v>
      </c>
    </row>
    <row r="776">
      <c r="A776" s="3" t="s">
        <v>1799</v>
      </c>
      <c r="B776" s="3">
        <v>6.5</v>
      </c>
      <c r="C776" s="3" t="s">
        <v>1800</v>
      </c>
      <c r="D776" s="3">
        <v>0.0</v>
      </c>
      <c r="E776" s="3">
        <v>8.0</v>
      </c>
      <c r="F776" s="4"/>
      <c r="G776" s="3">
        <v>0.0</v>
      </c>
      <c r="H776" s="3">
        <v>650.0</v>
      </c>
      <c r="I776" s="3" t="s">
        <v>110</v>
      </c>
      <c r="J776" s="3">
        <v>555.0</v>
      </c>
      <c r="K776" s="3">
        <v>0.0</v>
      </c>
      <c r="L776" s="3">
        <v>0.0</v>
      </c>
      <c r="M776" s="3" t="s">
        <v>204</v>
      </c>
      <c r="N776" s="3">
        <v>10.0</v>
      </c>
      <c r="O776" s="3">
        <v>35.626</v>
      </c>
      <c r="P776" s="3">
        <v>49.047</v>
      </c>
      <c r="Q776" s="3" t="s">
        <v>1801</v>
      </c>
      <c r="R776" s="3" t="s">
        <v>164</v>
      </c>
      <c r="S776" s="3" t="s">
        <v>665</v>
      </c>
      <c r="T776" s="16">
        <f t="shared" si="1"/>
        <v>37429.12361</v>
      </c>
      <c r="U776" s="4" t="b">
        <f t="shared" si="2"/>
        <v>1</v>
      </c>
      <c r="V776" s="4" t="b">
        <f t="shared" si="3"/>
        <v>0</v>
      </c>
      <c r="W776" s="4" t="str">
        <f t="shared" si="8"/>
        <v>Distance/Location</v>
      </c>
      <c r="X776" s="4" t="str">
        <f t="shared" si="4"/>
        <v>mwc</v>
      </c>
      <c r="Y776" s="4">
        <f t="shared" si="5"/>
        <v>1</v>
      </c>
      <c r="Z776" s="4" t="str">
        <f t="shared" si="6"/>
        <v>Unique</v>
      </c>
      <c r="AA776" s="4" t="str">
        <f t="shared" si="7"/>
        <v>Valid</v>
      </c>
    </row>
    <row r="777">
      <c r="A777" s="3" t="s">
        <v>1802</v>
      </c>
      <c r="B777" s="3">
        <v>6.6</v>
      </c>
      <c r="C777" s="3" t="s">
        <v>1803</v>
      </c>
      <c r="D777" s="3">
        <v>0.0</v>
      </c>
      <c r="E777" s="3">
        <v>7.0</v>
      </c>
      <c r="F777" s="4"/>
      <c r="G777" s="3">
        <v>0.0</v>
      </c>
      <c r="H777" s="3">
        <v>670.0</v>
      </c>
      <c r="I777" s="3" t="s">
        <v>110</v>
      </c>
      <c r="J777" s="3">
        <v>420.0</v>
      </c>
      <c r="K777" s="3">
        <v>0.0</v>
      </c>
      <c r="L777" s="3">
        <v>0.0</v>
      </c>
      <c r="M777" s="3" t="s">
        <v>224</v>
      </c>
      <c r="N777" s="3">
        <v>54.0</v>
      </c>
      <c r="O777" s="3">
        <v>-30.805</v>
      </c>
      <c r="P777" s="3">
        <v>-71.124</v>
      </c>
      <c r="Q777" s="3" t="s">
        <v>1804</v>
      </c>
      <c r="R777" s="3" t="s">
        <v>121</v>
      </c>
      <c r="S777" s="3" t="s">
        <v>414</v>
      </c>
      <c r="T777" s="16">
        <f t="shared" si="1"/>
        <v>37425.58056</v>
      </c>
      <c r="U777" s="4" t="b">
        <f t="shared" si="2"/>
        <v>1</v>
      </c>
      <c r="V777" s="4" t="b">
        <f t="shared" si="3"/>
        <v>0</v>
      </c>
      <c r="W777" s="4" t="str">
        <f t="shared" si="8"/>
        <v>Distance/Location</v>
      </c>
      <c r="X777" s="4" t="str">
        <f t="shared" si="4"/>
        <v>mwb</v>
      </c>
      <c r="Y777" s="4">
        <f t="shared" si="5"/>
        <v>1</v>
      </c>
      <c r="Z777" s="4" t="str">
        <f t="shared" si="6"/>
        <v>Unique</v>
      </c>
      <c r="AA777" s="4" t="str">
        <f t="shared" si="7"/>
        <v>Valid</v>
      </c>
    </row>
    <row r="778">
      <c r="A778" s="3" t="s">
        <v>1805</v>
      </c>
      <c r="B778" s="3">
        <v>6.7</v>
      </c>
      <c r="C778" s="3" t="s">
        <v>1806</v>
      </c>
      <c r="D778" s="3">
        <v>0.0</v>
      </c>
      <c r="E778" s="3">
        <v>5.0</v>
      </c>
      <c r="F778" s="4"/>
      <c r="G778" s="3">
        <v>0.0</v>
      </c>
      <c r="H778" s="3">
        <v>691.0</v>
      </c>
      <c r="I778" s="3" t="s">
        <v>110</v>
      </c>
      <c r="J778" s="3">
        <v>272.0</v>
      </c>
      <c r="K778" s="3">
        <v>0.0</v>
      </c>
      <c r="L778" s="3">
        <v>0.0</v>
      </c>
      <c r="M778" s="3" t="s">
        <v>204</v>
      </c>
      <c r="N778" s="3">
        <v>33.0</v>
      </c>
      <c r="O778" s="3">
        <v>-12.592</v>
      </c>
      <c r="P778" s="3">
        <v>166.383</v>
      </c>
      <c r="Q778" s="3" t="s">
        <v>112</v>
      </c>
      <c r="R778" s="4"/>
      <c r="S778" s="4"/>
      <c r="T778" s="16">
        <f t="shared" si="1"/>
        <v>37424.89306</v>
      </c>
      <c r="U778" s="4" t="b">
        <f t="shared" si="2"/>
        <v>1</v>
      </c>
      <c r="V778" s="4" t="b">
        <f t="shared" si="3"/>
        <v>0</v>
      </c>
      <c r="W778" s="4" t="str">
        <f t="shared" si="8"/>
        <v>Distance/Location</v>
      </c>
      <c r="X778" s="4" t="str">
        <f t="shared" si="4"/>
        <v>mwc</v>
      </c>
      <c r="Y778" s="4">
        <f t="shared" si="5"/>
        <v>1</v>
      </c>
      <c r="Z778" s="4" t="str">
        <f t="shared" si="6"/>
        <v>Unique</v>
      </c>
      <c r="AA778" s="4" t="str">
        <f t="shared" si="7"/>
        <v>Valid</v>
      </c>
    </row>
    <row r="779">
      <c r="A779" s="3" t="s">
        <v>1807</v>
      </c>
      <c r="B779" s="3">
        <v>7.1</v>
      </c>
      <c r="C779" s="3" t="s">
        <v>1808</v>
      </c>
      <c r="D779" s="3">
        <v>0.0</v>
      </c>
      <c r="E779" s="3">
        <v>7.0</v>
      </c>
      <c r="F779" s="4"/>
      <c r="G779" s="3">
        <v>0.0</v>
      </c>
      <c r="H779" s="3">
        <v>776.0</v>
      </c>
      <c r="I779" s="3" t="s">
        <v>110</v>
      </c>
      <c r="J779" s="3">
        <v>257.0</v>
      </c>
      <c r="K779" s="3">
        <v>0.0</v>
      </c>
      <c r="L779" s="3">
        <v>0.0</v>
      </c>
      <c r="M779" s="3" t="s">
        <v>204</v>
      </c>
      <c r="N779" s="3">
        <v>85.7</v>
      </c>
      <c r="O779" s="3">
        <v>13.088</v>
      </c>
      <c r="P779" s="3">
        <v>144.619</v>
      </c>
      <c r="Q779" s="3" t="s">
        <v>1809</v>
      </c>
      <c r="R779" s="4"/>
      <c r="S779" s="3" t="s">
        <v>318</v>
      </c>
      <c r="T779" s="16">
        <f t="shared" si="1"/>
        <v>37372.67083</v>
      </c>
      <c r="U779" s="4" t="b">
        <f t="shared" si="2"/>
        <v>1</v>
      </c>
      <c r="V779" s="4" t="b">
        <f t="shared" si="3"/>
        <v>0</v>
      </c>
      <c r="W779" s="4" t="str">
        <f t="shared" si="8"/>
        <v>Distance/Location</v>
      </c>
      <c r="X779" s="4" t="str">
        <f t="shared" si="4"/>
        <v>mwc</v>
      </c>
      <c r="Y779" s="4">
        <f t="shared" si="5"/>
        <v>1</v>
      </c>
      <c r="Z779" s="4" t="str">
        <f t="shared" si="6"/>
        <v>Unique</v>
      </c>
      <c r="AA779" s="4" t="str">
        <f t="shared" si="7"/>
        <v>Valid</v>
      </c>
    </row>
    <row r="780">
      <c r="A780" s="3" t="s">
        <v>1810</v>
      </c>
      <c r="B780" s="3">
        <v>6.7</v>
      </c>
      <c r="C780" s="3" t="s">
        <v>1811</v>
      </c>
      <c r="D780" s="3">
        <v>0.0</v>
      </c>
      <c r="E780" s="3">
        <v>7.0</v>
      </c>
      <c r="F780" s="4"/>
      <c r="G780" s="3">
        <v>0.0</v>
      </c>
      <c r="H780" s="3">
        <v>691.0</v>
      </c>
      <c r="I780" s="3" t="s">
        <v>110</v>
      </c>
      <c r="J780" s="3">
        <v>462.0</v>
      </c>
      <c r="K780" s="3">
        <v>0.0</v>
      </c>
      <c r="L780" s="3">
        <v>0.0</v>
      </c>
      <c r="M780" s="3" t="s">
        <v>224</v>
      </c>
      <c r="N780" s="3">
        <v>62.0</v>
      </c>
      <c r="O780" s="3">
        <v>-27.535</v>
      </c>
      <c r="P780" s="3">
        <v>-70.586</v>
      </c>
      <c r="Q780" s="3" t="s">
        <v>1583</v>
      </c>
      <c r="R780" s="3" t="s">
        <v>121</v>
      </c>
      <c r="S780" s="3" t="s">
        <v>414</v>
      </c>
      <c r="T780" s="16">
        <f t="shared" si="1"/>
        <v>37364.67222</v>
      </c>
      <c r="U780" s="4" t="b">
        <f t="shared" si="2"/>
        <v>1</v>
      </c>
      <c r="V780" s="4" t="b">
        <f t="shared" si="3"/>
        <v>0</v>
      </c>
      <c r="W780" s="4" t="str">
        <f t="shared" si="8"/>
        <v>Distance/Location</v>
      </c>
      <c r="X780" s="4" t="str">
        <f t="shared" si="4"/>
        <v>mwb</v>
      </c>
      <c r="Y780" s="4">
        <f t="shared" si="5"/>
        <v>1</v>
      </c>
      <c r="Z780" s="4" t="str">
        <f t="shared" si="6"/>
        <v>Unique</v>
      </c>
      <c r="AA780" s="4" t="str">
        <f t="shared" si="7"/>
        <v>Valid</v>
      </c>
    </row>
    <row r="781">
      <c r="A781" s="3" t="s">
        <v>1812</v>
      </c>
      <c r="B781" s="3">
        <v>6.8</v>
      </c>
      <c r="C781" s="3" t="s">
        <v>1813</v>
      </c>
      <c r="D781" s="3">
        <v>0.0</v>
      </c>
      <c r="E781" s="3">
        <v>6.0</v>
      </c>
      <c r="F781" s="4"/>
      <c r="G781" s="3">
        <v>0.0</v>
      </c>
      <c r="H781" s="3">
        <v>711.0</v>
      </c>
      <c r="I781" s="3" t="s">
        <v>110</v>
      </c>
      <c r="J781" s="3">
        <v>292.0</v>
      </c>
      <c r="K781" s="3">
        <v>0.0</v>
      </c>
      <c r="L781" s="3">
        <v>0.0</v>
      </c>
      <c r="M781" s="3" t="s">
        <v>204</v>
      </c>
      <c r="N781" s="3">
        <v>24.9</v>
      </c>
      <c r="O781" s="3">
        <v>16.985</v>
      </c>
      <c r="P781" s="3">
        <v>-100.865</v>
      </c>
      <c r="Q781" s="3" t="s">
        <v>1814</v>
      </c>
      <c r="R781" s="3" t="s">
        <v>233</v>
      </c>
      <c r="S781" s="4"/>
      <c r="T781" s="16">
        <f t="shared" si="1"/>
        <v>37364.20972</v>
      </c>
      <c r="U781" s="4" t="b">
        <f t="shared" si="2"/>
        <v>1</v>
      </c>
      <c r="V781" s="4" t="b">
        <f t="shared" si="3"/>
        <v>0</v>
      </c>
      <c r="W781" s="4" t="str">
        <f t="shared" si="8"/>
        <v>Distance/Location</v>
      </c>
      <c r="X781" s="4" t="str">
        <f t="shared" si="4"/>
        <v>mwc</v>
      </c>
      <c r="Y781" s="4">
        <f t="shared" si="5"/>
        <v>1</v>
      </c>
      <c r="Z781" s="4" t="str">
        <f t="shared" si="6"/>
        <v>Unique</v>
      </c>
      <c r="AA781" s="4" t="str">
        <f t="shared" si="7"/>
        <v>Valid</v>
      </c>
    </row>
    <row r="782">
      <c r="A782" s="3" t="s">
        <v>1815</v>
      </c>
      <c r="B782" s="3">
        <v>7.1</v>
      </c>
      <c r="C782" s="3" t="s">
        <v>1816</v>
      </c>
      <c r="D782" s="3">
        <v>0.0</v>
      </c>
      <c r="E782" s="3">
        <v>6.0</v>
      </c>
      <c r="F782" s="4"/>
      <c r="G782" s="3">
        <v>0.0</v>
      </c>
      <c r="H782" s="3">
        <v>776.0</v>
      </c>
      <c r="I782" s="3" t="s">
        <v>110</v>
      </c>
      <c r="J782" s="3">
        <v>550.0</v>
      </c>
      <c r="K782" s="3">
        <v>0.0</v>
      </c>
      <c r="L782" s="3">
        <v>0.0</v>
      </c>
      <c r="M782" s="3" t="s">
        <v>204</v>
      </c>
      <c r="N782" s="3">
        <v>32.8</v>
      </c>
      <c r="O782" s="3">
        <v>24.279</v>
      </c>
      <c r="P782" s="3">
        <v>122.179</v>
      </c>
      <c r="Q782" s="3" t="s">
        <v>279</v>
      </c>
      <c r="R782" s="3" t="s">
        <v>164</v>
      </c>
      <c r="S782" s="4"/>
      <c r="T782" s="16">
        <f t="shared" si="1"/>
        <v>37346.28611</v>
      </c>
      <c r="U782" s="4" t="b">
        <f t="shared" si="2"/>
        <v>1</v>
      </c>
      <c r="V782" s="4" t="b">
        <f t="shared" si="3"/>
        <v>0</v>
      </c>
      <c r="W782" s="4" t="str">
        <f t="shared" si="8"/>
        <v>Distance/Location</v>
      </c>
      <c r="X782" s="4" t="str">
        <f t="shared" si="4"/>
        <v>mwc</v>
      </c>
      <c r="Y782" s="4">
        <f t="shared" si="5"/>
        <v>1</v>
      </c>
      <c r="Z782" s="4" t="str">
        <f t="shared" si="6"/>
        <v>Unique</v>
      </c>
      <c r="AA782" s="4" t="str">
        <f t="shared" si="7"/>
        <v>Valid</v>
      </c>
    </row>
    <row r="783">
      <c r="A783" s="3" t="s">
        <v>1817</v>
      </c>
      <c r="B783" s="3">
        <v>6.5</v>
      </c>
      <c r="C783" s="3" t="s">
        <v>1818</v>
      </c>
      <c r="D783" s="3">
        <v>0.0</v>
      </c>
      <c r="E783" s="3">
        <v>5.0</v>
      </c>
      <c r="F783" s="4"/>
      <c r="G783" s="3">
        <v>0.0</v>
      </c>
      <c r="H783" s="3">
        <v>650.0</v>
      </c>
      <c r="I783" s="3" t="s">
        <v>110</v>
      </c>
      <c r="J783" s="3">
        <v>486.0</v>
      </c>
      <c r="K783" s="3">
        <v>0.0</v>
      </c>
      <c r="L783" s="3">
        <v>0.0</v>
      </c>
      <c r="M783" s="3" t="s">
        <v>204</v>
      </c>
      <c r="N783" s="3">
        <v>125.1</v>
      </c>
      <c r="O783" s="3">
        <v>-21.663</v>
      </c>
      <c r="P783" s="3">
        <v>-68.329</v>
      </c>
      <c r="Q783" s="3" t="s">
        <v>1819</v>
      </c>
      <c r="R783" s="3" t="s">
        <v>121</v>
      </c>
      <c r="S783" s="3" t="s">
        <v>414</v>
      </c>
      <c r="T783" s="16">
        <f t="shared" si="1"/>
        <v>37343.20556</v>
      </c>
      <c r="U783" s="4" t="b">
        <f t="shared" si="2"/>
        <v>1</v>
      </c>
      <c r="V783" s="4" t="b">
        <f t="shared" si="3"/>
        <v>0</v>
      </c>
      <c r="W783" s="4" t="str">
        <f t="shared" si="8"/>
        <v>Distance/Location</v>
      </c>
      <c r="X783" s="4" t="str">
        <f t="shared" si="4"/>
        <v>mwc</v>
      </c>
      <c r="Y783" s="4">
        <f t="shared" si="5"/>
        <v>1</v>
      </c>
      <c r="Z783" s="4" t="str">
        <f t="shared" si="6"/>
        <v>Unique</v>
      </c>
      <c r="AA783" s="4" t="str">
        <f t="shared" si="7"/>
        <v>Valid</v>
      </c>
    </row>
    <row r="784">
      <c r="A784" s="3" t="s">
        <v>1820</v>
      </c>
      <c r="B784" s="3">
        <v>7.5</v>
      </c>
      <c r="C784" s="17">
        <v>37379.88611111111</v>
      </c>
      <c r="D784" s="3">
        <v>0.0</v>
      </c>
      <c r="E784" s="3">
        <v>7.0</v>
      </c>
      <c r="F784" s="4"/>
      <c r="G784" s="3">
        <v>0.0</v>
      </c>
      <c r="H784" s="3">
        <v>865.0</v>
      </c>
      <c r="I784" s="3" t="s">
        <v>110</v>
      </c>
      <c r="J784" s="3">
        <v>321.0</v>
      </c>
      <c r="K784" s="3">
        <v>0.0</v>
      </c>
      <c r="L784" s="3">
        <v>0.0</v>
      </c>
      <c r="M784" s="3" t="s">
        <v>204</v>
      </c>
      <c r="N784" s="3">
        <v>31.0</v>
      </c>
      <c r="O784" s="3">
        <v>6.033</v>
      </c>
      <c r="P784" s="3">
        <v>124.249</v>
      </c>
      <c r="Q784" s="3" t="s">
        <v>1821</v>
      </c>
      <c r="R784" s="4"/>
      <c r="S784" s="3" t="s">
        <v>258</v>
      </c>
      <c r="T784" s="16">
        <f t="shared" si="1"/>
        <v>37320.88611</v>
      </c>
      <c r="U784" s="4" t="b">
        <f t="shared" si="2"/>
        <v>1</v>
      </c>
      <c r="V784" s="4" t="b">
        <f t="shared" si="3"/>
        <v>1</v>
      </c>
      <c r="W784" s="4" t="str">
        <f t="shared" si="8"/>
        <v>Named Region</v>
      </c>
      <c r="X784" s="4" t="str">
        <f t="shared" si="4"/>
        <v>mwc</v>
      </c>
      <c r="Y784" s="4">
        <f t="shared" si="5"/>
        <v>1</v>
      </c>
      <c r="Z784" s="4" t="str">
        <f t="shared" si="6"/>
        <v>Unique</v>
      </c>
      <c r="AA784" s="4" t="str">
        <f t="shared" si="7"/>
        <v>Valid</v>
      </c>
    </row>
    <row r="785">
      <c r="A785" s="3" t="s">
        <v>1822</v>
      </c>
      <c r="B785" s="3">
        <v>7.4</v>
      </c>
      <c r="C785" s="17">
        <v>37318.50555555556</v>
      </c>
      <c r="D785" s="3">
        <v>0.0</v>
      </c>
      <c r="E785" s="3">
        <v>5.0</v>
      </c>
      <c r="F785" s="4"/>
      <c r="G785" s="3">
        <v>0.0</v>
      </c>
      <c r="H785" s="3">
        <v>842.0</v>
      </c>
      <c r="I785" s="3" t="s">
        <v>110</v>
      </c>
      <c r="J785" s="3">
        <v>138.0</v>
      </c>
      <c r="K785" s="3">
        <v>0.0</v>
      </c>
      <c r="L785" s="3">
        <v>0.0</v>
      </c>
      <c r="M785" s="3" t="s">
        <v>204</v>
      </c>
      <c r="N785" s="3">
        <v>225.6</v>
      </c>
      <c r="O785" s="3">
        <v>36.502</v>
      </c>
      <c r="P785" s="3">
        <v>70.482</v>
      </c>
      <c r="Q785" s="3" t="s">
        <v>174</v>
      </c>
      <c r="R785" s="3" t="s">
        <v>164</v>
      </c>
      <c r="S785" s="3" t="s">
        <v>175</v>
      </c>
      <c r="T785" s="16">
        <f t="shared" si="1"/>
        <v>37318.50556</v>
      </c>
      <c r="U785" s="4" t="b">
        <f t="shared" si="2"/>
        <v>1</v>
      </c>
      <c r="V785" s="4" t="b">
        <f t="shared" si="3"/>
        <v>1</v>
      </c>
      <c r="W785" s="4" t="str">
        <f t="shared" si="8"/>
        <v>Distance/Location</v>
      </c>
      <c r="X785" s="4" t="str">
        <f t="shared" si="4"/>
        <v>mwc</v>
      </c>
      <c r="Y785" s="4">
        <f t="shared" si="5"/>
        <v>1</v>
      </c>
      <c r="Z785" s="4" t="str">
        <f t="shared" si="6"/>
        <v>Unique</v>
      </c>
      <c r="AA785" s="4" t="str">
        <f t="shared" si="7"/>
        <v>Valid</v>
      </c>
    </row>
    <row r="786">
      <c r="A786" s="3" t="s">
        <v>1823</v>
      </c>
      <c r="B786" s="3">
        <v>6.6</v>
      </c>
      <c r="C786" s="17">
        <v>37378.56041666667</v>
      </c>
      <c r="D786" s="3">
        <v>0.0</v>
      </c>
      <c r="E786" s="3">
        <v>6.0</v>
      </c>
      <c r="F786" s="4"/>
      <c r="G786" s="3">
        <v>0.0</v>
      </c>
      <c r="H786" s="3">
        <v>670.0</v>
      </c>
      <c r="I786" s="3" t="s">
        <v>110</v>
      </c>
      <c r="J786" s="3">
        <v>444.0</v>
      </c>
      <c r="K786" s="3">
        <v>0.0</v>
      </c>
      <c r="L786" s="3">
        <v>0.0</v>
      </c>
      <c r="M786" s="3" t="s">
        <v>204</v>
      </c>
      <c r="N786" s="3">
        <v>39.0</v>
      </c>
      <c r="O786" s="3">
        <v>-5.345</v>
      </c>
      <c r="P786" s="3">
        <v>151.248</v>
      </c>
      <c r="Q786" s="3" t="s">
        <v>187</v>
      </c>
      <c r="R786" s="4"/>
      <c r="S786" s="3" t="s">
        <v>168</v>
      </c>
      <c r="T786" s="16">
        <f t="shared" si="1"/>
        <v>37292.56042</v>
      </c>
      <c r="U786" s="4" t="b">
        <f t="shared" si="2"/>
        <v>1</v>
      </c>
      <c r="V786" s="4" t="b">
        <f t="shared" si="3"/>
        <v>1</v>
      </c>
      <c r="W786" s="4" t="str">
        <f t="shared" si="8"/>
        <v>Distance/Location</v>
      </c>
      <c r="X786" s="4" t="str">
        <f t="shared" si="4"/>
        <v>mwc</v>
      </c>
      <c r="Y786" s="4">
        <f t="shared" si="5"/>
        <v>1</v>
      </c>
      <c r="Z786" s="4" t="str">
        <f t="shared" si="6"/>
        <v>Unique</v>
      </c>
      <c r="AA786" s="4" t="str">
        <f t="shared" si="7"/>
        <v>Valid</v>
      </c>
    </row>
    <row r="787">
      <c r="A787" s="3" t="s">
        <v>1824</v>
      </c>
      <c r="B787" s="3">
        <v>6.5</v>
      </c>
      <c r="C787" s="17">
        <v>37317.299305555556</v>
      </c>
      <c r="D787" s="3">
        <v>0.0</v>
      </c>
      <c r="E787" s="3">
        <v>7.0</v>
      </c>
      <c r="F787" s="4"/>
      <c r="G787" s="3">
        <v>0.0</v>
      </c>
      <c r="H787" s="3">
        <v>650.0</v>
      </c>
      <c r="I787" s="3" t="s">
        <v>110</v>
      </c>
      <c r="J787" s="3">
        <v>482.0</v>
      </c>
      <c r="K787" s="3">
        <v>0.0</v>
      </c>
      <c r="L787" s="3">
        <v>0.0</v>
      </c>
      <c r="M787" s="3" t="s">
        <v>204</v>
      </c>
      <c r="N787" s="3">
        <v>5.0</v>
      </c>
      <c r="O787" s="3">
        <v>38.573</v>
      </c>
      <c r="P787" s="3">
        <v>31.271</v>
      </c>
      <c r="Q787" s="3" t="s">
        <v>1825</v>
      </c>
      <c r="R787" s="3" t="s">
        <v>164</v>
      </c>
      <c r="S787" s="3" t="s">
        <v>471</v>
      </c>
      <c r="T787" s="16">
        <f t="shared" si="1"/>
        <v>37290.29931</v>
      </c>
      <c r="U787" s="4" t="b">
        <f t="shared" si="2"/>
        <v>1</v>
      </c>
      <c r="V787" s="4" t="b">
        <f t="shared" si="3"/>
        <v>1</v>
      </c>
      <c r="W787" s="4" t="str">
        <f t="shared" si="8"/>
        <v>Distance/Location</v>
      </c>
      <c r="X787" s="4" t="str">
        <f t="shared" si="4"/>
        <v>mwc</v>
      </c>
      <c r="Y787" s="4">
        <f t="shared" si="5"/>
        <v>1</v>
      </c>
      <c r="Z787" s="4" t="str">
        <f t="shared" si="6"/>
        <v>Unique</v>
      </c>
      <c r="AA787" s="4" t="str">
        <f t="shared" si="7"/>
        <v>Valid</v>
      </c>
    </row>
    <row r="788">
      <c r="A788" s="3" t="s">
        <v>1826</v>
      </c>
      <c r="B788" s="3">
        <v>6.7</v>
      </c>
      <c r="C788" s="17">
        <v>37530.46805555555</v>
      </c>
      <c r="D788" s="3">
        <v>0.0</v>
      </c>
      <c r="E788" s="3">
        <v>8.0</v>
      </c>
      <c r="F788" s="4"/>
      <c r="G788" s="3">
        <v>0.0</v>
      </c>
      <c r="H788" s="3">
        <v>691.0</v>
      </c>
      <c r="I788" s="3" t="s">
        <v>110</v>
      </c>
      <c r="J788" s="3">
        <v>333.0</v>
      </c>
      <c r="K788" s="3">
        <v>0.0</v>
      </c>
      <c r="L788" s="3">
        <v>0.0</v>
      </c>
      <c r="M788" s="3" t="s">
        <v>204</v>
      </c>
      <c r="N788" s="3">
        <v>11.0</v>
      </c>
      <c r="O788" s="3">
        <v>-3.212</v>
      </c>
      <c r="P788" s="3">
        <v>142.427</v>
      </c>
      <c r="Q788" s="3" t="s">
        <v>1115</v>
      </c>
      <c r="R788" s="4"/>
      <c r="S788" s="3" t="s">
        <v>168</v>
      </c>
      <c r="T788" s="16">
        <f t="shared" si="1"/>
        <v>37266.46806</v>
      </c>
      <c r="U788" s="4" t="b">
        <f t="shared" si="2"/>
        <v>1</v>
      </c>
      <c r="V788" s="4" t="b">
        <f t="shared" si="3"/>
        <v>1</v>
      </c>
      <c r="W788" s="4" t="str">
        <f t="shared" si="8"/>
        <v>Distance/Location</v>
      </c>
      <c r="X788" s="4" t="str">
        <f t="shared" si="4"/>
        <v>mwc</v>
      </c>
      <c r="Y788" s="4">
        <f t="shared" si="5"/>
        <v>1</v>
      </c>
      <c r="Z788" s="4" t="str">
        <f t="shared" si="6"/>
        <v>Unique</v>
      </c>
      <c r="AA788" s="4" t="str">
        <f t="shared" si="7"/>
        <v>Valid</v>
      </c>
    </row>
    <row r="789">
      <c r="A789" s="3" t="s">
        <v>1827</v>
      </c>
      <c r="B789" s="3">
        <v>6.6</v>
      </c>
      <c r="C789" s="17">
        <v>37316.42847222222</v>
      </c>
      <c r="D789" s="3">
        <v>0.0</v>
      </c>
      <c r="E789" s="3">
        <v>6.0</v>
      </c>
      <c r="F789" s="4"/>
      <c r="G789" s="3">
        <v>0.0</v>
      </c>
      <c r="H789" s="3">
        <v>670.0</v>
      </c>
      <c r="I789" s="3" t="s">
        <v>110</v>
      </c>
      <c r="J789" s="3">
        <v>386.0</v>
      </c>
      <c r="K789" s="3">
        <v>0.0</v>
      </c>
      <c r="L789" s="3">
        <v>0.0</v>
      </c>
      <c r="M789" s="3" t="s">
        <v>204</v>
      </c>
      <c r="N789" s="3">
        <v>10.0</v>
      </c>
      <c r="O789" s="3">
        <v>-17.664</v>
      </c>
      <c r="P789" s="3">
        <v>168.004</v>
      </c>
      <c r="Q789" s="3" t="s">
        <v>948</v>
      </c>
      <c r="R789" s="4"/>
      <c r="S789" s="3" t="s">
        <v>113</v>
      </c>
      <c r="T789" s="16">
        <f t="shared" si="1"/>
        <v>37259.42847</v>
      </c>
      <c r="U789" s="4" t="b">
        <f t="shared" si="2"/>
        <v>1</v>
      </c>
      <c r="V789" s="4" t="b">
        <f t="shared" si="3"/>
        <v>1</v>
      </c>
      <c r="W789" s="4" t="str">
        <f t="shared" si="8"/>
        <v>Distance/Location</v>
      </c>
      <c r="X789" s="4" t="str">
        <f t="shared" si="4"/>
        <v>mwc</v>
      </c>
      <c r="Y789" s="4">
        <f t="shared" si="5"/>
        <v>1</v>
      </c>
      <c r="Z789" s="4" t="str">
        <f t="shared" si="6"/>
        <v>Unique</v>
      </c>
      <c r="AA789" s="4" t="str">
        <f t="shared" si="7"/>
        <v>Valid</v>
      </c>
    </row>
    <row r="790">
      <c r="A790" s="3" t="s">
        <v>1828</v>
      </c>
      <c r="B790" s="3">
        <v>7.2</v>
      </c>
      <c r="C790" s="17">
        <v>37288.72361111111</v>
      </c>
      <c r="D790" s="3">
        <v>0.0</v>
      </c>
      <c r="E790" s="3">
        <v>6.0</v>
      </c>
      <c r="F790" s="4"/>
      <c r="G790" s="3">
        <v>0.0</v>
      </c>
      <c r="H790" s="3">
        <v>798.0</v>
      </c>
      <c r="I790" s="3" t="s">
        <v>110</v>
      </c>
      <c r="J790" s="3">
        <v>427.0</v>
      </c>
      <c r="K790" s="3">
        <v>0.0</v>
      </c>
      <c r="L790" s="3">
        <v>0.0</v>
      </c>
      <c r="M790" s="3" t="s">
        <v>204</v>
      </c>
      <c r="N790" s="3">
        <v>21.0</v>
      </c>
      <c r="O790" s="3">
        <v>-17.6</v>
      </c>
      <c r="P790" s="3">
        <v>167.856</v>
      </c>
      <c r="Q790" s="3" t="s">
        <v>948</v>
      </c>
      <c r="R790" s="4"/>
      <c r="S790" s="3" t="s">
        <v>113</v>
      </c>
      <c r="T790" s="16">
        <f t="shared" si="1"/>
        <v>37258.72361</v>
      </c>
      <c r="U790" s="4" t="b">
        <f t="shared" si="2"/>
        <v>1</v>
      </c>
      <c r="V790" s="4" t="b">
        <f t="shared" si="3"/>
        <v>1</v>
      </c>
      <c r="W790" s="4" t="str">
        <f t="shared" si="8"/>
        <v>Distance/Location</v>
      </c>
      <c r="X790" s="4" t="str">
        <f t="shared" si="4"/>
        <v>mwc</v>
      </c>
      <c r="Y790" s="4">
        <f t="shared" si="5"/>
        <v>1</v>
      </c>
      <c r="Z790" s="4" t="str">
        <f t="shared" si="6"/>
        <v>Unique</v>
      </c>
      <c r="AA790" s="4" t="str">
        <f t="shared" si="7"/>
        <v>Valid</v>
      </c>
    </row>
    <row r="791">
      <c r="A791" s="3" t="s">
        <v>1829</v>
      </c>
      <c r="B791" s="3">
        <v>6.8</v>
      </c>
      <c r="C791" s="3" t="s">
        <v>1830</v>
      </c>
      <c r="D791" s="3">
        <v>0.0</v>
      </c>
      <c r="E791" s="3">
        <v>7.0</v>
      </c>
      <c r="F791" s="4"/>
      <c r="G791" s="3">
        <v>0.0</v>
      </c>
      <c r="H791" s="3">
        <v>711.0</v>
      </c>
      <c r="I791" s="3" t="s">
        <v>110</v>
      </c>
      <c r="J791" s="3">
        <v>385.0</v>
      </c>
      <c r="K791" s="3">
        <v>0.0</v>
      </c>
      <c r="L791" s="3">
        <v>0.0</v>
      </c>
      <c r="M791" s="3" t="s">
        <v>204</v>
      </c>
      <c r="N791" s="3">
        <v>16.0</v>
      </c>
      <c r="O791" s="3">
        <v>-9.613</v>
      </c>
      <c r="P791" s="3">
        <v>159.53</v>
      </c>
      <c r="Q791" s="3" t="s">
        <v>212</v>
      </c>
      <c r="R791" s="4"/>
      <c r="S791" s="3" t="s">
        <v>214</v>
      </c>
      <c r="T791" s="16">
        <f t="shared" si="1"/>
        <v>37248.95278</v>
      </c>
      <c r="U791" s="4" t="b">
        <f t="shared" si="2"/>
        <v>1</v>
      </c>
      <c r="V791" s="4" t="b">
        <f t="shared" si="3"/>
        <v>0</v>
      </c>
      <c r="W791" s="4" t="str">
        <f t="shared" si="8"/>
        <v>Distance/Location</v>
      </c>
      <c r="X791" s="4" t="str">
        <f t="shared" si="4"/>
        <v>mwc</v>
      </c>
      <c r="Y791" s="4">
        <f t="shared" si="5"/>
        <v>1</v>
      </c>
      <c r="Z791" s="4" t="str">
        <f t="shared" si="6"/>
        <v>Unique</v>
      </c>
      <c r="AA791" s="4" t="str">
        <f t="shared" si="7"/>
        <v>Valid</v>
      </c>
    </row>
    <row r="792">
      <c r="A792" s="3" t="s">
        <v>1831</v>
      </c>
      <c r="B792" s="3">
        <v>6.8</v>
      </c>
      <c r="C792" s="3" t="s">
        <v>1832</v>
      </c>
      <c r="D792" s="3">
        <v>0.0</v>
      </c>
      <c r="E792" s="3">
        <v>5.0</v>
      </c>
      <c r="F792" s="4"/>
      <c r="G792" s="3">
        <v>0.0</v>
      </c>
      <c r="H792" s="3">
        <v>711.0</v>
      </c>
      <c r="I792" s="3" t="s">
        <v>110</v>
      </c>
      <c r="J792" s="3">
        <v>499.0</v>
      </c>
      <c r="K792" s="3">
        <v>0.0</v>
      </c>
      <c r="L792" s="3">
        <v>0.0</v>
      </c>
      <c r="M792" s="3" t="s">
        <v>204</v>
      </c>
      <c r="N792" s="3">
        <v>14.0</v>
      </c>
      <c r="O792" s="3">
        <v>23.954</v>
      </c>
      <c r="P792" s="3">
        <v>122.734</v>
      </c>
      <c r="Q792" s="3" t="s">
        <v>1690</v>
      </c>
      <c r="R792" s="4"/>
      <c r="S792" s="4"/>
      <c r="T792" s="16">
        <f t="shared" si="1"/>
        <v>37243.16806</v>
      </c>
      <c r="U792" s="4" t="b">
        <f t="shared" si="2"/>
        <v>1</v>
      </c>
      <c r="V792" s="4" t="b">
        <f t="shared" si="3"/>
        <v>0</v>
      </c>
      <c r="W792" s="4" t="str">
        <f t="shared" si="8"/>
        <v>Distance/Location</v>
      </c>
      <c r="X792" s="4" t="str">
        <f t="shared" si="4"/>
        <v>mwc</v>
      </c>
      <c r="Y792" s="4">
        <f t="shared" si="5"/>
        <v>1</v>
      </c>
      <c r="Z792" s="4" t="str">
        <f t="shared" si="6"/>
        <v>Unique</v>
      </c>
      <c r="AA792" s="4" t="str">
        <f t="shared" si="7"/>
        <v>Valid</v>
      </c>
    </row>
    <row r="793">
      <c r="A793" s="3" t="s">
        <v>1833</v>
      </c>
      <c r="B793" s="3">
        <v>6.5</v>
      </c>
      <c r="C793" s="17">
        <v>36934.54236111111</v>
      </c>
      <c r="D793" s="3">
        <v>0.0</v>
      </c>
      <c r="E793" s="3">
        <v>5.0</v>
      </c>
      <c r="F793" s="4"/>
      <c r="G793" s="3">
        <v>0.0</v>
      </c>
      <c r="H793" s="3">
        <v>650.0</v>
      </c>
      <c r="I793" s="3" t="s">
        <v>110</v>
      </c>
      <c r="J793" s="3">
        <v>605.0</v>
      </c>
      <c r="K793" s="3">
        <v>0.0</v>
      </c>
      <c r="L793" s="3">
        <v>0.0</v>
      </c>
      <c r="M793" s="3" t="s">
        <v>204</v>
      </c>
      <c r="N793" s="3">
        <v>123.8</v>
      </c>
      <c r="O793" s="3">
        <v>39.402</v>
      </c>
      <c r="P793" s="3">
        <v>141.089</v>
      </c>
      <c r="Q793" s="3" t="s">
        <v>1834</v>
      </c>
      <c r="R793" s="3" t="s">
        <v>164</v>
      </c>
      <c r="S793" s="3" t="s">
        <v>371</v>
      </c>
      <c r="T793" s="16">
        <f t="shared" si="1"/>
        <v>37227.54236</v>
      </c>
      <c r="U793" s="4" t="b">
        <f t="shared" si="2"/>
        <v>1</v>
      </c>
      <c r="V793" s="4" t="b">
        <f t="shared" si="3"/>
        <v>1</v>
      </c>
      <c r="W793" s="4" t="str">
        <f t="shared" si="8"/>
        <v>Distance/Location</v>
      </c>
      <c r="X793" s="4" t="str">
        <f t="shared" si="4"/>
        <v>mwc</v>
      </c>
      <c r="Y793" s="4">
        <f t="shared" si="5"/>
        <v>1</v>
      </c>
      <c r="Z793" s="4" t="str">
        <f t="shared" si="6"/>
        <v>Unique</v>
      </c>
      <c r="AA793" s="4" t="str">
        <f t="shared" si="7"/>
        <v>Valid</v>
      </c>
    </row>
    <row r="794">
      <c r="A794" s="3" t="s">
        <v>1835</v>
      </c>
      <c r="B794" s="3">
        <v>7.8</v>
      </c>
      <c r="C794" s="3" t="s">
        <v>1836</v>
      </c>
      <c r="D794" s="3">
        <v>0.0</v>
      </c>
      <c r="E794" s="3">
        <v>9.0</v>
      </c>
      <c r="F794" s="4"/>
      <c r="G794" s="3">
        <v>0.0</v>
      </c>
      <c r="H794" s="3">
        <v>936.0</v>
      </c>
      <c r="I794" s="3" t="s">
        <v>110</v>
      </c>
      <c r="J794" s="3">
        <v>368.0</v>
      </c>
      <c r="K794" s="3">
        <v>0.0</v>
      </c>
      <c r="L794" s="3">
        <v>0.0</v>
      </c>
      <c r="M794" s="3" t="s">
        <v>204</v>
      </c>
      <c r="N794" s="3">
        <v>10.0</v>
      </c>
      <c r="O794" s="3">
        <v>35.946</v>
      </c>
      <c r="P794" s="3">
        <v>90.541</v>
      </c>
      <c r="Q794" s="3" t="s">
        <v>365</v>
      </c>
      <c r="R794" s="3" t="s">
        <v>164</v>
      </c>
      <c r="S794" s="3" t="s">
        <v>251</v>
      </c>
      <c r="T794" s="16">
        <f t="shared" si="1"/>
        <v>37209.39306</v>
      </c>
      <c r="U794" s="4" t="b">
        <f t="shared" si="2"/>
        <v>1</v>
      </c>
      <c r="V794" s="4" t="b">
        <f t="shared" si="3"/>
        <v>0</v>
      </c>
      <c r="W794" s="4" t="str">
        <f t="shared" si="8"/>
        <v>Named Region</v>
      </c>
      <c r="X794" s="4" t="str">
        <f t="shared" si="4"/>
        <v>mwc</v>
      </c>
      <c r="Y794" s="4">
        <f t="shared" si="5"/>
        <v>1</v>
      </c>
      <c r="Z794" s="4" t="str">
        <f t="shared" si="6"/>
        <v>Unique</v>
      </c>
      <c r="AA794" s="4" t="str">
        <f t="shared" si="7"/>
        <v>Valid</v>
      </c>
    </row>
    <row r="795">
      <c r="A795" s="3" t="s">
        <v>1837</v>
      </c>
      <c r="B795" s="3">
        <v>7.0</v>
      </c>
      <c r="C795" s="3" t="s">
        <v>1838</v>
      </c>
      <c r="D795" s="3">
        <v>0.0</v>
      </c>
      <c r="E795" s="3">
        <v>7.0</v>
      </c>
      <c r="F795" s="4"/>
      <c r="G795" s="3">
        <v>0.0</v>
      </c>
      <c r="H795" s="3">
        <v>754.0</v>
      </c>
      <c r="I795" s="3" t="s">
        <v>110</v>
      </c>
      <c r="J795" s="3">
        <v>254.0</v>
      </c>
      <c r="K795" s="3">
        <v>0.0</v>
      </c>
      <c r="L795" s="3">
        <v>0.0</v>
      </c>
      <c r="M795" s="3" t="s">
        <v>204</v>
      </c>
      <c r="N795" s="3">
        <v>33.0</v>
      </c>
      <c r="O795" s="3">
        <v>-5.912</v>
      </c>
      <c r="P795" s="3">
        <v>150.196</v>
      </c>
      <c r="Q795" s="3" t="s">
        <v>187</v>
      </c>
      <c r="R795" s="4"/>
      <c r="S795" s="3" t="s">
        <v>168</v>
      </c>
      <c r="T795" s="16">
        <f t="shared" si="1"/>
        <v>37195.38194</v>
      </c>
      <c r="U795" s="4" t="b">
        <f t="shared" si="2"/>
        <v>1</v>
      </c>
      <c r="V795" s="4" t="b">
        <f t="shared" si="3"/>
        <v>0</v>
      </c>
      <c r="W795" s="4" t="str">
        <f t="shared" si="8"/>
        <v>Distance/Location</v>
      </c>
      <c r="X795" s="4" t="str">
        <f t="shared" si="4"/>
        <v>mwc</v>
      </c>
      <c r="Y795" s="4">
        <f t="shared" si="5"/>
        <v>1</v>
      </c>
      <c r="Z795" s="4" t="str">
        <f t="shared" si="6"/>
        <v>Unique</v>
      </c>
      <c r="AA795" s="4" t="str">
        <f t="shared" si="7"/>
        <v>Valid</v>
      </c>
    </row>
    <row r="796">
      <c r="A796" s="3" t="s">
        <v>1839</v>
      </c>
      <c r="B796" s="3">
        <v>7.5</v>
      </c>
      <c r="C796" s="3" t="s">
        <v>1840</v>
      </c>
      <c r="D796" s="3">
        <v>0.0</v>
      </c>
      <c r="E796" s="3">
        <v>6.0</v>
      </c>
      <c r="F796" s="4"/>
      <c r="G796" s="3">
        <v>0.0</v>
      </c>
      <c r="H796" s="3">
        <v>865.0</v>
      </c>
      <c r="I796" s="3" t="s">
        <v>110</v>
      </c>
      <c r="J796" s="3">
        <v>234.0</v>
      </c>
      <c r="K796" s="3">
        <v>0.0</v>
      </c>
      <c r="L796" s="3">
        <v>0.0</v>
      </c>
      <c r="M796" s="3" t="s">
        <v>204</v>
      </c>
      <c r="N796" s="3">
        <v>33.0</v>
      </c>
      <c r="O796" s="3">
        <v>-4.102</v>
      </c>
      <c r="P796" s="3">
        <v>123.907</v>
      </c>
      <c r="Q796" s="3" t="s">
        <v>1841</v>
      </c>
      <c r="R796" s="4"/>
      <c r="S796" s="3" t="s">
        <v>153</v>
      </c>
      <c r="T796" s="16">
        <f t="shared" si="1"/>
        <v>37183.14444</v>
      </c>
      <c r="U796" s="4" t="b">
        <f t="shared" si="2"/>
        <v>1</v>
      </c>
      <c r="V796" s="4" t="b">
        <f t="shared" si="3"/>
        <v>0</v>
      </c>
      <c r="W796" s="4" t="str">
        <f t="shared" si="8"/>
        <v>Distance/Location</v>
      </c>
      <c r="X796" s="4" t="str">
        <f t="shared" si="4"/>
        <v>mwc</v>
      </c>
      <c r="Y796" s="4">
        <f t="shared" si="5"/>
        <v>1</v>
      </c>
      <c r="Z796" s="4" t="str">
        <f t="shared" si="6"/>
        <v>Unique</v>
      </c>
      <c r="AA796" s="4" t="str">
        <f t="shared" si="7"/>
        <v>Valid</v>
      </c>
    </row>
    <row r="797">
      <c r="A797" s="3" t="s">
        <v>1842</v>
      </c>
      <c r="B797" s="3">
        <v>7.0</v>
      </c>
      <c r="C797" s="18">
        <v>37235.626388888886</v>
      </c>
      <c r="D797" s="3">
        <v>0.0</v>
      </c>
      <c r="E797" s="3">
        <v>6.0</v>
      </c>
      <c r="F797" s="4"/>
      <c r="G797" s="3">
        <v>0.0</v>
      </c>
      <c r="H797" s="3">
        <v>754.0</v>
      </c>
      <c r="I797" s="3" t="s">
        <v>110</v>
      </c>
      <c r="J797" s="3">
        <v>482.0</v>
      </c>
      <c r="K797" s="3">
        <v>0.0</v>
      </c>
      <c r="L797" s="3">
        <v>0.0</v>
      </c>
      <c r="M797" s="3" t="s">
        <v>204</v>
      </c>
      <c r="N797" s="3">
        <v>37.0</v>
      </c>
      <c r="O797" s="3">
        <v>12.686</v>
      </c>
      <c r="P797" s="3">
        <v>144.98</v>
      </c>
      <c r="Q797" s="3" t="s">
        <v>1843</v>
      </c>
      <c r="R797" s="4"/>
      <c r="S797" s="4"/>
      <c r="T797" s="16">
        <f t="shared" si="1"/>
        <v>37176.62639</v>
      </c>
      <c r="U797" s="4" t="b">
        <f t="shared" si="2"/>
        <v>1</v>
      </c>
      <c r="V797" s="4" t="b">
        <f t="shared" si="3"/>
        <v>1</v>
      </c>
      <c r="W797" s="4" t="str">
        <f t="shared" si="8"/>
        <v>Distance/Location</v>
      </c>
      <c r="X797" s="4" t="str">
        <f t="shared" si="4"/>
        <v>mwc</v>
      </c>
      <c r="Y797" s="4">
        <f t="shared" si="5"/>
        <v>1</v>
      </c>
      <c r="Z797" s="4" t="str">
        <f t="shared" si="6"/>
        <v>Unique</v>
      </c>
      <c r="AA797" s="4" t="str">
        <f t="shared" si="7"/>
        <v>Valid</v>
      </c>
    </row>
    <row r="798">
      <c r="A798" s="3" t="s">
        <v>1844</v>
      </c>
      <c r="B798" s="3">
        <v>6.5</v>
      </c>
      <c r="C798" s="17">
        <v>37204.62222222222</v>
      </c>
      <c r="D798" s="3">
        <v>0.0</v>
      </c>
      <c r="E798" s="3">
        <v>6.0</v>
      </c>
      <c r="F798" s="4"/>
      <c r="G798" s="3">
        <v>0.0</v>
      </c>
      <c r="H798" s="3">
        <v>650.0</v>
      </c>
      <c r="I798" s="3" t="s">
        <v>110</v>
      </c>
      <c r="J798" s="3">
        <v>174.0</v>
      </c>
      <c r="K798" s="3">
        <v>0.0</v>
      </c>
      <c r="L798" s="3">
        <v>0.0</v>
      </c>
      <c r="M798" s="3" t="s">
        <v>204</v>
      </c>
      <c r="N798" s="3">
        <v>33.0</v>
      </c>
      <c r="O798" s="3">
        <v>-0.578</v>
      </c>
      <c r="P798" s="3">
        <v>133.13</v>
      </c>
      <c r="Q798" s="3" t="s">
        <v>1182</v>
      </c>
      <c r="R798" s="4"/>
      <c r="S798" s="3" t="s">
        <v>153</v>
      </c>
      <c r="T798" s="16">
        <f t="shared" si="1"/>
        <v>37145.62222</v>
      </c>
      <c r="U798" s="4" t="b">
        <f t="shared" si="2"/>
        <v>1</v>
      </c>
      <c r="V798" s="4" t="b">
        <f t="shared" si="3"/>
        <v>1</v>
      </c>
      <c r="W798" s="4" t="str">
        <f t="shared" si="8"/>
        <v>Distance/Location</v>
      </c>
      <c r="X798" s="4" t="str">
        <f t="shared" si="4"/>
        <v>mwc</v>
      </c>
      <c r="Y798" s="4">
        <f t="shared" si="5"/>
        <v>1</v>
      </c>
      <c r="Z798" s="4" t="str">
        <f t="shared" si="6"/>
        <v>Unique</v>
      </c>
      <c r="AA798" s="4" t="str">
        <f t="shared" si="7"/>
        <v>Valid</v>
      </c>
    </row>
    <row r="799">
      <c r="A799" s="3" t="s">
        <v>1845</v>
      </c>
      <c r="B799" s="3">
        <v>6.6</v>
      </c>
      <c r="C799" s="3" t="s">
        <v>1846</v>
      </c>
      <c r="D799" s="3">
        <v>6.0</v>
      </c>
      <c r="E799" s="3">
        <v>6.0</v>
      </c>
      <c r="F799" s="4"/>
      <c r="G799" s="3">
        <v>0.0</v>
      </c>
      <c r="H799" s="3">
        <v>754.0</v>
      </c>
      <c r="I799" s="3" t="s">
        <v>316</v>
      </c>
      <c r="J799" s="3">
        <v>0.0</v>
      </c>
      <c r="K799" s="3">
        <v>0.0</v>
      </c>
      <c r="L799" s="3">
        <v>0.0</v>
      </c>
      <c r="M799" s="3" t="s">
        <v>514</v>
      </c>
      <c r="N799" s="3">
        <v>131.8</v>
      </c>
      <c r="O799" s="3">
        <v>58.775</v>
      </c>
      <c r="P799" s="3">
        <v>-154.701</v>
      </c>
      <c r="Q799" s="3" t="s">
        <v>1847</v>
      </c>
      <c r="R799" s="3" t="s">
        <v>233</v>
      </c>
      <c r="S799" s="3" t="s">
        <v>318</v>
      </c>
      <c r="T799" s="16">
        <f t="shared" si="1"/>
        <v>37100.31389</v>
      </c>
      <c r="U799" s="4" t="b">
        <f t="shared" si="2"/>
        <v>1</v>
      </c>
      <c r="V799" s="4" t="b">
        <f t="shared" si="3"/>
        <v>0</v>
      </c>
      <c r="W799" s="4" t="str">
        <f t="shared" si="8"/>
        <v>Distance/Location</v>
      </c>
      <c r="X799" s="4" t="str">
        <f t="shared" si="4"/>
        <v>mw</v>
      </c>
      <c r="Y799" s="4">
        <f t="shared" si="5"/>
        <v>1</v>
      </c>
      <c r="Z799" s="4" t="str">
        <f t="shared" si="6"/>
        <v>Unique</v>
      </c>
      <c r="AA799" s="4" t="str">
        <f t="shared" si="7"/>
        <v>Valid</v>
      </c>
    </row>
    <row r="800">
      <c r="A800" s="3" t="s">
        <v>1848</v>
      </c>
      <c r="B800" s="3">
        <v>6.5</v>
      </c>
      <c r="C800" s="3" t="s">
        <v>1849</v>
      </c>
      <c r="D800" s="3">
        <v>0.0</v>
      </c>
      <c r="E800" s="3">
        <v>8.0</v>
      </c>
      <c r="F800" s="4"/>
      <c r="G800" s="3">
        <v>0.0</v>
      </c>
      <c r="H800" s="3">
        <v>650.0</v>
      </c>
      <c r="I800" s="3" t="s">
        <v>110</v>
      </c>
      <c r="J800" s="3">
        <v>483.0</v>
      </c>
      <c r="K800" s="3">
        <v>0.0</v>
      </c>
      <c r="L800" s="3">
        <v>0.0</v>
      </c>
      <c r="M800" s="3" t="s">
        <v>204</v>
      </c>
      <c r="N800" s="3">
        <v>10.0</v>
      </c>
      <c r="O800" s="3">
        <v>39.059</v>
      </c>
      <c r="P800" s="3">
        <v>24.244</v>
      </c>
      <c r="Q800" s="3" t="s">
        <v>1850</v>
      </c>
      <c r="R800" s="3" t="s">
        <v>404</v>
      </c>
      <c r="S800" s="3" t="s">
        <v>405</v>
      </c>
      <c r="T800" s="16">
        <f t="shared" si="1"/>
        <v>37098.01458</v>
      </c>
      <c r="U800" s="4" t="b">
        <f t="shared" si="2"/>
        <v>1</v>
      </c>
      <c r="V800" s="4" t="b">
        <f t="shared" si="3"/>
        <v>0</v>
      </c>
      <c r="W800" s="4" t="str">
        <f t="shared" si="8"/>
        <v>Distance/Location</v>
      </c>
      <c r="X800" s="4" t="str">
        <f t="shared" si="4"/>
        <v>mwc</v>
      </c>
      <c r="Y800" s="4">
        <f t="shared" si="5"/>
        <v>1</v>
      </c>
      <c r="Z800" s="4" t="str">
        <f t="shared" si="6"/>
        <v>Unique</v>
      </c>
      <c r="AA800" s="4" t="str">
        <f t="shared" si="7"/>
        <v>Valid</v>
      </c>
    </row>
    <row r="801">
      <c r="A801" s="3" t="s">
        <v>1851</v>
      </c>
      <c r="B801" s="3">
        <v>7.6</v>
      </c>
      <c r="C801" s="17">
        <v>37079.40138888889</v>
      </c>
      <c r="D801" s="3">
        <v>0.0</v>
      </c>
      <c r="E801" s="3">
        <v>7.0</v>
      </c>
      <c r="F801" s="4"/>
      <c r="G801" s="3">
        <v>0.0</v>
      </c>
      <c r="H801" s="3">
        <v>889.0</v>
      </c>
      <c r="I801" s="3" t="s">
        <v>110</v>
      </c>
      <c r="J801" s="3">
        <v>398.0</v>
      </c>
      <c r="K801" s="3">
        <v>0.0</v>
      </c>
      <c r="L801" s="3">
        <v>0.0</v>
      </c>
      <c r="M801" s="3" t="s">
        <v>204</v>
      </c>
      <c r="N801" s="3">
        <v>33.0</v>
      </c>
      <c r="O801" s="3">
        <v>-17.543</v>
      </c>
      <c r="P801" s="3">
        <v>-72.077</v>
      </c>
      <c r="Q801" s="3" t="s">
        <v>1852</v>
      </c>
      <c r="R801" s="4"/>
      <c r="S801" s="3" t="s">
        <v>265</v>
      </c>
      <c r="T801" s="16">
        <f t="shared" si="1"/>
        <v>37079.40139</v>
      </c>
      <c r="U801" s="4" t="b">
        <f t="shared" si="2"/>
        <v>1</v>
      </c>
      <c r="V801" s="4" t="b">
        <f t="shared" si="3"/>
        <v>1</v>
      </c>
      <c r="W801" s="4" t="str">
        <f t="shared" si="8"/>
        <v>Distance/Location</v>
      </c>
      <c r="X801" s="4" t="str">
        <f t="shared" si="4"/>
        <v>mwc</v>
      </c>
      <c r="Y801" s="4">
        <f t="shared" si="5"/>
        <v>1</v>
      </c>
      <c r="Z801" s="4" t="str">
        <f t="shared" si="6"/>
        <v>Unique</v>
      </c>
      <c r="AA801" s="4" t="str">
        <f t="shared" si="7"/>
        <v>Valid</v>
      </c>
    </row>
    <row r="802">
      <c r="A802" s="3" t="s">
        <v>1853</v>
      </c>
      <c r="B802" s="3">
        <v>6.6</v>
      </c>
      <c r="C802" s="17">
        <v>37018.57847222222</v>
      </c>
      <c r="D802" s="3">
        <v>0.0</v>
      </c>
      <c r="E802" s="3">
        <v>7.0</v>
      </c>
      <c r="F802" s="4"/>
      <c r="G802" s="3">
        <v>0.0</v>
      </c>
      <c r="H802" s="3">
        <v>670.0</v>
      </c>
      <c r="I802" s="3" t="s">
        <v>110</v>
      </c>
      <c r="J802" s="3">
        <v>324.0</v>
      </c>
      <c r="K802" s="3">
        <v>0.0</v>
      </c>
      <c r="L802" s="3">
        <v>0.0</v>
      </c>
      <c r="M802" s="3" t="s">
        <v>204</v>
      </c>
      <c r="N802" s="3">
        <v>62.0</v>
      </c>
      <c r="O802" s="3">
        <v>-16.086</v>
      </c>
      <c r="P802" s="3">
        <v>-73.987</v>
      </c>
      <c r="Q802" s="3" t="s">
        <v>1854</v>
      </c>
      <c r="R802" s="4"/>
      <c r="S802" s="3" t="s">
        <v>265</v>
      </c>
      <c r="T802" s="16">
        <f t="shared" si="1"/>
        <v>37077.57847</v>
      </c>
      <c r="U802" s="4" t="b">
        <f t="shared" si="2"/>
        <v>1</v>
      </c>
      <c r="V802" s="4" t="b">
        <f t="shared" si="3"/>
        <v>1</v>
      </c>
      <c r="W802" s="4" t="str">
        <f t="shared" si="8"/>
        <v>Distance/Location</v>
      </c>
      <c r="X802" s="4" t="str">
        <f t="shared" si="4"/>
        <v>mwc</v>
      </c>
      <c r="Y802" s="4">
        <f t="shared" si="5"/>
        <v>1</v>
      </c>
      <c r="Z802" s="4" t="str">
        <f t="shared" si="6"/>
        <v>Unique</v>
      </c>
      <c r="AA802" s="4" t="str">
        <f t="shared" si="7"/>
        <v>Valid</v>
      </c>
    </row>
    <row r="803">
      <c r="A803" s="3" t="s">
        <v>1855</v>
      </c>
      <c r="B803" s="3">
        <v>6.7</v>
      </c>
      <c r="C803" s="3" t="s">
        <v>1856</v>
      </c>
      <c r="D803" s="3">
        <v>0.0</v>
      </c>
      <c r="E803" s="3">
        <v>6.0</v>
      </c>
      <c r="F803" s="4"/>
      <c r="G803" s="3">
        <v>0.0</v>
      </c>
      <c r="H803" s="3">
        <v>691.0</v>
      </c>
      <c r="I803" s="3" t="s">
        <v>110</v>
      </c>
      <c r="J803" s="3">
        <v>422.0</v>
      </c>
      <c r="K803" s="3">
        <v>0.0</v>
      </c>
      <c r="L803" s="3">
        <v>0.0</v>
      </c>
      <c r="M803" s="3" t="s">
        <v>204</v>
      </c>
      <c r="N803" s="3">
        <v>24.0</v>
      </c>
      <c r="O803" s="3">
        <v>-17.745</v>
      </c>
      <c r="P803" s="3">
        <v>-71.649</v>
      </c>
      <c r="Q803" s="3" t="s">
        <v>1857</v>
      </c>
      <c r="R803" s="4"/>
      <c r="S803" s="3" t="s">
        <v>265</v>
      </c>
      <c r="T803" s="16">
        <f t="shared" si="1"/>
        <v>37068.17917</v>
      </c>
      <c r="U803" s="4" t="b">
        <f t="shared" si="2"/>
        <v>1</v>
      </c>
      <c r="V803" s="4" t="b">
        <f t="shared" si="3"/>
        <v>0</v>
      </c>
      <c r="W803" s="4" t="str">
        <f t="shared" si="8"/>
        <v>Distance/Location</v>
      </c>
      <c r="X803" s="4" t="str">
        <f t="shared" si="4"/>
        <v>mwc</v>
      </c>
      <c r="Y803" s="4">
        <f t="shared" si="5"/>
        <v>1</v>
      </c>
      <c r="Z803" s="4" t="str">
        <f t="shared" si="6"/>
        <v>Unique</v>
      </c>
      <c r="AA803" s="4" t="str">
        <f t="shared" si="7"/>
        <v>Valid</v>
      </c>
    </row>
    <row r="804">
      <c r="A804" s="3" t="s">
        <v>1858</v>
      </c>
      <c r="B804" s="3">
        <v>8.4</v>
      </c>
      <c r="C804" s="3" t="s">
        <v>1859</v>
      </c>
      <c r="D804" s="3">
        <v>0.0</v>
      </c>
      <c r="E804" s="3">
        <v>8.0</v>
      </c>
      <c r="F804" s="4"/>
      <c r="G804" s="3">
        <v>0.0</v>
      </c>
      <c r="H804" s="3">
        <v>1086.0</v>
      </c>
      <c r="I804" s="3" t="s">
        <v>1196</v>
      </c>
      <c r="J804" s="3">
        <v>518.0</v>
      </c>
      <c r="K804" s="3">
        <v>0.0</v>
      </c>
      <c r="L804" s="3">
        <v>0.0</v>
      </c>
      <c r="M804" s="3" t="s">
        <v>111</v>
      </c>
      <c r="N804" s="3">
        <v>33.0</v>
      </c>
      <c r="O804" s="3">
        <v>-16.265</v>
      </c>
      <c r="P804" s="3">
        <v>-73.641</v>
      </c>
      <c r="Q804" s="3" t="s">
        <v>1860</v>
      </c>
      <c r="R804" s="4"/>
      <c r="S804" s="3" t="s">
        <v>265</v>
      </c>
      <c r="T804" s="16">
        <f t="shared" si="1"/>
        <v>37065.85625</v>
      </c>
      <c r="U804" s="4" t="b">
        <f t="shared" si="2"/>
        <v>1</v>
      </c>
      <c r="V804" s="4" t="b">
        <f t="shared" si="3"/>
        <v>0</v>
      </c>
      <c r="W804" s="4" t="str">
        <f t="shared" si="8"/>
        <v>Distance/Location</v>
      </c>
      <c r="X804" s="4" t="str">
        <f t="shared" si="4"/>
        <v>mww</v>
      </c>
      <c r="Y804" s="4">
        <f t="shared" si="5"/>
        <v>1</v>
      </c>
      <c r="Z804" s="4" t="str">
        <f t="shared" si="6"/>
        <v>Unique</v>
      </c>
      <c r="AA804" s="4" t="str">
        <f t="shared" si="7"/>
        <v>Valid</v>
      </c>
    </row>
    <row r="805">
      <c r="A805" s="3" t="s">
        <v>1861</v>
      </c>
      <c r="B805" s="3">
        <v>6.7</v>
      </c>
      <c r="C805" s="3" t="s">
        <v>1862</v>
      </c>
      <c r="D805" s="3">
        <v>0.0</v>
      </c>
      <c r="E805" s="3">
        <v>6.0</v>
      </c>
      <c r="F805" s="4"/>
      <c r="G805" s="3">
        <v>0.0</v>
      </c>
      <c r="H805" s="3">
        <v>691.0</v>
      </c>
      <c r="I805" s="3" t="s">
        <v>110</v>
      </c>
      <c r="J805" s="3">
        <v>282.0</v>
      </c>
      <c r="K805" s="3">
        <v>0.0</v>
      </c>
      <c r="L805" s="3">
        <v>0.0</v>
      </c>
      <c r="M805" s="3" t="s">
        <v>204</v>
      </c>
      <c r="N805" s="3">
        <v>17.0</v>
      </c>
      <c r="O805" s="3">
        <v>-7.41</v>
      </c>
      <c r="P805" s="3">
        <v>155.865</v>
      </c>
      <c r="Q805" s="3" t="s">
        <v>728</v>
      </c>
      <c r="R805" s="4"/>
      <c r="S805" s="3" t="s">
        <v>214</v>
      </c>
      <c r="T805" s="16">
        <f t="shared" si="1"/>
        <v>37000.90486</v>
      </c>
      <c r="U805" s="4" t="b">
        <f t="shared" si="2"/>
        <v>1</v>
      </c>
      <c r="V805" s="4" t="b">
        <f t="shared" si="3"/>
        <v>0</v>
      </c>
      <c r="W805" s="4" t="str">
        <f t="shared" si="8"/>
        <v>Distance/Location</v>
      </c>
      <c r="X805" s="4" t="str">
        <f t="shared" si="4"/>
        <v>mwc</v>
      </c>
      <c r="Y805" s="4">
        <f t="shared" si="5"/>
        <v>1</v>
      </c>
      <c r="Z805" s="4" t="str">
        <f t="shared" si="6"/>
        <v>Unique</v>
      </c>
      <c r="AA805" s="4" t="str">
        <f t="shared" si="7"/>
        <v>Valid</v>
      </c>
    </row>
    <row r="806">
      <c r="A806" s="3" t="s">
        <v>1863</v>
      </c>
      <c r="B806" s="3">
        <v>6.8</v>
      </c>
      <c r="C806" s="3" t="s">
        <v>1864</v>
      </c>
      <c r="D806" s="3">
        <v>0.0</v>
      </c>
      <c r="E806" s="3">
        <v>7.0</v>
      </c>
      <c r="F806" s="4"/>
      <c r="G806" s="3">
        <v>0.0</v>
      </c>
      <c r="H806" s="3">
        <v>711.0</v>
      </c>
      <c r="I806" s="3" t="s">
        <v>110</v>
      </c>
      <c r="J806" s="3">
        <v>596.0</v>
      </c>
      <c r="K806" s="3">
        <v>0.0</v>
      </c>
      <c r="L806" s="3">
        <v>0.0</v>
      </c>
      <c r="M806" s="3" t="s">
        <v>204</v>
      </c>
      <c r="N806" s="3">
        <v>50.0</v>
      </c>
      <c r="O806" s="3">
        <v>34.083</v>
      </c>
      <c r="P806" s="3">
        <v>132.526</v>
      </c>
      <c r="Q806" s="3" t="s">
        <v>1865</v>
      </c>
      <c r="R806" s="3" t="s">
        <v>164</v>
      </c>
      <c r="S806" s="3" t="s">
        <v>371</v>
      </c>
      <c r="T806" s="16">
        <f t="shared" si="1"/>
        <v>36974.26875</v>
      </c>
      <c r="U806" s="4" t="b">
        <f t="shared" si="2"/>
        <v>1</v>
      </c>
      <c r="V806" s="4" t="b">
        <f t="shared" si="3"/>
        <v>0</v>
      </c>
      <c r="W806" s="4" t="str">
        <f t="shared" si="8"/>
        <v>Distance/Location</v>
      </c>
      <c r="X806" s="4" t="str">
        <f t="shared" si="4"/>
        <v>mwc</v>
      </c>
      <c r="Y806" s="4">
        <f t="shared" si="5"/>
        <v>1</v>
      </c>
      <c r="Z806" s="4" t="str">
        <f t="shared" si="6"/>
        <v>Unique</v>
      </c>
      <c r="AA806" s="4" t="str">
        <f t="shared" si="7"/>
        <v>Valid</v>
      </c>
    </row>
    <row r="807">
      <c r="A807" s="3" t="s">
        <v>1866</v>
      </c>
      <c r="B807" s="3">
        <v>6.5</v>
      </c>
      <c r="C807" s="3" t="s">
        <v>1867</v>
      </c>
      <c r="D807" s="3">
        <v>0.0</v>
      </c>
      <c r="E807" s="3">
        <v>6.0</v>
      </c>
      <c r="F807" s="4"/>
      <c r="G807" s="3">
        <v>0.0</v>
      </c>
      <c r="H807" s="3">
        <v>650.0</v>
      </c>
      <c r="I807" s="3" t="s">
        <v>110</v>
      </c>
      <c r="J807" s="3">
        <v>206.0</v>
      </c>
      <c r="K807" s="3">
        <v>0.0</v>
      </c>
      <c r="L807" s="3">
        <v>0.0</v>
      </c>
      <c r="M807" s="3" t="s">
        <v>204</v>
      </c>
      <c r="N807" s="3">
        <v>33.0</v>
      </c>
      <c r="O807" s="3">
        <v>-4.029</v>
      </c>
      <c r="P807" s="3">
        <v>128.02</v>
      </c>
      <c r="Q807" s="3" t="s">
        <v>1594</v>
      </c>
      <c r="R807" s="4"/>
      <c r="S807" s="3" t="s">
        <v>153</v>
      </c>
      <c r="T807" s="16">
        <f t="shared" si="1"/>
        <v>36969.24444</v>
      </c>
      <c r="U807" s="4" t="b">
        <f t="shared" si="2"/>
        <v>1</v>
      </c>
      <c r="V807" s="4" t="b">
        <f t="shared" si="3"/>
        <v>0</v>
      </c>
      <c r="W807" s="4" t="str">
        <f t="shared" si="8"/>
        <v>Distance/Location</v>
      </c>
      <c r="X807" s="4" t="str">
        <f t="shared" si="4"/>
        <v>mwc</v>
      </c>
      <c r="Y807" s="4">
        <f t="shared" si="5"/>
        <v>1</v>
      </c>
      <c r="Z807" s="4" t="str">
        <f t="shared" si="6"/>
        <v>Unique</v>
      </c>
      <c r="AA807" s="4" t="str">
        <f t="shared" si="7"/>
        <v>Valid</v>
      </c>
    </row>
    <row r="808">
      <c r="A808" s="3" t="s">
        <v>1868</v>
      </c>
      <c r="B808" s="3">
        <v>6.8</v>
      </c>
      <c r="C808" s="3" t="s">
        <v>1869</v>
      </c>
      <c r="D808" s="3">
        <v>7.0</v>
      </c>
      <c r="E808" s="3">
        <v>7.0</v>
      </c>
      <c r="F808" s="4"/>
      <c r="G808" s="3">
        <v>0.0</v>
      </c>
      <c r="H808" s="3">
        <v>1441.0</v>
      </c>
      <c r="I808" s="3" t="s">
        <v>1870</v>
      </c>
      <c r="J808" s="3">
        <v>67.0</v>
      </c>
      <c r="K808" s="3">
        <v>0.0</v>
      </c>
      <c r="L808" s="3">
        <v>31.0</v>
      </c>
      <c r="M808" s="3" t="s">
        <v>1560</v>
      </c>
      <c r="N808" s="3">
        <v>51.798</v>
      </c>
      <c r="O808" s="3">
        <v>47.149</v>
      </c>
      <c r="P808" s="3">
        <v>-122.727</v>
      </c>
      <c r="Q808" s="3" t="s">
        <v>1871</v>
      </c>
      <c r="R808" s="3" t="s">
        <v>233</v>
      </c>
      <c r="S808" s="3" t="s">
        <v>318</v>
      </c>
      <c r="T808" s="16">
        <f t="shared" si="1"/>
        <v>36950.7875</v>
      </c>
      <c r="U808" s="4" t="b">
        <f t="shared" si="2"/>
        <v>1</v>
      </c>
      <c r="V808" s="4" t="b">
        <f t="shared" si="3"/>
        <v>0</v>
      </c>
      <c r="W808" s="4" t="str">
        <f t="shared" si="8"/>
        <v>Distance/Location</v>
      </c>
      <c r="X808" s="4" t="str">
        <f t="shared" si="4"/>
        <v>md</v>
      </c>
      <c r="Y808" s="4">
        <f t="shared" si="5"/>
        <v>1</v>
      </c>
      <c r="Z808" s="4" t="str">
        <f t="shared" si="6"/>
        <v>Unique</v>
      </c>
      <c r="AA808" s="4" t="str">
        <f t="shared" si="7"/>
        <v>Valid</v>
      </c>
    </row>
    <row r="809">
      <c r="A809" s="3" t="s">
        <v>1872</v>
      </c>
      <c r="B809" s="3">
        <v>7.1</v>
      </c>
      <c r="C809" s="3" t="s">
        <v>1873</v>
      </c>
      <c r="D809" s="3">
        <v>0.0</v>
      </c>
      <c r="E809" s="3">
        <v>7.0</v>
      </c>
      <c r="F809" s="4"/>
      <c r="G809" s="3">
        <v>0.0</v>
      </c>
      <c r="H809" s="3">
        <v>776.0</v>
      </c>
      <c r="I809" s="3" t="s">
        <v>110</v>
      </c>
      <c r="J809" s="3">
        <v>426.0</v>
      </c>
      <c r="K809" s="3">
        <v>0.0</v>
      </c>
      <c r="L809" s="3">
        <v>0.0</v>
      </c>
      <c r="M809" s="3" t="s">
        <v>204</v>
      </c>
      <c r="N809" s="3">
        <v>35.0</v>
      </c>
      <c r="O809" s="3">
        <v>1.271</v>
      </c>
      <c r="P809" s="3">
        <v>126.249</v>
      </c>
      <c r="Q809" s="3" t="s">
        <v>957</v>
      </c>
      <c r="R809" s="4"/>
      <c r="S809" s="3" t="s">
        <v>153</v>
      </c>
      <c r="T809" s="16">
        <f t="shared" si="1"/>
        <v>36946.30764</v>
      </c>
      <c r="U809" s="4" t="b">
        <f t="shared" si="2"/>
        <v>1</v>
      </c>
      <c r="V809" s="4" t="b">
        <f t="shared" si="3"/>
        <v>0</v>
      </c>
      <c r="W809" s="4" t="str">
        <f t="shared" si="8"/>
        <v>Distance/Location</v>
      </c>
      <c r="X809" s="4" t="str">
        <f t="shared" si="4"/>
        <v>mwc</v>
      </c>
      <c r="Y809" s="4">
        <f t="shared" si="5"/>
        <v>1</v>
      </c>
      <c r="Z809" s="4" t="str">
        <f t="shared" si="6"/>
        <v>Unique</v>
      </c>
      <c r="AA809" s="4" t="str">
        <f t="shared" si="7"/>
        <v>Valid</v>
      </c>
    </row>
    <row r="810">
      <c r="A810" s="3" t="s">
        <v>1874</v>
      </c>
      <c r="B810" s="3">
        <v>7.4</v>
      </c>
      <c r="C810" s="3" t="s">
        <v>1875</v>
      </c>
      <c r="D810" s="3">
        <v>0.0</v>
      </c>
      <c r="E810" s="3">
        <v>6.0</v>
      </c>
      <c r="F810" s="4"/>
      <c r="G810" s="3">
        <v>0.0</v>
      </c>
      <c r="H810" s="3">
        <v>842.0</v>
      </c>
      <c r="I810" s="3" t="s">
        <v>110</v>
      </c>
      <c r="J810" s="3">
        <v>221.0</v>
      </c>
      <c r="K810" s="3">
        <v>0.0</v>
      </c>
      <c r="L810" s="3">
        <v>0.0</v>
      </c>
      <c r="M810" s="3" t="s">
        <v>204</v>
      </c>
      <c r="N810" s="3">
        <v>36.0</v>
      </c>
      <c r="O810" s="3">
        <v>-4.68</v>
      </c>
      <c r="P810" s="3">
        <v>102.562</v>
      </c>
      <c r="Q810" s="3" t="s">
        <v>217</v>
      </c>
      <c r="R810" s="4"/>
      <c r="S810" s="3" t="s">
        <v>153</v>
      </c>
      <c r="T810" s="16">
        <f t="shared" si="1"/>
        <v>36935.81111</v>
      </c>
      <c r="U810" s="4" t="b">
        <f t="shared" si="2"/>
        <v>1</v>
      </c>
      <c r="V810" s="4" t="b">
        <f t="shared" si="3"/>
        <v>0</v>
      </c>
      <c r="W810" s="4" t="str">
        <f t="shared" si="8"/>
        <v>Distance/Location</v>
      </c>
      <c r="X810" s="4" t="str">
        <f t="shared" si="4"/>
        <v>mwc</v>
      </c>
      <c r="Y810" s="4">
        <f t="shared" si="5"/>
        <v>1</v>
      </c>
      <c r="Z810" s="4" t="str">
        <f t="shared" si="6"/>
        <v>Unique</v>
      </c>
      <c r="AA810" s="4" t="str">
        <f t="shared" si="7"/>
        <v>Valid</v>
      </c>
    </row>
    <row r="811">
      <c r="A811" s="3" t="s">
        <v>1876</v>
      </c>
      <c r="B811" s="3">
        <v>6.6</v>
      </c>
      <c r="C811" s="3" t="s">
        <v>1877</v>
      </c>
      <c r="D811" s="3">
        <v>0.0</v>
      </c>
      <c r="E811" s="3">
        <v>8.0</v>
      </c>
      <c r="F811" s="4"/>
      <c r="G811" s="3">
        <v>0.0</v>
      </c>
      <c r="H811" s="3">
        <v>670.0</v>
      </c>
      <c r="I811" s="3" t="s">
        <v>110</v>
      </c>
      <c r="J811" s="3">
        <v>273.0</v>
      </c>
      <c r="K811" s="3">
        <v>0.0</v>
      </c>
      <c r="L811" s="3">
        <v>0.0</v>
      </c>
      <c r="M811" s="3" t="s">
        <v>204</v>
      </c>
      <c r="N811" s="3">
        <v>10.0</v>
      </c>
      <c r="O811" s="3">
        <v>13.671</v>
      </c>
      <c r="P811" s="3">
        <v>-88.938</v>
      </c>
      <c r="Q811" s="3" t="s">
        <v>1878</v>
      </c>
      <c r="R811" s="4"/>
      <c r="S811" s="3" t="s">
        <v>1879</v>
      </c>
      <c r="T811" s="16">
        <f t="shared" si="1"/>
        <v>36935.59861</v>
      </c>
      <c r="U811" s="4" t="b">
        <f t="shared" si="2"/>
        <v>1</v>
      </c>
      <c r="V811" s="4" t="b">
        <f t="shared" si="3"/>
        <v>0</v>
      </c>
      <c r="W811" s="4" t="str">
        <f t="shared" si="8"/>
        <v>Distance/Location</v>
      </c>
      <c r="X811" s="4" t="str">
        <f t="shared" si="4"/>
        <v>mwc</v>
      </c>
      <c r="Y811" s="4">
        <f t="shared" si="5"/>
        <v>1</v>
      </c>
      <c r="Z811" s="4" t="str">
        <f t="shared" si="6"/>
        <v>Unique</v>
      </c>
      <c r="AA811" s="4" t="str">
        <f t="shared" si="7"/>
        <v>Valid</v>
      </c>
    </row>
    <row r="812">
      <c r="A812" s="3" t="s">
        <v>1880</v>
      </c>
      <c r="B812" s="3">
        <v>7.7</v>
      </c>
      <c r="C812" s="3" t="s">
        <v>1881</v>
      </c>
      <c r="D812" s="3">
        <v>0.0</v>
      </c>
      <c r="E812" s="3">
        <v>9.0</v>
      </c>
      <c r="F812" s="4"/>
      <c r="G812" s="3">
        <v>0.0</v>
      </c>
      <c r="H812" s="3">
        <v>912.0</v>
      </c>
      <c r="I812" s="3" t="s">
        <v>110</v>
      </c>
      <c r="J812" s="3">
        <v>472.0</v>
      </c>
      <c r="K812" s="3">
        <v>0.0</v>
      </c>
      <c r="L812" s="3">
        <v>0.0</v>
      </c>
      <c r="M812" s="3" t="s">
        <v>204</v>
      </c>
      <c r="N812" s="3">
        <v>16.0</v>
      </c>
      <c r="O812" s="3">
        <v>23.419</v>
      </c>
      <c r="P812" s="3">
        <v>70.232</v>
      </c>
      <c r="Q812" s="3" t="s">
        <v>1882</v>
      </c>
      <c r="R812" s="3" t="s">
        <v>164</v>
      </c>
      <c r="S812" s="3" t="s">
        <v>835</v>
      </c>
      <c r="T812" s="16">
        <f t="shared" si="1"/>
        <v>36917.13611</v>
      </c>
      <c r="U812" s="4" t="b">
        <f t="shared" si="2"/>
        <v>1</v>
      </c>
      <c r="V812" s="4" t="b">
        <f t="shared" si="3"/>
        <v>0</v>
      </c>
      <c r="W812" s="4" t="str">
        <f t="shared" si="8"/>
        <v>Distance/Location</v>
      </c>
      <c r="X812" s="4" t="str">
        <f t="shared" si="4"/>
        <v>mwc</v>
      </c>
      <c r="Y812" s="4">
        <f t="shared" si="5"/>
        <v>1</v>
      </c>
      <c r="Z812" s="4" t="str">
        <f t="shared" si="6"/>
        <v>Unique</v>
      </c>
      <c r="AA812" s="4" t="str">
        <f t="shared" si="7"/>
        <v>Valid</v>
      </c>
    </row>
    <row r="813">
      <c r="A813" s="3" t="s">
        <v>1883</v>
      </c>
      <c r="B813" s="3">
        <v>6.9</v>
      </c>
      <c r="C813" s="3" t="s">
        <v>1884</v>
      </c>
      <c r="D813" s="3">
        <v>0.0</v>
      </c>
      <c r="E813" s="3">
        <v>6.0</v>
      </c>
      <c r="F813" s="4"/>
      <c r="G813" s="3">
        <v>0.0</v>
      </c>
      <c r="H813" s="3">
        <v>732.0</v>
      </c>
      <c r="I813" s="3" t="s">
        <v>110</v>
      </c>
      <c r="J813" s="3">
        <v>117.0</v>
      </c>
      <c r="K813" s="3">
        <v>0.0</v>
      </c>
      <c r="L813" s="3">
        <v>0.0</v>
      </c>
      <c r="M813" s="3" t="s">
        <v>224</v>
      </c>
      <c r="N813" s="3">
        <v>28.0</v>
      </c>
      <c r="O813" s="3">
        <v>-4.022</v>
      </c>
      <c r="P813" s="3">
        <v>101.776</v>
      </c>
      <c r="Q813" s="3" t="s">
        <v>217</v>
      </c>
      <c r="R813" s="4"/>
      <c r="S813" s="3" t="s">
        <v>153</v>
      </c>
      <c r="T813" s="16">
        <f t="shared" si="1"/>
        <v>36907.55903</v>
      </c>
      <c r="U813" s="4" t="b">
        <f t="shared" si="2"/>
        <v>1</v>
      </c>
      <c r="V813" s="4" t="b">
        <f t="shared" si="3"/>
        <v>0</v>
      </c>
      <c r="W813" s="4" t="str">
        <f t="shared" si="8"/>
        <v>Distance/Location</v>
      </c>
      <c r="X813" s="4" t="str">
        <f t="shared" si="4"/>
        <v>mwb</v>
      </c>
      <c r="Y813" s="4">
        <f t="shared" si="5"/>
        <v>1</v>
      </c>
      <c r="Z813" s="4" t="str">
        <f t="shared" si="6"/>
        <v>Unique</v>
      </c>
      <c r="AA813" s="4" t="str">
        <f t="shared" si="7"/>
        <v>Valid</v>
      </c>
    </row>
    <row r="814">
      <c r="A814" s="3" t="s">
        <v>1885</v>
      </c>
      <c r="B814" s="3">
        <v>7.7</v>
      </c>
      <c r="C814" s="3" t="s">
        <v>1886</v>
      </c>
      <c r="D814" s="3">
        <v>0.0</v>
      </c>
      <c r="E814" s="3">
        <v>8.0</v>
      </c>
      <c r="F814" s="4"/>
      <c r="G814" s="3">
        <v>0.0</v>
      </c>
      <c r="H814" s="3">
        <v>912.0</v>
      </c>
      <c r="I814" s="3" t="s">
        <v>110</v>
      </c>
      <c r="J814" s="3">
        <v>427.0</v>
      </c>
      <c r="K814" s="3">
        <v>0.0</v>
      </c>
      <c r="L814" s="3">
        <v>0.0</v>
      </c>
      <c r="M814" s="3" t="s">
        <v>204</v>
      </c>
      <c r="N814" s="3">
        <v>60.0</v>
      </c>
      <c r="O814" s="3">
        <v>13.049</v>
      </c>
      <c r="P814" s="3">
        <v>-88.66</v>
      </c>
      <c r="Q814" s="3" t="s">
        <v>753</v>
      </c>
      <c r="R814" s="4"/>
      <c r="S814" s="4"/>
      <c r="T814" s="16">
        <f t="shared" si="1"/>
        <v>36904.73125</v>
      </c>
      <c r="U814" s="4" t="b">
        <f t="shared" si="2"/>
        <v>1</v>
      </c>
      <c r="V814" s="4" t="b">
        <f t="shared" si="3"/>
        <v>0</v>
      </c>
      <c r="W814" s="4" t="str">
        <f t="shared" si="8"/>
        <v>Distance/Location</v>
      </c>
      <c r="X814" s="4" t="str">
        <f t="shared" si="4"/>
        <v>mwc</v>
      </c>
      <c r="Y814" s="4">
        <f t="shared" si="5"/>
        <v>1</v>
      </c>
      <c r="Z814" s="4" t="str">
        <f t="shared" si="6"/>
        <v>Unique</v>
      </c>
      <c r="AA814" s="4" t="str">
        <f t="shared" si="7"/>
        <v>Valid</v>
      </c>
    </row>
    <row r="815">
      <c r="A815" s="3" t="s">
        <v>1887</v>
      </c>
      <c r="B815" s="3">
        <v>6.9</v>
      </c>
      <c r="C815" s="17">
        <v>37165.66805555556</v>
      </c>
      <c r="D815" s="3">
        <v>5.0</v>
      </c>
      <c r="E815" s="3">
        <v>7.0</v>
      </c>
      <c r="F815" s="4"/>
      <c r="G815" s="3">
        <v>0.0</v>
      </c>
      <c r="H815" s="3">
        <v>745.0</v>
      </c>
      <c r="I815" s="3" t="s">
        <v>316</v>
      </c>
      <c r="J815" s="3">
        <v>0.0</v>
      </c>
      <c r="K815" s="3">
        <v>0.0</v>
      </c>
      <c r="L815" s="3">
        <v>0.0</v>
      </c>
      <c r="M815" s="3" t="s">
        <v>514</v>
      </c>
      <c r="N815" s="3">
        <v>36.4</v>
      </c>
      <c r="O815" s="3">
        <v>56.7744</v>
      </c>
      <c r="P815" s="3">
        <v>-153.281</v>
      </c>
      <c r="Q815" s="3" t="s">
        <v>1888</v>
      </c>
      <c r="R815" s="3" t="s">
        <v>233</v>
      </c>
      <c r="S815" s="4"/>
      <c r="T815" s="16">
        <f t="shared" si="1"/>
        <v>36901.66806</v>
      </c>
      <c r="U815" s="4" t="b">
        <f t="shared" si="2"/>
        <v>1</v>
      </c>
      <c r="V815" s="4" t="b">
        <f t="shared" si="3"/>
        <v>1</v>
      </c>
      <c r="W815" s="4" t="str">
        <f t="shared" si="8"/>
        <v>Distance/Location</v>
      </c>
      <c r="X815" s="4" t="str">
        <f t="shared" si="4"/>
        <v>mw</v>
      </c>
      <c r="Y815" s="4">
        <f t="shared" si="5"/>
        <v>1</v>
      </c>
      <c r="Z815" s="4" t="str">
        <f t="shared" si="6"/>
        <v>Unique</v>
      </c>
      <c r="AA815" s="4" t="str">
        <f t="shared" si="7"/>
        <v>Valid</v>
      </c>
    </row>
    <row r="816">
      <c r="A816" s="3" t="s">
        <v>1889</v>
      </c>
      <c r="B816" s="3">
        <v>7.1</v>
      </c>
      <c r="C816" s="17">
        <v>37135.700694444444</v>
      </c>
      <c r="D816" s="3">
        <v>0.0</v>
      </c>
      <c r="E816" s="3">
        <v>7.0</v>
      </c>
      <c r="F816" s="4"/>
      <c r="G816" s="3">
        <v>0.0</v>
      </c>
      <c r="H816" s="3">
        <v>776.0</v>
      </c>
      <c r="I816" s="3" t="s">
        <v>110</v>
      </c>
      <c r="J816" s="3">
        <v>372.0</v>
      </c>
      <c r="K816" s="3">
        <v>0.0</v>
      </c>
      <c r="L816" s="3">
        <v>0.0</v>
      </c>
      <c r="M816" s="3" t="s">
        <v>224</v>
      </c>
      <c r="N816" s="3">
        <v>103.0</v>
      </c>
      <c r="O816" s="3">
        <v>-14.928</v>
      </c>
      <c r="P816" s="3">
        <v>167.17</v>
      </c>
      <c r="Q816" s="3" t="s">
        <v>185</v>
      </c>
      <c r="R816" s="4"/>
      <c r="S816" s="3" t="s">
        <v>113</v>
      </c>
      <c r="T816" s="16">
        <f t="shared" si="1"/>
        <v>36900.70069</v>
      </c>
      <c r="U816" s="4" t="b">
        <f t="shared" si="2"/>
        <v>1</v>
      </c>
      <c r="V816" s="4" t="b">
        <f t="shared" si="3"/>
        <v>1</v>
      </c>
      <c r="W816" s="4" t="str">
        <f t="shared" si="8"/>
        <v>Distance/Location</v>
      </c>
      <c r="X816" s="4" t="str">
        <f t="shared" si="4"/>
        <v>mwb</v>
      </c>
      <c r="Y816" s="4">
        <f t="shared" si="5"/>
        <v>1</v>
      </c>
      <c r="Z816" s="4" t="str">
        <f t="shared" si="6"/>
        <v>Unique</v>
      </c>
      <c r="AA816" s="4" t="str">
        <f t="shared" si="7"/>
        <v>Valid</v>
      </c>
    </row>
    <row r="817">
      <c r="A817" s="3" t="s">
        <v>1890</v>
      </c>
      <c r="B817" s="3">
        <v>6.8</v>
      </c>
      <c r="C817" s="17">
        <v>36892.370833333334</v>
      </c>
      <c r="D817" s="3">
        <v>0.0</v>
      </c>
      <c r="E817" s="3">
        <v>5.0</v>
      </c>
      <c r="F817" s="4"/>
      <c r="G817" s="3">
        <v>0.0</v>
      </c>
      <c r="H817" s="3">
        <v>711.0</v>
      </c>
      <c r="I817" s="3" t="s">
        <v>110</v>
      </c>
      <c r="J817" s="3">
        <v>64.0</v>
      </c>
      <c r="K817" s="3">
        <v>0.0</v>
      </c>
      <c r="L817" s="3">
        <v>0.0</v>
      </c>
      <c r="M817" s="3" t="s">
        <v>204</v>
      </c>
      <c r="N817" s="3">
        <v>33.0</v>
      </c>
      <c r="O817" s="3">
        <v>6.631</v>
      </c>
      <c r="P817" s="3">
        <v>126.899</v>
      </c>
      <c r="Q817" s="3" t="s">
        <v>1821</v>
      </c>
      <c r="R817" s="4"/>
      <c r="S817" s="4"/>
      <c r="T817" s="16">
        <f t="shared" si="1"/>
        <v>36892.37083</v>
      </c>
      <c r="U817" s="4" t="b">
        <f t="shared" si="2"/>
        <v>1</v>
      </c>
      <c r="V817" s="4" t="b">
        <f t="shared" si="3"/>
        <v>1</v>
      </c>
      <c r="W817" s="4" t="str">
        <f t="shared" si="8"/>
        <v>Named Region</v>
      </c>
      <c r="X817" s="4" t="str">
        <f t="shared" si="4"/>
        <v>mwc</v>
      </c>
      <c r="Y817" s="4">
        <f t="shared" si="5"/>
        <v>1</v>
      </c>
      <c r="Z817" s="4" t="str">
        <f t="shared" si="6"/>
        <v>Unique</v>
      </c>
      <c r="AA817" s="4" t="str">
        <f t="shared" si="7"/>
        <v>Valid</v>
      </c>
    </row>
    <row r="818">
      <c r="A818" s="3" t="s">
        <v>1891</v>
      </c>
      <c r="B818" s="3">
        <v>7.5</v>
      </c>
      <c r="C818" s="17">
        <v>36892.28958333333</v>
      </c>
      <c r="D818" s="3">
        <v>0.0</v>
      </c>
      <c r="E818" s="3">
        <v>7.0</v>
      </c>
      <c r="F818" s="4"/>
      <c r="G818" s="3">
        <v>0.0</v>
      </c>
      <c r="H818" s="3">
        <v>865.0</v>
      </c>
      <c r="I818" s="3" t="s">
        <v>110</v>
      </c>
      <c r="J818" s="3">
        <v>324.0</v>
      </c>
      <c r="K818" s="3">
        <v>0.0</v>
      </c>
      <c r="L818" s="3">
        <v>0.0</v>
      </c>
      <c r="M818" s="3" t="s">
        <v>204</v>
      </c>
      <c r="N818" s="3">
        <v>33.0</v>
      </c>
      <c r="O818" s="3">
        <v>6.898</v>
      </c>
      <c r="P818" s="3">
        <v>126.579</v>
      </c>
      <c r="Q818" s="3" t="s">
        <v>1892</v>
      </c>
      <c r="R818" s="4"/>
      <c r="S818" s="3" t="s">
        <v>258</v>
      </c>
      <c r="T818" s="16">
        <f t="shared" si="1"/>
        <v>36892.28958</v>
      </c>
      <c r="U818" s="4" t="b">
        <f t="shared" si="2"/>
        <v>1</v>
      </c>
      <c r="V818" s="4" t="b">
        <f t="shared" si="3"/>
        <v>1</v>
      </c>
      <c r="W818" s="4" t="str">
        <f t="shared" si="8"/>
        <v>Distance/Location</v>
      </c>
      <c r="X818" s="4" t="str">
        <f t="shared" si="4"/>
        <v>mwc</v>
      </c>
      <c r="Y818" s="4">
        <f t="shared" si="5"/>
        <v>1</v>
      </c>
      <c r="Z818" s="4" t="str">
        <f t="shared" si="6"/>
        <v>Unique</v>
      </c>
      <c r="AA818" s="4" t="str">
        <f t="shared" si="7"/>
        <v>Valid</v>
      </c>
    </row>
    <row r="819">
      <c r="A819" s="3" t="s">
        <v>1893</v>
      </c>
      <c r="B819" s="3">
        <v>6.5</v>
      </c>
      <c r="C819" s="17">
        <v>36689.95625</v>
      </c>
      <c r="D819" s="3">
        <v>0.0</v>
      </c>
      <c r="E819" s="3">
        <v>7.0</v>
      </c>
      <c r="F819" s="4"/>
      <c r="G819" s="3">
        <v>0.0</v>
      </c>
      <c r="H819" s="3">
        <v>650.0</v>
      </c>
      <c r="I819" s="3" t="s">
        <v>110</v>
      </c>
      <c r="J819" s="3">
        <v>401.0</v>
      </c>
      <c r="K819" s="3">
        <v>0.0</v>
      </c>
      <c r="L819" s="3">
        <v>0.0</v>
      </c>
      <c r="M819" s="3" t="s">
        <v>204</v>
      </c>
      <c r="N819" s="3">
        <v>31.0</v>
      </c>
      <c r="O819" s="3">
        <v>-4.218</v>
      </c>
      <c r="P819" s="3">
        <v>152.725</v>
      </c>
      <c r="Q819" s="3" t="s">
        <v>633</v>
      </c>
      <c r="R819" s="4"/>
      <c r="S819" s="3" t="s">
        <v>168</v>
      </c>
      <c r="T819" s="16">
        <f t="shared" si="1"/>
        <v>36866.95625</v>
      </c>
      <c r="U819" s="4" t="b">
        <f t="shared" si="2"/>
        <v>1</v>
      </c>
      <c r="V819" s="4" t="b">
        <f t="shared" si="3"/>
        <v>1</v>
      </c>
      <c r="W819" s="4" t="str">
        <f t="shared" si="8"/>
        <v>Distance/Location</v>
      </c>
      <c r="X819" s="4" t="str">
        <f t="shared" si="4"/>
        <v>mwc</v>
      </c>
      <c r="Y819" s="4">
        <f t="shared" si="5"/>
        <v>1</v>
      </c>
      <c r="Z819" s="4" t="str">
        <f t="shared" si="6"/>
        <v>Unique</v>
      </c>
      <c r="AA819" s="4" t="str">
        <f t="shared" si="7"/>
        <v>Valid</v>
      </c>
    </row>
    <row r="820">
      <c r="A820" s="3" t="s">
        <v>1894</v>
      </c>
      <c r="B820" s="3">
        <v>7.0</v>
      </c>
      <c r="C820" s="17">
        <v>36689.71597222222</v>
      </c>
      <c r="D820" s="3">
        <v>0.0</v>
      </c>
      <c r="E820" s="3">
        <v>7.0</v>
      </c>
      <c r="F820" s="4"/>
      <c r="G820" s="3">
        <v>0.0</v>
      </c>
      <c r="H820" s="3">
        <v>754.0</v>
      </c>
      <c r="I820" s="3" t="s">
        <v>110</v>
      </c>
      <c r="J820" s="3">
        <v>495.0</v>
      </c>
      <c r="K820" s="3">
        <v>0.0</v>
      </c>
      <c r="L820" s="3">
        <v>0.0</v>
      </c>
      <c r="M820" s="3" t="s">
        <v>204</v>
      </c>
      <c r="N820" s="3">
        <v>30.0</v>
      </c>
      <c r="O820" s="3">
        <v>39.566</v>
      </c>
      <c r="P820" s="3">
        <v>54.799</v>
      </c>
      <c r="Q820" s="3" t="s">
        <v>1895</v>
      </c>
      <c r="R820" s="3" t="s">
        <v>164</v>
      </c>
      <c r="S820" s="3" t="s">
        <v>1896</v>
      </c>
      <c r="T820" s="16">
        <f t="shared" si="1"/>
        <v>36866.71597</v>
      </c>
      <c r="U820" s="4" t="b">
        <f t="shared" si="2"/>
        <v>1</v>
      </c>
      <c r="V820" s="4" t="b">
        <f t="shared" si="3"/>
        <v>1</v>
      </c>
      <c r="W820" s="4" t="str">
        <f t="shared" si="8"/>
        <v>Distance/Location</v>
      </c>
      <c r="X820" s="4" t="str">
        <f t="shared" si="4"/>
        <v>mwc</v>
      </c>
      <c r="Y820" s="4">
        <f t="shared" si="5"/>
        <v>1</v>
      </c>
      <c r="Z820" s="4" t="str">
        <f t="shared" si="6"/>
        <v>Unique</v>
      </c>
      <c r="AA820" s="4" t="str">
        <f t="shared" si="7"/>
        <v>Valid</v>
      </c>
    </row>
    <row r="821">
      <c r="A821" s="3" t="s">
        <v>1897</v>
      </c>
      <c r="B821" s="3">
        <v>6.5</v>
      </c>
      <c r="C821" s="3" t="s">
        <v>1898</v>
      </c>
      <c r="D821" s="3">
        <v>0.0</v>
      </c>
      <c r="E821" s="3">
        <v>6.0</v>
      </c>
      <c r="F821" s="4"/>
      <c r="G821" s="3">
        <v>0.0</v>
      </c>
      <c r="H821" s="3">
        <v>650.0</v>
      </c>
      <c r="I821" s="3" t="s">
        <v>110</v>
      </c>
      <c r="J821" s="3">
        <v>268.0</v>
      </c>
      <c r="K821" s="3">
        <v>0.0</v>
      </c>
      <c r="L821" s="3">
        <v>0.0</v>
      </c>
      <c r="M821" s="3" t="s">
        <v>204</v>
      </c>
      <c r="N821" s="3">
        <v>33.0</v>
      </c>
      <c r="O821" s="3">
        <v>40.167</v>
      </c>
      <c r="P821" s="3">
        <v>49.954</v>
      </c>
      <c r="Q821" s="3" t="s">
        <v>1899</v>
      </c>
      <c r="R821" s="3" t="s">
        <v>164</v>
      </c>
      <c r="S821" s="3" t="s">
        <v>1900</v>
      </c>
      <c r="T821" s="16">
        <f t="shared" si="1"/>
        <v>36855.75694</v>
      </c>
      <c r="U821" s="4" t="b">
        <f t="shared" si="2"/>
        <v>1</v>
      </c>
      <c r="V821" s="4" t="b">
        <f t="shared" si="3"/>
        <v>0</v>
      </c>
      <c r="W821" s="4" t="str">
        <f t="shared" si="8"/>
        <v>Distance/Location</v>
      </c>
      <c r="X821" s="4" t="str">
        <f t="shared" si="4"/>
        <v>mwc</v>
      </c>
      <c r="Y821" s="4">
        <f t="shared" si="5"/>
        <v>1</v>
      </c>
      <c r="Z821" s="4" t="str">
        <f t="shared" si="6"/>
        <v>Unique</v>
      </c>
      <c r="AA821" s="4" t="str">
        <f t="shared" si="7"/>
        <v>Valid</v>
      </c>
    </row>
    <row r="822">
      <c r="A822" s="3" t="s">
        <v>1901</v>
      </c>
      <c r="B822" s="3">
        <v>6.8</v>
      </c>
      <c r="C822" s="3" t="s">
        <v>1902</v>
      </c>
      <c r="D822" s="3">
        <v>0.0</v>
      </c>
      <c r="E822" s="3">
        <v>6.0</v>
      </c>
      <c r="F822" s="4"/>
      <c r="G822" s="3">
        <v>0.0</v>
      </c>
      <c r="H822" s="3">
        <v>711.0</v>
      </c>
      <c r="I822" s="3" t="s">
        <v>110</v>
      </c>
      <c r="J822" s="3">
        <v>446.0</v>
      </c>
      <c r="K822" s="3">
        <v>0.0</v>
      </c>
      <c r="L822" s="3">
        <v>0.0</v>
      </c>
      <c r="M822" s="3" t="s">
        <v>204</v>
      </c>
      <c r="N822" s="3">
        <v>50.4</v>
      </c>
      <c r="O822" s="3">
        <v>40.245</v>
      </c>
      <c r="P822" s="3">
        <v>49.946</v>
      </c>
      <c r="Q822" s="3" t="s">
        <v>1903</v>
      </c>
      <c r="R822" s="3" t="s">
        <v>164</v>
      </c>
      <c r="S822" s="3" t="s">
        <v>1900</v>
      </c>
      <c r="T822" s="16">
        <f t="shared" si="1"/>
        <v>36855.75625</v>
      </c>
      <c r="U822" s="4" t="b">
        <f t="shared" si="2"/>
        <v>1</v>
      </c>
      <c r="V822" s="4" t="b">
        <f t="shared" si="3"/>
        <v>0</v>
      </c>
      <c r="W822" s="4" t="str">
        <f t="shared" si="8"/>
        <v>Distance/Location</v>
      </c>
      <c r="X822" s="4" t="str">
        <f t="shared" si="4"/>
        <v>mwc</v>
      </c>
      <c r="Y822" s="4">
        <f t="shared" si="5"/>
        <v>1</v>
      </c>
      <c r="Z822" s="4" t="str">
        <f t="shared" si="6"/>
        <v>Unique</v>
      </c>
      <c r="AA822" s="4" t="str">
        <f t="shared" si="7"/>
        <v>Valid</v>
      </c>
    </row>
    <row r="823">
      <c r="A823" s="3" t="s">
        <v>1904</v>
      </c>
      <c r="B823" s="3">
        <v>6.8</v>
      </c>
      <c r="C823" s="3" t="s">
        <v>1905</v>
      </c>
      <c r="D823" s="3">
        <v>0.0</v>
      </c>
      <c r="E823" s="3">
        <v>6.0</v>
      </c>
      <c r="F823" s="4"/>
      <c r="G823" s="3">
        <v>0.0</v>
      </c>
      <c r="H823" s="3">
        <v>711.0</v>
      </c>
      <c r="I823" s="3" t="s">
        <v>110</v>
      </c>
      <c r="J823" s="3">
        <v>402.0</v>
      </c>
      <c r="K823" s="3">
        <v>0.0</v>
      </c>
      <c r="L823" s="3">
        <v>0.0</v>
      </c>
      <c r="M823" s="3" t="s">
        <v>224</v>
      </c>
      <c r="N823" s="3">
        <v>33.0</v>
      </c>
      <c r="O823" s="3">
        <v>-5.228</v>
      </c>
      <c r="P823" s="3">
        <v>151.771</v>
      </c>
      <c r="Q823" s="3" t="s">
        <v>633</v>
      </c>
      <c r="R823" s="4"/>
      <c r="S823" s="3" t="s">
        <v>168</v>
      </c>
      <c r="T823" s="16">
        <f t="shared" si="1"/>
        <v>36848.2875</v>
      </c>
      <c r="U823" s="4" t="b">
        <f t="shared" si="2"/>
        <v>1</v>
      </c>
      <c r="V823" s="4" t="b">
        <f t="shared" si="3"/>
        <v>0</v>
      </c>
      <c r="W823" s="4" t="str">
        <f t="shared" si="8"/>
        <v>Distance/Location</v>
      </c>
      <c r="X823" s="4" t="str">
        <f t="shared" si="4"/>
        <v>mwb</v>
      </c>
      <c r="Y823" s="4">
        <f t="shared" si="5"/>
        <v>1</v>
      </c>
      <c r="Z823" s="4" t="str">
        <f t="shared" si="6"/>
        <v>Unique</v>
      </c>
      <c r="AA823" s="4" t="str">
        <f t="shared" si="7"/>
        <v>Valid</v>
      </c>
    </row>
    <row r="824">
      <c r="A824" s="3" t="s">
        <v>1906</v>
      </c>
      <c r="B824" s="3">
        <v>6.6</v>
      </c>
      <c r="C824" s="3" t="s">
        <v>1907</v>
      </c>
      <c r="D824" s="3">
        <v>0.0</v>
      </c>
      <c r="E824" s="3">
        <v>6.0</v>
      </c>
      <c r="F824" s="4"/>
      <c r="G824" s="3">
        <v>0.0</v>
      </c>
      <c r="H824" s="3">
        <v>670.0</v>
      </c>
      <c r="I824" s="3" t="s">
        <v>110</v>
      </c>
      <c r="J824" s="3">
        <v>267.0</v>
      </c>
      <c r="K824" s="3">
        <v>0.0</v>
      </c>
      <c r="L824" s="3">
        <v>0.0</v>
      </c>
      <c r="M824" s="3" t="s">
        <v>204</v>
      </c>
      <c r="N824" s="3">
        <v>33.0</v>
      </c>
      <c r="O824" s="3">
        <v>-5.097</v>
      </c>
      <c r="P824" s="3">
        <v>153.181</v>
      </c>
      <c r="Q824" s="3" t="s">
        <v>633</v>
      </c>
      <c r="R824" s="4"/>
      <c r="S824" s="3" t="s">
        <v>168</v>
      </c>
      <c r="T824" s="16">
        <f t="shared" si="1"/>
        <v>36848.08681</v>
      </c>
      <c r="U824" s="4" t="b">
        <f t="shared" si="2"/>
        <v>1</v>
      </c>
      <c r="V824" s="4" t="b">
        <f t="shared" si="3"/>
        <v>0</v>
      </c>
      <c r="W824" s="4" t="str">
        <f t="shared" si="8"/>
        <v>Distance/Location</v>
      </c>
      <c r="X824" s="4" t="str">
        <f t="shared" si="4"/>
        <v>mwc</v>
      </c>
      <c r="Y824" s="4">
        <f t="shared" si="5"/>
        <v>1</v>
      </c>
      <c r="Z824" s="4" t="str">
        <f t="shared" si="6"/>
        <v>Unique</v>
      </c>
      <c r="AA824" s="4" t="str">
        <f t="shared" si="7"/>
        <v>Valid</v>
      </c>
    </row>
    <row r="825">
      <c r="A825" s="3" t="s">
        <v>1908</v>
      </c>
      <c r="B825" s="3">
        <v>7.8</v>
      </c>
      <c r="C825" s="3" t="s">
        <v>1909</v>
      </c>
      <c r="D825" s="3">
        <v>0.0</v>
      </c>
      <c r="E825" s="3">
        <v>7.0</v>
      </c>
      <c r="F825" s="4"/>
      <c r="G825" s="3">
        <v>0.0</v>
      </c>
      <c r="H825" s="3">
        <v>936.0</v>
      </c>
      <c r="I825" s="3" t="s">
        <v>110</v>
      </c>
      <c r="J825" s="3">
        <v>346.0</v>
      </c>
      <c r="K825" s="3">
        <v>0.0</v>
      </c>
      <c r="L825" s="3">
        <v>0.0</v>
      </c>
      <c r="M825" s="3" t="s">
        <v>204</v>
      </c>
      <c r="N825" s="3">
        <v>33.0</v>
      </c>
      <c r="O825" s="3">
        <v>-5.496</v>
      </c>
      <c r="P825" s="3">
        <v>151.781</v>
      </c>
      <c r="Q825" s="3" t="s">
        <v>633</v>
      </c>
      <c r="R825" s="4"/>
      <c r="S825" s="3" t="s">
        <v>168</v>
      </c>
      <c r="T825" s="16">
        <f t="shared" si="1"/>
        <v>36847.87569</v>
      </c>
      <c r="U825" s="4" t="b">
        <f t="shared" si="2"/>
        <v>1</v>
      </c>
      <c r="V825" s="4" t="b">
        <f t="shared" si="3"/>
        <v>0</v>
      </c>
      <c r="W825" s="4" t="str">
        <f t="shared" si="8"/>
        <v>Distance/Location</v>
      </c>
      <c r="X825" s="4" t="str">
        <f t="shared" si="4"/>
        <v>mwc</v>
      </c>
      <c r="Y825" s="4">
        <f t="shared" si="5"/>
        <v>1</v>
      </c>
      <c r="Z825" s="4" t="str">
        <f t="shared" si="6"/>
        <v>Unique</v>
      </c>
      <c r="AA825" s="4" t="str">
        <f t="shared" si="7"/>
        <v>Valid</v>
      </c>
    </row>
    <row r="826">
      <c r="A826" s="3" t="s">
        <v>1910</v>
      </c>
      <c r="B826" s="3">
        <v>6.5</v>
      </c>
      <c r="C826" s="3" t="s">
        <v>1911</v>
      </c>
      <c r="D826" s="3">
        <v>0.0</v>
      </c>
      <c r="E826" s="3">
        <v>6.0</v>
      </c>
      <c r="F826" s="4"/>
      <c r="G826" s="3">
        <v>0.0</v>
      </c>
      <c r="H826" s="3">
        <v>650.0</v>
      </c>
      <c r="I826" s="3" t="s">
        <v>110</v>
      </c>
      <c r="J826" s="3">
        <v>71.0</v>
      </c>
      <c r="K826" s="3">
        <v>0.0</v>
      </c>
      <c r="L826" s="3">
        <v>0.0</v>
      </c>
      <c r="M826" s="3" t="s">
        <v>1264</v>
      </c>
      <c r="N826" s="3">
        <v>33.0</v>
      </c>
      <c r="O826" s="3">
        <v>-4.827</v>
      </c>
      <c r="P826" s="3">
        <v>153.226</v>
      </c>
      <c r="Q826" s="3" t="s">
        <v>633</v>
      </c>
      <c r="R826" s="4"/>
      <c r="S826" s="3" t="s">
        <v>168</v>
      </c>
      <c r="T826" s="16">
        <f t="shared" si="1"/>
        <v>36846.32292</v>
      </c>
      <c r="U826" s="4" t="b">
        <f t="shared" si="2"/>
        <v>1</v>
      </c>
      <c r="V826" s="4" t="b">
        <f t="shared" si="3"/>
        <v>0</v>
      </c>
      <c r="W826" s="4" t="str">
        <f t="shared" si="8"/>
        <v>Distance/Location</v>
      </c>
      <c r="X826" s="4" t="str">
        <f t="shared" si="4"/>
        <v>mb</v>
      </c>
      <c r="Y826" s="4">
        <f t="shared" si="5"/>
        <v>1</v>
      </c>
      <c r="Z826" s="4" t="str">
        <f t="shared" si="6"/>
        <v>Unique</v>
      </c>
      <c r="AA826" s="4" t="str">
        <f t="shared" si="7"/>
        <v>Valid</v>
      </c>
    </row>
    <row r="827">
      <c r="A827" s="3" t="s">
        <v>1912</v>
      </c>
      <c r="B827" s="3">
        <v>7.8</v>
      </c>
      <c r="C827" s="3" t="s">
        <v>1913</v>
      </c>
      <c r="D827" s="3">
        <v>0.0</v>
      </c>
      <c r="E827" s="3">
        <v>7.0</v>
      </c>
      <c r="F827" s="4"/>
      <c r="G827" s="3">
        <v>0.0</v>
      </c>
      <c r="H827" s="3">
        <v>936.0</v>
      </c>
      <c r="I827" s="3" t="s">
        <v>110</v>
      </c>
      <c r="J827" s="3">
        <v>294.0</v>
      </c>
      <c r="K827" s="3">
        <v>0.0</v>
      </c>
      <c r="L827" s="3">
        <v>0.0</v>
      </c>
      <c r="M827" s="3" t="s">
        <v>204</v>
      </c>
      <c r="N827" s="3">
        <v>30.0</v>
      </c>
      <c r="O827" s="3">
        <v>-5.233</v>
      </c>
      <c r="P827" s="3">
        <v>153.102</v>
      </c>
      <c r="Q827" s="3" t="s">
        <v>633</v>
      </c>
      <c r="R827" s="4"/>
      <c r="S827" s="4"/>
      <c r="T827" s="16">
        <f t="shared" si="1"/>
        <v>36846.32083</v>
      </c>
      <c r="U827" s="4" t="b">
        <f t="shared" si="2"/>
        <v>1</v>
      </c>
      <c r="V827" s="4" t="b">
        <f t="shared" si="3"/>
        <v>0</v>
      </c>
      <c r="W827" s="4" t="str">
        <f t="shared" si="8"/>
        <v>Distance/Location</v>
      </c>
      <c r="X827" s="4" t="str">
        <f t="shared" si="4"/>
        <v>mwc</v>
      </c>
      <c r="Y827" s="4">
        <f t="shared" si="5"/>
        <v>1</v>
      </c>
      <c r="Z827" s="4" t="str">
        <f t="shared" si="6"/>
        <v>Unique</v>
      </c>
      <c r="AA827" s="4" t="str">
        <f t="shared" si="7"/>
        <v>Valid</v>
      </c>
    </row>
    <row r="828">
      <c r="A828" s="3" t="s">
        <v>1914</v>
      </c>
      <c r="B828" s="3">
        <v>8.0</v>
      </c>
      <c r="C828" s="3" t="s">
        <v>1915</v>
      </c>
      <c r="D828" s="3">
        <v>0.0</v>
      </c>
      <c r="E828" s="3">
        <v>7.0</v>
      </c>
      <c r="F828" s="4"/>
      <c r="G828" s="3">
        <v>0.0</v>
      </c>
      <c r="H828" s="3">
        <v>985.0</v>
      </c>
      <c r="I828" s="3" t="s">
        <v>110</v>
      </c>
      <c r="J828" s="3">
        <v>254.0</v>
      </c>
      <c r="K828" s="3">
        <v>0.0</v>
      </c>
      <c r="L828" s="3">
        <v>0.0</v>
      </c>
      <c r="M828" s="3" t="s">
        <v>204</v>
      </c>
      <c r="N828" s="3">
        <v>33.0</v>
      </c>
      <c r="O828" s="3">
        <v>-3.98</v>
      </c>
      <c r="P828" s="3">
        <v>152.169</v>
      </c>
      <c r="Q828" s="3" t="s">
        <v>781</v>
      </c>
      <c r="R828" s="4"/>
      <c r="S828" s="3" t="s">
        <v>168</v>
      </c>
      <c r="T828" s="16">
        <f t="shared" si="1"/>
        <v>36846.20417</v>
      </c>
      <c r="U828" s="4" t="b">
        <f t="shared" si="2"/>
        <v>1</v>
      </c>
      <c r="V828" s="4" t="b">
        <f t="shared" si="3"/>
        <v>0</v>
      </c>
      <c r="W828" s="4" t="str">
        <f t="shared" si="8"/>
        <v>Distance/Location</v>
      </c>
      <c r="X828" s="4" t="str">
        <f t="shared" si="4"/>
        <v>mwc</v>
      </c>
      <c r="Y828" s="4">
        <f t="shared" si="5"/>
        <v>1</v>
      </c>
      <c r="Z828" s="4" t="str">
        <f t="shared" si="6"/>
        <v>Unique</v>
      </c>
      <c r="AA828" s="4" t="str">
        <f t="shared" si="7"/>
        <v>Valid</v>
      </c>
    </row>
    <row r="829">
      <c r="A829" s="3" t="s">
        <v>1916</v>
      </c>
      <c r="B829" s="3">
        <v>6.5</v>
      </c>
      <c r="C829" s="17">
        <v>36749.290972222225</v>
      </c>
      <c r="D829" s="3">
        <v>0.0</v>
      </c>
      <c r="E829" s="3">
        <v>7.0</v>
      </c>
      <c r="F829" s="4"/>
      <c r="G829" s="3">
        <v>0.0</v>
      </c>
      <c r="H829" s="3">
        <v>650.0</v>
      </c>
      <c r="I829" s="3" t="s">
        <v>110</v>
      </c>
      <c r="J829" s="3">
        <v>462.0</v>
      </c>
      <c r="K829" s="3">
        <v>0.0</v>
      </c>
      <c r="L829" s="3">
        <v>0.0</v>
      </c>
      <c r="M829" s="3" t="s">
        <v>204</v>
      </c>
      <c r="N829" s="3">
        <v>17.0</v>
      </c>
      <c r="O829" s="3">
        <v>7.042</v>
      </c>
      <c r="P829" s="3">
        <v>-77.829</v>
      </c>
      <c r="Q829" s="3" t="s">
        <v>1917</v>
      </c>
      <c r="R829" s="4"/>
      <c r="S829" s="3" t="s">
        <v>140</v>
      </c>
      <c r="T829" s="16">
        <f t="shared" si="1"/>
        <v>36838.29097</v>
      </c>
      <c r="U829" s="4" t="b">
        <f t="shared" si="2"/>
        <v>1</v>
      </c>
      <c r="V829" s="4" t="b">
        <f t="shared" si="3"/>
        <v>1</v>
      </c>
      <c r="W829" s="4" t="str">
        <f t="shared" si="8"/>
        <v>Distance/Location</v>
      </c>
      <c r="X829" s="4" t="str">
        <f t="shared" si="4"/>
        <v>mwc</v>
      </c>
      <c r="Y829" s="4">
        <f t="shared" si="5"/>
        <v>1</v>
      </c>
      <c r="Z829" s="4" t="str">
        <f t="shared" si="6"/>
        <v>Unique</v>
      </c>
      <c r="AA829" s="4" t="str">
        <f t="shared" si="7"/>
        <v>Valid</v>
      </c>
    </row>
    <row r="830">
      <c r="A830" s="3" t="s">
        <v>1918</v>
      </c>
      <c r="B830" s="3">
        <v>7.0</v>
      </c>
      <c r="C830" s="3" t="s">
        <v>1919</v>
      </c>
      <c r="D830" s="3">
        <v>0.0</v>
      </c>
      <c r="E830" s="3">
        <v>7.0</v>
      </c>
      <c r="F830" s="4"/>
      <c r="G830" s="3">
        <v>0.0</v>
      </c>
      <c r="H830" s="3">
        <v>754.0</v>
      </c>
      <c r="I830" s="3" t="s">
        <v>110</v>
      </c>
      <c r="J830" s="3">
        <v>60.0</v>
      </c>
      <c r="K830" s="3">
        <v>0.0</v>
      </c>
      <c r="L830" s="3">
        <v>0.0</v>
      </c>
      <c r="M830" s="3" t="s">
        <v>204</v>
      </c>
      <c r="N830" s="3">
        <v>50.0</v>
      </c>
      <c r="O830" s="3">
        <v>-4.766</v>
      </c>
      <c r="P830" s="3">
        <v>153.945</v>
      </c>
      <c r="Q830" s="3" t="s">
        <v>633</v>
      </c>
      <c r="R830" s="4"/>
      <c r="S830" s="3" t="s">
        <v>168</v>
      </c>
      <c r="T830" s="16">
        <f t="shared" si="1"/>
        <v>36828.35903</v>
      </c>
      <c r="U830" s="4" t="b">
        <f t="shared" si="2"/>
        <v>1</v>
      </c>
      <c r="V830" s="4" t="b">
        <f t="shared" si="3"/>
        <v>0</v>
      </c>
      <c r="W830" s="4" t="str">
        <f t="shared" si="8"/>
        <v>Distance/Location</v>
      </c>
      <c r="X830" s="4" t="str">
        <f t="shared" si="4"/>
        <v>mwc</v>
      </c>
      <c r="Y830" s="4">
        <f t="shared" si="5"/>
        <v>1</v>
      </c>
      <c r="Z830" s="4" t="str">
        <f t="shared" si="6"/>
        <v>Unique</v>
      </c>
      <c r="AA830" s="4" t="str">
        <f t="shared" si="7"/>
        <v>Valid</v>
      </c>
    </row>
    <row r="831">
      <c r="A831" s="3" t="s">
        <v>1920</v>
      </c>
      <c r="B831" s="3">
        <v>6.8</v>
      </c>
      <c r="C831" s="3" t="s">
        <v>1921</v>
      </c>
      <c r="D831" s="3">
        <v>0.0</v>
      </c>
      <c r="E831" s="3">
        <v>6.0</v>
      </c>
      <c r="F831" s="4"/>
      <c r="G831" s="3">
        <v>0.0</v>
      </c>
      <c r="H831" s="3">
        <v>711.0</v>
      </c>
      <c r="I831" s="3" t="s">
        <v>110</v>
      </c>
      <c r="J831" s="3">
        <v>415.0</v>
      </c>
      <c r="K831" s="3">
        <v>0.0</v>
      </c>
      <c r="L831" s="3">
        <v>0.0</v>
      </c>
      <c r="M831" s="3" t="s">
        <v>204</v>
      </c>
      <c r="N831" s="3">
        <v>38.0</v>
      </c>
      <c r="O831" s="3">
        <v>-6.549</v>
      </c>
      <c r="P831" s="3">
        <v>105.63</v>
      </c>
      <c r="Q831" s="3" t="s">
        <v>294</v>
      </c>
      <c r="R831" s="4"/>
      <c r="S831" s="3" t="s">
        <v>153</v>
      </c>
      <c r="T831" s="16">
        <f t="shared" si="1"/>
        <v>36824.39722</v>
      </c>
      <c r="U831" s="4" t="b">
        <f t="shared" si="2"/>
        <v>1</v>
      </c>
      <c r="V831" s="4" t="b">
        <f t="shared" si="3"/>
        <v>0</v>
      </c>
      <c r="W831" s="4" t="str">
        <f t="shared" si="8"/>
        <v>Distance/Location</v>
      </c>
      <c r="X831" s="4" t="str">
        <f t="shared" si="4"/>
        <v>mwc</v>
      </c>
      <c r="Y831" s="4">
        <f t="shared" si="5"/>
        <v>1</v>
      </c>
      <c r="Z831" s="4" t="str">
        <f t="shared" si="6"/>
        <v>Unique</v>
      </c>
      <c r="AA831" s="4" t="str">
        <f t="shared" si="7"/>
        <v>Valid</v>
      </c>
    </row>
    <row r="832">
      <c r="A832" s="3" t="s">
        <v>1922</v>
      </c>
      <c r="B832" s="3">
        <v>6.7</v>
      </c>
      <c r="C832" s="17">
        <v>36687.1875</v>
      </c>
      <c r="D832" s="3">
        <v>0.0</v>
      </c>
      <c r="E832" s="3">
        <v>8.0</v>
      </c>
      <c r="F832" s="4"/>
      <c r="G832" s="3">
        <v>0.0</v>
      </c>
      <c r="H832" s="3">
        <v>691.0</v>
      </c>
      <c r="I832" s="3" t="s">
        <v>110</v>
      </c>
      <c r="J832" s="3">
        <v>390.0</v>
      </c>
      <c r="K832" s="3">
        <v>0.0</v>
      </c>
      <c r="L832" s="3">
        <v>0.0</v>
      </c>
      <c r="M832" s="3" t="s">
        <v>204</v>
      </c>
      <c r="N832" s="3">
        <v>10.0</v>
      </c>
      <c r="O832" s="3">
        <v>35.456</v>
      </c>
      <c r="P832" s="3">
        <v>133.134</v>
      </c>
      <c r="Q832" s="3" t="s">
        <v>1923</v>
      </c>
      <c r="R832" s="3" t="s">
        <v>164</v>
      </c>
      <c r="S832" s="3" t="s">
        <v>371</v>
      </c>
      <c r="T832" s="16">
        <f t="shared" si="1"/>
        <v>36805.1875</v>
      </c>
      <c r="U832" s="4" t="b">
        <f t="shared" si="2"/>
        <v>1</v>
      </c>
      <c r="V832" s="4" t="b">
        <f t="shared" si="3"/>
        <v>1</v>
      </c>
      <c r="W832" s="4" t="str">
        <f t="shared" si="8"/>
        <v>Distance/Location</v>
      </c>
      <c r="X832" s="4" t="str">
        <f t="shared" si="4"/>
        <v>mwc</v>
      </c>
      <c r="Y832" s="4">
        <f t="shared" si="5"/>
        <v>1</v>
      </c>
      <c r="Z832" s="4" t="str">
        <f t="shared" si="6"/>
        <v>Unique</v>
      </c>
      <c r="AA832" s="4" t="str">
        <f t="shared" si="7"/>
        <v>Valid</v>
      </c>
    </row>
    <row r="833">
      <c r="A833" s="3" t="s">
        <v>1924</v>
      </c>
      <c r="B833" s="3">
        <v>7.0</v>
      </c>
      <c r="C833" s="17">
        <v>36626.70694444444</v>
      </c>
      <c r="D833" s="3">
        <v>0.0</v>
      </c>
      <c r="E833" s="3">
        <v>7.0</v>
      </c>
      <c r="F833" s="4"/>
      <c r="G833" s="3">
        <v>0.0</v>
      </c>
      <c r="H833" s="3">
        <v>754.0</v>
      </c>
      <c r="I833" s="3" t="s">
        <v>110</v>
      </c>
      <c r="J833" s="3">
        <v>357.0</v>
      </c>
      <c r="K833" s="3">
        <v>0.0</v>
      </c>
      <c r="L833" s="3">
        <v>0.0</v>
      </c>
      <c r="M833" s="3" t="s">
        <v>204</v>
      </c>
      <c r="N833" s="3">
        <v>23.0</v>
      </c>
      <c r="O833" s="3">
        <v>-15.421</v>
      </c>
      <c r="P833" s="3">
        <v>166.91</v>
      </c>
      <c r="Q833" s="3" t="s">
        <v>1517</v>
      </c>
      <c r="R833" s="4"/>
      <c r="S833" s="3" t="s">
        <v>113</v>
      </c>
      <c r="T833" s="16">
        <f t="shared" si="1"/>
        <v>36803.70694</v>
      </c>
      <c r="U833" s="4" t="b">
        <f t="shared" si="2"/>
        <v>1</v>
      </c>
      <c r="V833" s="4" t="b">
        <f t="shared" si="3"/>
        <v>1</v>
      </c>
      <c r="W833" s="4" t="str">
        <f t="shared" si="8"/>
        <v>Distance/Location</v>
      </c>
      <c r="X833" s="4" t="str">
        <f t="shared" si="4"/>
        <v>mwc</v>
      </c>
      <c r="Y833" s="4">
        <f t="shared" si="5"/>
        <v>1</v>
      </c>
      <c r="Z833" s="4" t="str">
        <f t="shared" si="6"/>
        <v>Unique</v>
      </c>
      <c r="AA833" s="4" t="str">
        <f t="shared" si="7"/>
        <v>Valid</v>
      </c>
    </row>
    <row r="834">
      <c r="A834" s="3" t="s">
        <v>1925</v>
      </c>
      <c r="B834" s="3">
        <v>6.5</v>
      </c>
      <c r="C834" s="17">
        <v>36566.100694444445</v>
      </c>
      <c r="D834" s="3">
        <v>0.0</v>
      </c>
      <c r="E834" s="3">
        <v>6.0</v>
      </c>
      <c r="F834" s="4"/>
      <c r="G834" s="3">
        <v>0.0</v>
      </c>
      <c r="H834" s="3">
        <v>650.0</v>
      </c>
      <c r="I834" s="3" t="s">
        <v>110</v>
      </c>
      <c r="J834" s="3">
        <v>415.0</v>
      </c>
      <c r="K834" s="3">
        <v>0.0</v>
      </c>
      <c r="L834" s="3">
        <v>0.0</v>
      </c>
      <c r="M834" s="3" t="s">
        <v>224</v>
      </c>
      <c r="N834" s="3">
        <v>34.0</v>
      </c>
      <c r="O834" s="3">
        <v>-7.977</v>
      </c>
      <c r="P834" s="3">
        <v>30.709</v>
      </c>
      <c r="Q834" s="3" t="s">
        <v>1926</v>
      </c>
      <c r="R834" s="3" t="s">
        <v>715</v>
      </c>
      <c r="S834" s="3" t="s">
        <v>1605</v>
      </c>
      <c r="T834" s="16">
        <f t="shared" si="1"/>
        <v>36801.10069</v>
      </c>
      <c r="U834" s="4" t="b">
        <f t="shared" si="2"/>
        <v>1</v>
      </c>
      <c r="V834" s="4" t="b">
        <f t="shared" si="3"/>
        <v>1</v>
      </c>
      <c r="W834" s="4" t="str">
        <f t="shared" si="8"/>
        <v>Distance/Location</v>
      </c>
      <c r="X834" s="4" t="str">
        <f t="shared" si="4"/>
        <v>mwb</v>
      </c>
      <c r="Y834" s="4">
        <f t="shared" si="5"/>
        <v>1</v>
      </c>
      <c r="Z834" s="4" t="str">
        <f t="shared" si="6"/>
        <v>Unique</v>
      </c>
      <c r="AA834" s="4" t="str">
        <f t="shared" si="7"/>
        <v>Valid</v>
      </c>
    </row>
    <row r="835">
      <c r="A835" s="3" t="s">
        <v>1927</v>
      </c>
      <c r="B835" s="3">
        <v>6.8</v>
      </c>
      <c r="C835" s="3" t="s">
        <v>1928</v>
      </c>
      <c r="D835" s="3">
        <v>0.0</v>
      </c>
      <c r="E835" s="3">
        <v>6.0</v>
      </c>
      <c r="F835" s="4"/>
      <c r="G835" s="3">
        <v>0.0</v>
      </c>
      <c r="H835" s="3">
        <v>711.0</v>
      </c>
      <c r="I835" s="3" t="s">
        <v>110</v>
      </c>
      <c r="J835" s="3">
        <v>336.0</v>
      </c>
      <c r="K835" s="3">
        <v>0.0</v>
      </c>
      <c r="L835" s="3">
        <v>0.0</v>
      </c>
      <c r="M835" s="3" t="s">
        <v>204</v>
      </c>
      <c r="N835" s="3">
        <v>16.0</v>
      </c>
      <c r="O835" s="3">
        <v>-4.11</v>
      </c>
      <c r="P835" s="3">
        <v>127.394</v>
      </c>
      <c r="Q835" s="3" t="s">
        <v>1594</v>
      </c>
      <c r="R835" s="4"/>
      <c r="S835" s="3" t="s">
        <v>153</v>
      </c>
      <c r="T835" s="16">
        <f t="shared" si="1"/>
        <v>36766.62847</v>
      </c>
      <c r="U835" s="4" t="b">
        <f t="shared" si="2"/>
        <v>1</v>
      </c>
      <c r="V835" s="4" t="b">
        <f t="shared" si="3"/>
        <v>0</v>
      </c>
      <c r="W835" s="4" t="str">
        <f t="shared" si="8"/>
        <v>Distance/Location</v>
      </c>
      <c r="X835" s="4" t="str">
        <f t="shared" si="4"/>
        <v>mwc</v>
      </c>
      <c r="Y835" s="4">
        <f t="shared" si="5"/>
        <v>1</v>
      </c>
      <c r="Z835" s="4" t="str">
        <f t="shared" si="6"/>
        <v>Unique</v>
      </c>
      <c r="AA835" s="4" t="str">
        <f t="shared" si="7"/>
        <v>Valid</v>
      </c>
    </row>
    <row r="836">
      <c r="A836" s="3" t="s">
        <v>1929</v>
      </c>
      <c r="B836" s="3">
        <v>6.5</v>
      </c>
      <c r="C836" s="17">
        <v>36777.486805555556</v>
      </c>
      <c r="D836" s="3">
        <v>0.0</v>
      </c>
      <c r="E836" s="3">
        <v>6.0</v>
      </c>
      <c r="F836" s="4"/>
      <c r="G836" s="3">
        <v>0.0</v>
      </c>
      <c r="H836" s="3">
        <v>650.0</v>
      </c>
      <c r="I836" s="3" t="s">
        <v>110</v>
      </c>
      <c r="J836" s="3">
        <v>481.0</v>
      </c>
      <c r="K836" s="3">
        <v>0.0</v>
      </c>
      <c r="L836" s="3">
        <v>0.0</v>
      </c>
      <c r="M836" s="3" t="s">
        <v>204</v>
      </c>
      <c r="N836" s="3">
        <v>45.8</v>
      </c>
      <c r="O836" s="3">
        <v>18.198</v>
      </c>
      <c r="P836" s="3">
        <v>-102.48</v>
      </c>
      <c r="Q836" s="3" t="s">
        <v>1192</v>
      </c>
      <c r="R836" s="3" t="s">
        <v>233</v>
      </c>
      <c r="S836" s="3" t="s">
        <v>234</v>
      </c>
      <c r="T836" s="16">
        <f t="shared" si="1"/>
        <v>36747.48681</v>
      </c>
      <c r="U836" s="4" t="b">
        <f t="shared" si="2"/>
        <v>1</v>
      </c>
      <c r="V836" s="4" t="b">
        <f t="shared" si="3"/>
        <v>1</v>
      </c>
      <c r="W836" s="4" t="str">
        <f t="shared" si="8"/>
        <v>Distance/Location</v>
      </c>
      <c r="X836" s="4" t="str">
        <f t="shared" si="4"/>
        <v>mwc</v>
      </c>
      <c r="Y836" s="4">
        <f t="shared" si="5"/>
        <v>1</v>
      </c>
      <c r="Z836" s="4" t="str">
        <f t="shared" si="6"/>
        <v>Unique</v>
      </c>
      <c r="AA836" s="4" t="str">
        <f t="shared" si="7"/>
        <v>Valid</v>
      </c>
    </row>
    <row r="837">
      <c r="A837" s="3" t="s">
        <v>1930</v>
      </c>
      <c r="B837" s="3">
        <v>6.8</v>
      </c>
      <c r="C837" s="17">
        <v>36624.88402777778</v>
      </c>
      <c r="D837" s="3">
        <v>0.0</v>
      </c>
      <c r="E837" s="3">
        <v>7.0</v>
      </c>
      <c r="F837" s="4"/>
      <c r="G837" s="3">
        <v>0.0</v>
      </c>
      <c r="H837" s="3">
        <v>711.0</v>
      </c>
      <c r="I837" s="3" t="s">
        <v>110</v>
      </c>
      <c r="J837" s="3">
        <v>593.0</v>
      </c>
      <c r="K837" s="3">
        <v>0.0</v>
      </c>
      <c r="L837" s="3">
        <v>0.0</v>
      </c>
      <c r="M837" s="3" t="s">
        <v>204</v>
      </c>
      <c r="N837" s="3">
        <v>10.0</v>
      </c>
      <c r="O837" s="3">
        <v>48.786</v>
      </c>
      <c r="P837" s="3">
        <v>142.246</v>
      </c>
      <c r="Q837" s="3" t="s">
        <v>1931</v>
      </c>
      <c r="R837" s="3" t="s">
        <v>164</v>
      </c>
      <c r="S837" s="3" t="s">
        <v>464</v>
      </c>
      <c r="T837" s="16">
        <f t="shared" si="1"/>
        <v>36742.88403</v>
      </c>
      <c r="U837" s="4" t="b">
        <f t="shared" si="2"/>
        <v>1</v>
      </c>
      <c r="V837" s="4" t="b">
        <f t="shared" si="3"/>
        <v>1</v>
      </c>
      <c r="W837" s="4" t="str">
        <f t="shared" si="8"/>
        <v>Distance/Location</v>
      </c>
      <c r="X837" s="4" t="str">
        <f t="shared" si="4"/>
        <v>mwc</v>
      </c>
      <c r="Y837" s="4">
        <f t="shared" si="5"/>
        <v>1</v>
      </c>
      <c r="Z837" s="4" t="str">
        <f t="shared" si="6"/>
        <v>Unique</v>
      </c>
      <c r="AA837" s="4" t="str">
        <f t="shared" si="7"/>
        <v>Valid</v>
      </c>
    </row>
    <row r="838">
      <c r="A838" s="3" t="s">
        <v>1932</v>
      </c>
      <c r="B838" s="3">
        <v>6.6</v>
      </c>
      <c r="C838" s="17">
        <v>36593.04791666667</v>
      </c>
      <c r="D838" s="3">
        <v>0.0</v>
      </c>
      <c r="E838" s="3">
        <v>6.0</v>
      </c>
      <c r="F838" s="4"/>
      <c r="G838" s="3">
        <v>0.0</v>
      </c>
      <c r="H838" s="3">
        <v>670.0</v>
      </c>
      <c r="I838" s="3" t="s">
        <v>110</v>
      </c>
      <c r="J838" s="3">
        <v>218.0</v>
      </c>
      <c r="K838" s="3">
        <v>0.0</v>
      </c>
      <c r="L838" s="3">
        <v>0.0</v>
      </c>
      <c r="M838" s="3" t="s">
        <v>204</v>
      </c>
      <c r="N838" s="3">
        <v>33.0</v>
      </c>
      <c r="O838" s="3">
        <v>-12.037</v>
      </c>
      <c r="P838" s="3">
        <v>166.448</v>
      </c>
      <c r="Q838" s="3" t="s">
        <v>450</v>
      </c>
      <c r="R838" s="4"/>
      <c r="S838" s="4"/>
      <c r="T838" s="16">
        <f t="shared" si="1"/>
        <v>36741.04792</v>
      </c>
      <c r="U838" s="4" t="b">
        <f t="shared" si="2"/>
        <v>1</v>
      </c>
      <c r="V838" s="4" t="b">
        <f t="shared" si="3"/>
        <v>1</v>
      </c>
      <c r="W838" s="4" t="str">
        <f t="shared" si="8"/>
        <v>Distance/Location</v>
      </c>
      <c r="X838" s="4" t="str">
        <f t="shared" si="4"/>
        <v>mwc</v>
      </c>
      <c r="Y838" s="4">
        <f t="shared" si="5"/>
        <v>1</v>
      </c>
      <c r="Z838" s="4" t="str">
        <f t="shared" si="6"/>
        <v>Unique</v>
      </c>
      <c r="AA838" s="4" t="str">
        <f t="shared" si="7"/>
        <v>Valid</v>
      </c>
    </row>
    <row r="839">
      <c r="A839" s="3" t="s">
        <v>1933</v>
      </c>
      <c r="B839" s="3">
        <v>6.5</v>
      </c>
      <c r="C839" s="3" t="s">
        <v>1934</v>
      </c>
      <c r="D839" s="3">
        <v>0.0</v>
      </c>
      <c r="E839" s="3">
        <v>7.0</v>
      </c>
      <c r="F839" s="4"/>
      <c r="G839" s="3">
        <v>0.0</v>
      </c>
      <c r="H839" s="3">
        <v>650.0</v>
      </c>
      <c r="I839" s="3" t="s">
        <v>110</v>
      </c>
      <c r="J839" s="3">
        <v>428.0</v>
      </c>
      <c r="K839" s="3">
        <v>0.0</v>
      </c>
      <c r="L839" s="3">
        <v>0.0</v>
      </c>
      <c r="M839" s="3" t="s">
        <v>204</v>
      </c>
      <c r="N839" s="3">
        <v>10.0</v>
      </c>
      <c r="O839" s="3">
        <v>33.901</v>
      </c>
      <c r="P839" s="3">
        <v>139.376</v>
      </c>
      <c r="Q839" s="3" t="s">
        <v>1935</v>
      </c>
      <c r="R839" s="4"/>
      <c r="S839" s="3" t="s">
        <v>371</v>
      </c>
      <c r="T839" s="16">
        <f t="shared" si="1"/>
        <v>36737.51736</v>
      </c>
      <c r="U839" s="4" t="b">
        <f t="shared" si="2"/>
        <v>1</v>
      </c>
      <c r="V839" s="4" t="b">
        <f t="shared" si="3"/>
        <v>0</v>
      </c>
      <c r="W839" s="4" t="str">
        <f t="shared" si="8"/>
        <v>Distance/Location</v>
      </c>
      <c r="X839" s="4" t="str">
        <f t="shared" si="4"/>
        <v>mwc</v>
      </c>
      <c r="Y839" s="4">
        <f t="shared" si="5"/>
        <v>1</v>
      </c>
      <c r="Z839" s="4" t="str">
        <f t="shared" si="6"/>
        <v>Unique</v>
      </c>
      <c r="AA839" s="4" t="str">
        <f t="shared" si="7"/>
        <v>Valid</v>
      </c>
    </row>
    <row r="840">
      <c r="A840" s="3" t="s">
        <v>1936</v>
      </c>
      <c r="B840" s="3">
        <v>6.6</v>
      </c>
      <c r="C840" s="3" t="s">
        <v>1937</v>
      </c>
      <c r="D840" s="3">
        <v>0.0</v>
      </c>
      <c r="E840" s="3">
        <v>5.0</v>
      </c>
      <c r="F840" s="4"/>
      <c r="G840" s="3">
        <v>0.0</v>
      </c>
      <c r="H840" s="3">
        <v>670.0</v>
      </c>
      <c r="I840" s="3" t="s">
        <v>110</v>
      </c>
      <c r="J840" s="3">
        <v>367.0</v>
      </c>
      <c r="K840" s="3">
        <v>0.0</v>
      </c>
      <c r="L840" s="3">
        <v>0.0</v>
      </c>
      <c r="M840" s="3" t="s">
        <v>204</v>
      </c>
      <c r="N840" s="3">
        <v>10.0</v>
      </c>
      <c r="O840" s="3">
        <v>-7.747</v>
      </c>
      <c r="P840" s="3">
        <v>150.917</v>
      </c>
      <c r="Q840" s="3" t="s">
        <v>774</v>
      </c>
      <c r="R840" s="4"/>
      <c r="S840" s="4"/>
      <c r="T840" s="16">
        <f t="shared" si="1"/>
        <v>36723.16458</v>
      </c>
      <c r="U840" s="4" t="b">
        <f t="shared" si="2"/>
        <v>1</v>
      </c>
      <c r="V840" s="4" t="b">
        <f t="shared" si="3"/>
        <v>0</v>
      </c>
      <c r="W840" s="4" t="str">
        <f t="shared" si="8"/>
        <v>Distance/Location</v>
      </c>
      <c r="X840" s="4" t="str">
        <f t="shared" si="4"/>
        <v>mwc</v>
      </c>
      <c r="Y840" s="4">
        <f t="shared" si="5"/>
        <v>1</v>
      </c>
      <c r="Z840" s="4" t="str">
        <f t="shared" si="6"/>
        <v>Unique</v>
      </c>
      <c r="AA840" s="4" t="str">
        <f t="shared" si="7"/>
        <v>Valid</v>
      </c>
    </row>
    <row r="841">
      <c r="A841" s="3" t="s">
        <v>1938</v>
      </c>
      <c r="B841" s="3">
        <v>6.5</v>
      </c>
      <c r="C841" s="17">
        <v>36837.063888888886</v>
      </c>
      <c r="D841" s="3">
        <v>0.0</v>
      </c>
      <c r="E841" s="3">
        <v>6.0</v>
      </c>
      <c r="F841" s="4"/>
      <c r="G841" s="3">
        <v>0.0</v>
      </c>
      <c r="H841" s="3">
        <v>650.0</v>
      </c>
      <c r="I841" s="3" t="s">
        <v>316</v>
      </c>
      <c r="J841" s="3">
        <v>0.0</v>
      </c>
      <c r="K841" s="3">
        <v>0.0</v>
      </c>
      <c r="L841" s="3">
        <v>0.0</v>
      </c>
      <c r="M841" s="3" t="s">
        <v>514</v>
      </c>
      <c r="N841" s="3">
        <v>42.9</v>
      </c>
      <c r="O841" s="3">
        <v>57.3546</v>
      </c>
      <c r="P841" s="3">
        <v>-154.198</v>
      </c>
      <c r="Q841" s="3" t="s">
        <v>1939</v>
      </c>
      <c r="R841" s="3" t="s">
        <v>233</v>
      </c>
      <c r="S841" s="3" t="s">
        <v>318</v>
      </c>
      <c r="T841" s="16">
        <f t="shared" si="1"/>
        <v>36718.06389</v>
      </c>
      <c r="U841" s="4" t="b">
        <f t="shared" si="2"/>
        <v>1</v>
      </c>
      <c r="V841" s="4" t="b">
        <f t="shared" si="3"/>
        <v>1</v>
      </c>
      <c r="W841" s="4" t="str">
        <f t="shared" si="8"/>
        <v>Distance/Location</v>
      </c>
      <c r="X841" s="4" t="str">
        <f t="shared" si="4"/>
        <v>mw</v>
      </c>
      <c r="Y841" s="4">
        <f t="shared" si="5"/>
        <v>1</v>
      </c>
      <c r="Z841" s="4" t="str">
        <f t="shared" si="6"/>
        <v>Unique</v>
      </c>
      <c r="AA841" s="4" t="str">
        <f t="shared" si="7"/>
        <v>Valid</v>
      </c>
    </row>
    <row r="842">
      <c r="A842" s="3" t="s">
        <v>1940</v>
      </c>
      <c r="B842" s="3">
        <v>6.5</v>
      </c>
      <c r="C842" s="3" t="s">
        <v>1941</v>
      </c>
      <c r="D842" s="3">
        <v>0.0</v>
      </c>
      <c r="E842" s="3">
        <v>9.0</v>
      </c>
      <c r="F842" s="4"/>
      <c r="G842" s="3">
        <v>0.0</v>
      </c>
      <c r="H842" s="3">
        <v>650.0</v>
      </c>
      <c r="I842" s="3" t="s">
        <v>110</v>
      </c>
      <c r="J842" s="3">
        <v>351.0</v>
      </c>
      <c r="K842" s="3">
        <v>0.0</v>
      </c>
      <c r="L842" s="3">
        <v>0.0</v>
      </c>
      <c r="M842" s="3" t="s">
        <v>204</v>
      </c>
      <c r="N842" s="3">
        <v>10.0</v>
      </c>
      <c r="O842" s="3">
        <v>63.98</v>
      </c>
      <c r="P842" s="3">
        <v>-20.758</v>
      </c>
      <c r="Q842" s="3" t="s">
        <v>1942</v>
      </c>
      <c r="R842" s="4"/>
      <c r="S842" s="3" t="s">
        <v>1943</v>
      </c>
      <c r="T842" s="16">
        <f t="shared" si="1"/>
        <v>36698.03542</v>
      </c>
      <c r="U842" s="4" t="b">
        <f t="shared" si="2"/>
        <v>1</v>
      </c>
      <c r="V842" s="4" t="b">
        <f t="shared" si="3"/>
        <v>0</v>
      </c>
      <c r="W842" s="4" t="str">
        <f t="shared" si="8"/>
        <v>Distance/Location</v>
      </c>
      <c r="X842" s="4" t="str">
        <f t="shared" si="4"/>
        <v>mwc</v>
      </c>
      <c r="Y842" s="4">
        <f t="shared" si="5"/>
        <v>1</v>
      </c>
      <c r="Z842" s="4" t="str">
        <f t="shared" si="6"/>
        <v>Unique</v>
      </c>
      <c r="AA842" s="4" t="str">
        <f t="shared" si="7"/>
        <v>Valid</v>
      </c>
    </row>
    <row r="843">
      <c r="A843" s="3" t="s">
        <v>1944</v>
      </c>
      <c r="B843" s="3">
        <v>7.9</v>
      </c>
      <c r="C843" s="3" t="s">
        <v>1945</v>
      </c>
      <c r="D843" s="3">
        <v>0.0</v>
      </c>
      <c r="E843" s="3">
        <v>5.0</v>
      </c>
      <c r="F843" s="4"/>
      <c r="G843" s="3">
        <v>0.0</v>
      </c>
      <c r="H843" s="3">
        <v>960.0</v>
      </c>
      <c r="I843" s="3" t="s">
        <v>110</v>
      </c>
      <c r="J843" s="3">
        <v>405.0</v>
      </c>
      <c r="K843" s="3">
        <v>0.0</v>
      </c>
      <c r="L843" s="3">
        <v>0.0</v>
      </c>
      <c r="M843" s="3" t="s">
        <v>204</v>
      </c>
      <c r="N843" s="3">
        <v>10.0</v>
      </c>
      <c r="O843" s="3">
        <v>-13.802</v>
      </c>
      <c r="P843" s="3">
        <v>97.453</v>
      </c>
      <c r="Q843" s="3" t="s">
        <v>1946</v>
      </c>
      <c r="R843" s="4"/>
      <c r="S843" s="4"/>
      <c r="T843" s="16">
        <f t="shared" si="1"/>
        <v>36695.61389</v>
      </c>
      <c r="U843" s="4" t="b">
        <f t="shared" si="2"/>
        <v>1</v>
      </c>
      <c r="V843" s="4" t="b">
        <f t="shared" si="3"/>
        <v>0</v>
      </c>
      <c r="W843" s="4" t="str">
        <f t="shared" si="8"/>
        <v>Named Region</v>
      </c>
      <c r="X843" s="4" t="str">
        <f t="shared" si="4"/>
        <v>mwc</v>
      </c>
      <c r="Y843" s="4">
        <f t="shared" si="5"/>
        <v>1</v>
      </c>
      <c r="Z843" s="4" t="str">
        <f t="shared" si="6"/>
        <v>Unique</v>
      </c>
      <c r="AA843" s="4" t="str">
        <f t="shared" si="7"/>
        <v>Valid</v>
      </c>
    </row>
    <row r="844">
      <c r="A844" s="3" t="s">
        <v>1947</v>
      </c>
      <c r="B844" s="3">
        <v>6.5</v>
      </c>
      <c r="C844" s="3" t="s">
        <v>1948</v>
      </c>
      <c r="D844" s="3">
        <v>0.0</v>
      </c>
      <c r="E844" s="3">
        <v>8.0</v>
      </c>
      <c r="F844" s="4"/>
      <c r="G844" s="3">
        <v>0.0</v>
      </c>
      <c r="H844" s="3">
        <v>650.0</v>
      </c>
      <c r="I844" s="3" t="s">
        <v>110</v>
      </c>
      <c r="J844" s="3">
        <v>406.0</v>
      </c>
      <c r="K844" s="3">
        <v>0.0</v>
      </c>
      <c r="L844" s="3">
        <v>0.0</v>
      </c>
      <c r="M844" s="3" t="s">
        <v>204</v>
      </c>
      <c r="N844" s="3">
        <v>10.0</v>
      </c>
      <c r="O844" s="3">
        <v>63.966</v>
      </c>
      <c r="P844" s="3">
        <v>-20.487</v>
      </c>
      <c r="Q844" s="3" t="s">
        <v>1942</v>
      </c>
      <c r="R844" s="4"/>
      <c r="S844" s="3" t="s">
        <v>1943</v>
      </c>
      <c r="T844" s="16">
        <f t="shared" si="1"/>
        <v>36694.65278</v>
      </c>
      <c r="U844" s="4" t="b">
        <f t="shared" si="2"/>
        <v>1</v>
      </c>
      <c r="V844" s="4" t="b">
        <f t="shared" si="3"/>
        <v>0</v>
      </c>
      <c r="W844" s="4" t="str">
        <f t="shared" si="8"/>
        <v>Distance/Location</v>
      </c>
      <c r="X844" s="4" t="str">
        <f t="shared" si="4"/>
        <v>mwc</v>
      </c>
      <c r="Y844" s="4">
        <f t="shared" si="5"/>
        <v>1</v>
      </c>
      <c r="Z844" s="4" t="str">
        <f t="shared" si="6"/>
        <v>Unique</v>
      </c>
      <c r="AA844" s="4" t="str">
        <f t="shared" si="7"/>
        <v>Valid</v>
      </c>
    </row>
    <row r="845">
      <c r="A845" s="3" t="s">
        <v>1949</v>
      </c>
      <c r="B845" s="3">
        <v>6.7</v>
      </c>
      <c r="C845" s="17">
        <v>36713.989583333336</v>
      </c>
      <c r="D845" s="3">
        <v>0.0</v>
      </c>
      <c r="E845" s="3">
        <v>5.0</v>
      </c>
      <c r="F845" s="4"/>
      <c r="G845" s="3">
        <v>0.0</v>
      </c>
      <c r="H845" s="3">
        <v>691.0</v>
      </c>
      <c r="I845" s="3" t="s">
        <v>110</v>
      </c>
      <c r="J845" s="3">
        <v>352.0</v>
      </c>
      <c r="K845" s="3">
        <v>0.0</v>
      </c>
      <c r="L845" s="3">
        <v>0.0</v>
      </c>
      <c r="M845" s="3" t="s">
        <v>204</v>
      </c>
      <c r="N845" s="3">
        <v>33.0</v>
      </c>
      <c r="O845" s="3">
        <v>-4.612</v>
      </c>
      <c r="P845" s="3">
        <v>101.905</v>
      </c>
      <c r="Q845" s="3" t="s">
        <v>217</v>
      </c>
      <c r="R845" s="4"/>
      <c r="S845" s="3" t="s">
        <v>153</v>
      </c>
      <c r="T845" s="16">
        <f t="shared" si="1"/>
        <v>36684.98958</v>
      </c>
      <c r="U845" s="4" t="b">
        <f t="shared" si="2"/>
        <v>1</v>
      </c>
      <c r="V845" s="4" t="b">
        <f t="shared" si="3"/>
        <v>1</v>
      </c>
      <c r="W845" s="4" t="str">
        <f t="shared" si="8"/>
        <v>Distance/Location</v>
      </c>
      <c r="X845" s="4" t="str">
        <f t="shared" si="4"/>
        <v>mwc</v>
      </c>
      <c r="Y845" s="4">
        <f t="shared" si="5"/>
        <v>1</v>
      </c>
      <c r="Z845" s="4" t="str">
        <f t="shared" si="6"/>
        <v>Unique</v>
      </c>
      <c r="AA845" s="4" t="str">
        <f t="shared" si="7"/>
        <v>Valid</v>
      </c>
    </row>
    <row r="846">
      <c r="A846" s="3" t="s">
        <v>1950</v>
      </c>
      <c r="B846" s="3">
        <v>6.7</v>
      </c>
      <c r="C846" s="17">
        <v>36622.69375</v>
      </c>
      <c r="D846" s="3">
        <v>0.0</v>
      </c>
      <c r="E846" s="3">
        <v>5.0</v>
      </c>
      <c r="F846" s="4"/>
      <c r="G846" s="3">
        <v>0.0</v>
      </c>
      <c r="H846" s="3">
        <v>691.0</v>
      </c>
      <c r="I846" s="3" t="s">
        <v>110</v>
      </c>
      <c r="J846" s="3">
        <v>147.0</v>
      </c>
      <c r="K846" s="3">
        <v>0.0</v>
      </c>
      <c r="L846" s="3">
        <v>0.0</v>
      </c>
      <c r="M846" s="3" t="s">
        <v>1264</v>
      </c>
      <c r="N846" s="3">
        <v>33.0</v>
      </c>
      <c r="O846" s="3">
        <v>-4.646</v>
      </c>
      <c r="P846" s="3">
        <v>102.102</v>
      </c>
      <c r="Q846" s="3" t="s">
        <v>217</v>
      </c>
      <c r="R846" s="4"/>
      <c r="S846" s="3" t="s">
        <v>153</v>
      </c>
      <c r="T846" s="16">
        <f t="shared" si="1"/>
        <v>36681.69375</v>
      </c>
      <c r="U846" s="4" t="b">
        <f t="shared" si="2"/>
        <v>1</v>
      </c>
      <c r="V846" s="4" t="b">
        <f t="shared" si="3"/>
        <v>1</v>
      </c>
      <c r="W846" s="4" t="str">
        <f t="shared" si="8"/>
        <v>Distance/Location</v>
      </c>
      <c r="X846" s="4" t="str">
        <f t="shared" si="4"/>
        <v>mb</v>
      </c>
      <c r="Y846" s="4">
        <f t="shared" si="5"/>
        <v>1</v>
      </c>
      <c r="Z846" s="4" t="str">
        <f t="shared" si="6"/>
        <v>Unique</v>
      </c>
      <c r="AA846" s="4" t="str">
        <f t="shared" si="7"/>
        <v>Valid</v>
      </c>
    </row>
    <row r="847">
      <c r="A847" s="3" t="s">
        <v>1951</v>
      </c>
      <c r="B847" s="3">
        <v>7.9</v>
      </c>
      <c r="C847" s="17">
        <v>36622.686111111114</v>
      </c>
      <c r="D847" s="3">
        <v>0.0</v>
      </c>
      <c r="E847" s="3">
        <v>8.0</v>
      </c>
      <c r="F847" s="4"/>
      <c r="G847" s="3">
        <v>0.0</v>
      </c>
      <c r="H847" s="3">
        <v>960.0</v>
      </c>
      <c r="I847" s="3" t="s">
        <v>110</v>
      </c>
      <c r="J847" s="3">
        <v>379.0</v>
      </c>
      <c r="K847" s="3">
        <v>0.0</v>
      </c>
      <c r="L847" s="3">
        <v>0.0</v>
      </c>
      <c r="M847" s="3" t="s">
        <v>204</v>
      </c>
      <c r="N847" s="3">
        <v>33.0</v>
      </c>
      <c r="O847" s="3">
        <v>-4.721</v>
      </c>
      <c r="P847" s="3">
        <v>102.087</v>
      </c>
      <c r="Q847" s="3" t="s">
        <v>217</v>
      </c>
      <c r="R847" s="4"/>
      <c r="S847" s="3" t="s">
        <v>153</v>
      </c>
      <c r="T847" s="16">
        <f t="shared" si="1"/>
        <v>36681.68611</v>
      </c>
      <c r="U847" s="4" t="b">
        <f t="shared" si="2"/>
        <v>1</v>
      </c>
      <c r="V847" s="4" t="b">
        <f t="shared" si="3"/>
        <v>1</v>
      </c>
      <c r="W847" s="4" t="str">
        <f t="shared" si="8"/>
        <v>Distance/Location</v>
      </c>
      <c r="X847" s="4" t="str">
        <f t="shared" si="4"/>
        <v>mwc</v>
      </c>
      <c r="Y847" s="4">
        <f t="shared" si="5"/>
        <v>1</v>
      </c>
      <c r="Z847" s="4" t="str">
        <f t="shared" si="6"/>
        <v>Unique</v>
      </c>
      <c r="AA847" s="4" t="str">
        <f t="shared" si="7"/>
        <v>Valid</v>
      </c>
    </row>
    <row r="848">
      <c r="A848" s="3" t="s">
        <v>1952</v>
      </c>
      <c r="B848" s="3">
        <v>7.2</v>
      </c>
      <c r="C848" s="17">
        <v>36865.779861111114</v>
      </c>
      <c r="D848" s="3">
        <v>0.0</v>
      </c>
      <c r="E848" s="3">
        <v>5.0</v>
      </c>
      <c r="F848" s="4"/>
      <c r="G848" s="3">
        <v>0.0</v>
      </c>
      <c r="H848" s="3">
        <v>798.0</v>
      </c>
      <c r="I848" s="3" t="s">
        <v>110</v>
      </c>
      <c r="J848" s="3">
        <v>0.0</v>
      </c>
      <c r="K848" s="3">
        <v>0.0</v>
      </c>
      <c r="L848" s="3">
        <v>0.0</v>
      </c>
      <c r="M848" s="3" t="s">
        <v>204</v>
      </c>
      <c r="N848" s="3">
        <v>225.0</v>
      </c>
      <c r="O848" s="3">
        <v>-23.548</v>
      </c>
      <c r="P848" s="3">
        <v>-66.452</v>
      </c>
      <c r="Q848" s="3" t="s">
        <v>171</v>
      </c>
      <c r="R848" s="3" t="s">
        <v>121</v>
      </c>
      <c r="S848" s="3" t="s">
        <v>122</v>
      </c>
      <c r="T848" s="16">
        <f t="shared" si="1"/>
        <v>36658.77986</v>
      </c>
      <c r="U848" s="4" t="b">
        <f t="shared" si="2"/>
        <v>1</v>
      </c>
      <c r="V848" s="4" t="b">
        <f t="shared" si="3"/>
        <v>1</v>
      </c>
      <c r="W848" s="4" t="str">
        <f t="shared" si="8"/>
        <v>Distance/Location</v>
      </c>
      <c r="X848" s="4" t="str">
        <f t="shared" si="4"/>
        <v>mwc</v>
      </c>
      <c r="Y848" s="4">
        <f t="shared" si="5"/>
        <v>1</v>
      </c>
      <c r="Z848" s="4" t="str">
        <f t="shared" si="6"/>
        <v>Unique</v>
      </c>
      <c r="AA848" s="4" t="str">
        <f t="shared" si="7"/>
        <v>Valid</v>
      </c>
    </row>
    <row r="849">
      <c r="A849" s="3" t="s">
        <v>1953</v>
      </c>
      <c r="B849" s="3">
        <v>7.6</v>
      </c>
      <c r="C849" s="17">
        <v>36621.18125</v>
      </c>
      <c r="D849" s="3">
        <v>0.0</v>
      </c>
      <c r="E849" s="3">
        <v>7.0</v>
      </c>
      <c r="F849" s="4"/>
      <c r="G849" s="3">
        <v>0.0</v>
      </c>
      <c r="H849" s="3">
        <v>889.0</v>
      </c>
      <c r="I849" s="3" t="s">
        <v>110</v>
      </c>
      <c r="J849" s="3">
        <v>0.0</v>
      </c>
      <c r="K849" s="3">
        <v>0.0</v>
      </c>
      <c r="L849" s="3">
        <v>0.0</v>
      </c>
      <c r="M849" s="3" t="s">
        <v>204</v>
      </c>
      <c r="N849" s="3">
        <v>26.0</v>
      </c>
      <c r="O849" s="3">
        <v>-1.105</v>
      </c>
      <c r="P849" s="3">
        <v>123.573</v>
      </c>
      <c r="Q849" s="3" t="s">
        <v>534</v>
      </c>
      <c r="R849" s="4"/>
      <c r="S849" s="3" t="s">
        <v>153</v>
      </c>
      <c r="T849" s="16">
        <f t="shared" si="1"/>
        <v>36650.18125</v>
      </c>
      <c r="U849" s="4" t="b">
        <f t="shared" si="2"/>
        <v>1</v>
      </c>
      <c r="V849" s="4" t="b">
        <f t="shared" si="3"/>
        <v>1</v>
      </c>
      <c r="W849" s="4" t="str">
        <f t="shared" si="8"/>
        <v>Distance/Location</v>
      </c>
      <c r="X849" s="4" t="str">
        <f t="shared" si="4"/>
        <v>mwc</v>
      </c>
      <c r="Y849" s="4">
        <f t="shared" si="5"/>
        <v>1</v>
      </c>
      <c r="Z849" s="4" t="str">
        <f t="shared" si="6"/>
        <v>Unique</v>
      </c>
      <c r="AA849" s="4" t="str">
        <f t="shared" si="7"/>
        <v>Valid</v>
      </c>
    </row>
    <row r="850">
      <c r="A850" s="3" t="s">
        <v>1954</v>
      </c>
      <c r="B850" s="3">
        <v>6.6</v>
      </c>
      <c r="C850" s="17">
        <v>36588.93194444444</v>
      </c>
      <c r="D850" s="3">
        <v>0.0</v>
      </c>
      <c r="E850" s="3">
        <v>8.0</v>
      </c>
      <c r="F850" s="4"/>
      <c r="G850" s="3">
        <v>0.0</v>
      </c>
      <c r="H850" s="3">
        <v>670.0</v>
      </c>
      <c r="I850" s="3" t="s">
        <v>110</v>
      </c>
      <c r="J850" s="3">
        <v>0.0</v>
      </c>
      <c r="K850" s="3">
        <v>0.0</v>
      </c>
      <c r="L850" s="3">
        <v>0.0</v>
      </c>
      <c r="M850" s="3" t="s">
        <v>204</v>
      </c>
      <c r="N850" s="3">
        <v>10.0</v>
      </c>
      <c r="O850" s="3">
        <v>-6.817</v>
      </c>
      <c r="P850" s="3">
        <v>143.807</v>
      </c>
      <c r="Q850" s="3" t="s">
        <v>1955</v>
      </c>
      <c r="R850" s="4"/>
      <c r="S850" s="3" t="s">
        <v>168</v>
      </c>
      <c r="T850" s="16">
        <f t="shared" si="1"/>
        <v>36588.93194</v>
      </c>
      <c r="U850" s="4" t="b">
        <f t="shared" si="2"/>
        <v>1</v>
      </c>
      <c r="V850" s="4" t="b">
        <f t="shared" si="3"/>
        <v>1</v>
      </c>
      <c r="W850" s="4" t="str">
        <f t="shared" si="8"/>
        <v>Distance/Location</v>
      </c>
      <c r="X850" s="4" t="str">
        <f t="shared" si="4"/>
        <v>mwc</v>
      </c>
      <c r="Y850" s="4">
        <f t="shared" si="5"/>
        <v>1</v>
      </c>
      <c r="Z850" s="4" t="str">
        <f t="shared" si="6"/>
        <v>Unique</v>
      </c>
      <c r="AA850" s="4" t="str">
        <f t="shared" si="7"/>
        <v>Valid</v>
      </c>
    </row>
    <row r="851">
      <c r="A851" s="3" t="s">
        <v>1956</v>
      </c>
      <c r="B851" s="3">
        <v>6.6</v>
      </c>
      <c r="C851" s="17">
        <v>36679.48125</v>
      </c>
      <c r="D851" s="3">
        <v>0.0</v>
      </c>
      <c r="E851" s="3">
        <v>6.0</v>
      </c>
      <c r="F851" s="4"/>
      <c r="G851" s="3">
        <v>0.0</v>
      </c>
      <c r="H851" s="3">
        <v>670.0</v>
      </c>
      <c r="I851" s="3" t="s">
        <v>110</v>
      </c>
      <c r="J851" s="3">
        <v>0.0</v>
      </c>
      <c r="K851" s="3">
        <v>0.0</v>
      </c>
      <c r="L851" s="3">
        <v>0.0</v>
      </c>
      <c r="M851" s="3" t="s">
        <v>204</v>
      </c>
      <c r="N851" s="3">
        <v>33.0</v>
      </c>
      <c r="O851" s="3">
        <v>-5.844</v>
      </c>
      <c r="P851" s="3">
        <v>150.876</v>
      </c>
      <c r="Q851" s="3" t="s">
        <v>187</v>
      </c>
      <c r="R851" s="4"/>
      <c r="S851" s="3" t="s">
        <v>168</v>
      </c>
      <c r="T851" s="16">
        <f t="shared" si="1"/>
        <v>36562.48125</v>
      </c>
      <c r="U851" s="4" t="b">
        <f t="shared" si="2"/>
        <v>1</v>
      </c>
      <c r="V851" s="4" t="b">
        <f t="shared" si="3"/>
        <v>1</v>
      </c>
      <c r="W851" s="4" t="str">
        <f t="shared" si="8"/>
        <v>Distance/Location</v>
      </c>
      <c r="X851" s="4" t="str">
        <f t="shared" si="4"/>
        <v>mwc</v>
      </c>
      <c r="Y851" s="4">
        <f t="shared" si="5"/>
        <v>1</v>
      </c>
      <c r="Z851" s="4" t="str">
        <f t="shared" si="6"/>
        <v>Unique</v>
      </c>
      <c r="AA851" s="4" t="str">
        <f t="shared" si="7"/>
        <v>Valid</v>
      </c>
    </row>
    <row r="852">
      <c r="A852" s="3" t="s">
        <v>1957</v>
      </c>
      <c r="B852" s="3">
        <v>6.8</v>
      </c>
      <c r="C852" s="3" t="s">
        <v>1958</v>
      </c>
      <c r="D852" s="3">
        <v>0.0</v>
      </c>
      <c r="E852" s="3">
        <v>6.0</v>
      </c>
      <c r="F852" s="4"/>
      <c r="G852" s="3">
        <v>0.0</v>
      </c>
      <c r="H852" s="3">
        <v>711.0</v>
      </c>
      <c r="I852" s="3" t="s">
        <v>110</v>
      </c>
      <c r="J852" s="3">
        <v>0.0</v>
      </c>
      <c r="K852" s="3">
        <v>0.0</v>
      </c>
      <c r="L852" s="3">
        <v>0.0</v>
      </c>
      <c r="M852" s="3" t="s">
        <v>204</v>
      </c>
      <c r="N852" s="3">
        <v>61.1</v>
      </c>
      <c r="O852" s="3">
        <v>43.046</v>
      </c>
      <c r="P852" s="3">
        <v>146.837</v>
      </c>
      <c r="Q852" s="3" t="s">
        <v>1959</v>
      </c>
      <c r="R852" s="4"/>
      <c r="S852" s="4"/>
      <c r="T852" s="16">
        <f t="shared" si="1"/>
        <v>36553.59792</v>
      </c>
      <c r="U852" s="4" t="b">
        <f t="shared" si="2"/>
        <v>1</v>
      </c>
      <c r="V852" s="4" t="b">
        <f t="shared" si="3"/>
        <v>0</v>
      </c>
      <c r="W852" s="4" t="str">
        <f t="shared" si="8"/>
        <v>Distance/Location</v>
      </c>
      <c r="X852" s="4" t="str">
        <f t="shared" si="4"/>
        <v>mwc</v>
      </c>
      <c r="Y852" s="4">
        <f t="shared" si="5"/>
        <v>1</v>
      </c>
      <c r="Z852" s="4" t="str">
        <f t="shared" si="6"/>
        <v>Unique</v>
      </c>
      <c r="AA852" s="4" t="str">
        <f t="shared" si="7"/>
        <v>Valid</v>
      </c>
    </row>
    <row r="853">
      <c r="A853" s="3" t="s">
        <v>1960</v>
      </c>
      <c r="B853" s="3">
        <v>7.2</v>
      </c>
      <c r="C853" s="17">
        <v>36739.69930555556</v>
      </c>
      <c r="D853" s="3">
        <v>0.0</v>
      </c>
      <c r="E853" s="3">
        <v>6.0</v>
      </c>
      <c r="F853" s="4"/>
      <c r="G853" s="3">
        <v>0.0</v>
      </c>
      <c r="H853" s="3">
        <v>798.0</v>
      </c>
      <c r="I853" s="3" t="s">
        <v>110</v>
      </c>
      <c r="J853" s="3">
        <v>0.0</v>
      </c>
      <c r="K853" s="3">
        <v>0.0</v>
      </c>
      <c r="L853" s="3">
        <v>0.0</v>
      </c>
      <c r="M853" s="3" t="s">
        <v>204</v>
      </c>
      <c r="N853" s="3">
        <v>183.4</v>
      </c>
      <c r="O853" s="3">
        <v>-16.925</v>
      </c>
      <c r="P853" s="3">
        <v>-174.248</v>
      </c>
      <c r="Q853" s="3" t="s">
        <v>147</v>
      </c>
      <c r="R853" s="4"/>
      <c r="S853" s="4"/>
      <c r="T853" s="16">
        <f t="shared" si="1"/>
        <v>36533.69931</v>
      </c>
      <c r="U853" s="4" t="b">
        <f t="shared" si="2"/>
        <v>1</v>
      </c>
      <c r="V853" s="4" t="b">
        <f t="shared" si="3"/>
        <v>1</v>
      </c>
      <c r="W853" s="4" t="str">
        <f t="shared" si="8"/>
        <v>Distance/Location</v>
      </c>
      <c r="X853" s="4" t="str">
        <f t="shared" si="4"/>
        <v>mwc</v>
      </c>
      <c r="Y853" s="4">
        <f t="shared" si="5"/>
        <v>1</v>
      </c>
      <c r="Z853" s="4" t="str">
        <f t="shared" si="6"/>
        <v>Unique</v>
      </c>
      <c r="AA853" s="4" t="str">
        <f t="shared" si="7"/>
        <v>Valid</v>
      </c>
    </row>
    <row r="854">
      <c r="A854" s="3" t="s">
        <v>1961</v>
      </c>
      <c r="B854" s="3">
        <v>6.9</v>
      </c>
      <c r="C854" s="3" t="s">
        <v>1962</v>
      </c>
      <c r="D854" s="3">
        <v>0.0</v>
      </c>
      <c r="E854" s="3">
        <v>6.0</v>
      </c>
      <c r="F854" s="4"/>
      <c r="G854" s="3">
        <v>0.0</v>
      </c>
      <c r="H854" s="3">
        <v>732.0</v>
      </c>
      <c r="I854" s="3" t="s">
        <v>110</v>
      </c>
      <c r="J854" s="3">
        <v>0.0</v>
      </c>
      <c r="K854" s="3">
        <v>0.0</v>
      </c>
      <c r="L854" s="3">
        <v>0.0</v>
      </c>
      <c r="M854" s="3" t="s">
        <v>224</v>
      </c>
      <c r="N854" s="3">
        <v>33.0</v>
      </c>
      <c r="O854" s="3">
        <v>-10.86</v>
      </c>
      <c r="P854" s="3">
        <v>165.354</v>
      </c>
      <c r="Q854" s="3" t="s">
        <v>450</v>
      </c>
      <c r="R854" s="4"/>
      <c r="S854" s="4"/>
      <c r="T854" s="16">
        <f t="shared" si="1"/>
        <v>36523.56181</v>
      </c>
      <c r="U854" s="4" t="b">
        <f t="shared" si="2"/>
        <v>1</v>
      </c>
      <c r="V854" s="4" t="b">
        <f t="shared" si="3"/>
        <v>0</v>
      </c>
      <c r="W854" s="4" t="str">
        <f t="shared" si="8"/>
        <v>Distance/Location</v>
      </c>
      <c r="X854" s="4" t="str">
        <f t="shared" si="4"/>
        <v>mwb</v>
      </c>
      <c r="Y854" s="4">
        <f t="shared" si="5"/>
        <v>1</v>
      </c>
      <c r="Z854" s="4" t="str">
        <f t="shared" si="6"/>
        <v>Unique</v>
      </c>
      <c r="AA854" s="4" t="str">
        <f t="shared" si="7"/>
        <v>Valid</v>
      </c>
    </row>
    <row r="855">
      <c r="A855" s="3" t="s">
        <v>1963</v>
      </c>
      <c r="B855" s="3">
        <v>6.5</v>
      </c>
      <c r="C855" s="3" t="s">
        <v>1964</v>
      </c>
      <c r="D855" s="3">
        <v>0.0</v>
      </c>
      <c r="E855" s="3">
        <v>6.0</v>
      </c>
      <c r="F855" s="4"/>
      <c r="G855" s="3">
        <v>0.0</v>
      </c>
      <c r="H855" s="3">
        <v>650.0</v>
      </c>
      <c r="I855" s="3" t="s">
        <v>110</v>
      </c>
      <c r="J855" s="3">
        <v>0.0</v>
      </c>
      <c r="K855" s="3">
        <v>0.0</v>
      </c>
      <c r="L855" s="3">
        <v>0.0</v>
      </c>
      <c r="M855" s="3" t="s">
        <v>224</v>
      </c>
      <c r="N855" s="3">
        <v>56.0</v>
      </c>
      <c r="O855" s="3">
        <v>-6.845</v>
      </c>
      <c r="P855" s="3">
        <v>105.555</v>
      </c>
      <c r="Q855" s="3" t="s">
        <v>294</v>
      </c>
      <c r="R855" s="4"/>
      <c r="S855" s="3" t="s">
        <v>153</v>
      </c>
      <c r="T855" s="16">
        <f t="shared" si="1"/>
        <v>36515.59306</v>
      </c>
      <c r="U855" s="4" t="b">
        <f t="shared" si="2"/>
        <v>1</v>
      </c>
      <c r="V855" s="4" t="b">
        <f t="shared" si="3"/>
        <v>0</v>
      </c>
      <c r="W855" s="4" t="str">
        <f t="shared" si="8"/>
        <v>Distance/Location</v>
      </c>
      <c r="X855" s="4" t="str">
        <f t="shared" si="4"/>
        <v>mwb</v>
      </c>
      <c r="Y855" s="4">
        <f t="shared" si="5"/>
        <v>1</v>
      </c>
      <c r="Z855" s="4" t="str">
        <f t="shared" si="6"/>
        <v>Unique</v>
      </c>
      <c r="AA855" s="4" t="str">
        <f t="shared" si="7"/>
        <v>Valid</v>
      </c>
    </row>
    <row r="856">
      <c r="A856" s="3" t="s">
        <v>1965</v>
      </c>
      <c r="B856" s="3">
        <v>7.3</v>
      </c>
      <c r="C856" s="18">
        <v>36476.75208333333</v>
      </c>
      <c r="D856" s="3">
        <v>0.0</v>
      </c>
      <c r="E856" s="3">
        <v>7.0</v>
      </c>
      <c r="F856" s="4"/>
      <c r="G856" s="3">
        <v>0.0</v>
      </c>
      <c r="H856" s="3">
        <v>820.0</v>
      </c>
      <c r="I856" s="3" t="s">
        <v>110</v>
      </c>
      <c r="J856" s="3">
        <v>0.0</v>
      </c>
      <c r="K856" s="3">
        <v>0.0</v>
      </c>
      <c r="L856" s="3">
        <v>0.0</v>
      </c>
      <c r="M856" s="3" t="s">
        <v>204</v>
      </c>
      <c r="N856" s="3">
        <v>33.0</v>
      </c>
      <c r="O856" s="3">
        <v>15.766</v>
      </c>
      <c r="P856" s="3">
        <v>119.74</v>
      </c>
      <c r="Q856" s="3" t="s">
        <v>1966</v>
      </c>
      <c r="R856" s="4"/>
      <c r="S856" s="3" t="s">
        <v>258</v>
      </c>
      <c r="T856" s="16">
        <f t="shared" si="1"/>
        <v>36505.75208</v>
      </c>
      <c r="U856" s="4" t="b">
        <f t="shared" si="2"/>
        <v>1</v>
      </c>
      <c r="V856" s="4" t="b">
        <f t="shared" si="3"/>
        <v>1</v>
      </c>
      <c r="W856" s="4" t="str">
        <f t="shared" si="8"/>
        <v>Distance/Location</v>
      </c>
      <c r="X856" s="4" t="str">
        <f t="shared" si="4"/>
        <v>mwc</v>
      </c>
      <c r="Y856" s="4">
        <f t="shared" si="5"/>
        <v>1</v>
      </c>
      <c r="Z856" s="4" t="str">
        <f t="shared" si="6"/>
        <v>Unique</v>
      </c>
      <c r="AA856" s="4" t="str">
        <f t="shared" si="7"/>
        <v>Valid</v>
      </c>
    </row>
    <row r="857">
      <c r="A857" s="3" t="s">
        <v>1967</v>
      </c>
      <c r="B857" s="3">
        <v>7.0</v>
      </c>
      <c r="C857" s="17">
        <v>36323.96666666667</v>
      </c>
      <c r="D857" s="3">
        <v>0.0</v>
      </c>
      <c r="E857" s="3">
        <v>7.0</v>
      </c>
      <c r="F857" s="4"/>
      <c r="G857" s="3">
        <v>0.0</v>
      </c>
      <c r="H857" s="3">
        <v>754.0</v>
      </c>
      <c r="I857" s="3" t="s">
        <v>316</v>
      </c>
      <c r="J857" s="3">
        <v>0.0</v>
      </c>
      <c r="K857" s="3">
        <v>0.0</v>
      </c>
      <c r="L857" s="3">
        <v>0.0</v>
      </c>
      <c r="M857" s="3" t="s">
        <v>514</v>
      </c>
      <c r="N857" s="3">
        <v>43.6</v>
      </c>
      <c r="O857" s="3">
        <v>57.3424</v>
      </c>
      <c r="P857" s="3">
        <v>-154.347</v>
      </c>
      <c r="Q857" s="3" t="s">
        <v>1968</v>
      </c>
      <c r="R857" s="3" t="s">
        <v>233</v>
      </c>
      <c r="S857" s="3" t="s">
        <v>318</v>
      </c>
      <c r="T857" s="16">
        <f t="shared" si="1"/>
        <v>36500.96667</v>
      </c>
      <c r="U857" s="4" t="b">
        <f t="shared" si="2"/>
        <v>1</v>
      </c>
      <c r="V857" s="4" t="b">
        <f t="shared" si="3"/>
        <v>1</v>
      </c>
      <c r="W857" s="4" t="str">
        <f t="shared" si="8"/>
        <v>Distance/Location</v>
      </c>
      <c r="X857" s="4" t="str">
        <f t="shared" si="4"/>
        <v>mw</v>
      </c>
      <c r="Y857" s="4">
        <f t="shared" si="5"/>
        <v>1</v>
      </c>
      <c r="Z857" s="4" t="str">
        <f t="shared" si="6"/>
        <v>Unique</v>
      </c>
      <c r="AA857" s="4" t="str">
        <f t="shared" si="7"/>
        <v>Valid</v>
      </c>
    </row>
    <row r="858">
      <c r="A858" s="3" t="s">
        <v>1969</v>
      </c>
      <c r="B858" s="3">
        <v>6.6</v>
      </c>
      <c r="C858" s="3" t="s">
        <v>1970</v>
      </c>
      <c r="D858" s="3">
        <v>0.0</v>
      </c>
      <c r="E858" s="3">
        <v>5.0</v>
      </c>
      <c r="F858" s="4"/>
      <c r="G858" s="3">
        <v>0.0</v>
      </c>
      <c r="H858" s="3">
        <v>670.0</v>
      </c>
      <c r="I858" s="3" t="s">
        <v>110</v>
      </c>
      <c r="J858" s="3">
        <v>0.0</v>
      </c>
      <c r="K858" s="3">
        <v>0.0</v>
      </c>
      <c r="L858" s="3">
        <v>0.0</v>
      </c>
      <c r="M858" s="3" t="s">
        <v>224</v>
      </c>
      <c r="N858" s="3">
        <v>128.1</v>
      </c>
      <c r="O858" s="3">
        <v>-18.901</v>
      </c>
      <c r="P858" s="3">
        <v>-69.171</v>
      </c>
      <c r="Q858" s="3" t="s">
        <v>1971</v>
      </c>
      <c r="R858" s="3" t="s">
        <v>121</v>
      </c>
      <c r="S858" s="3" t="s">
        <v>414</v>
      </c>
      <c r="T858" s="16">
        <f t="shared" si="1"/>
        <v>36494.16736</v>
      </c>
      <c r="U858" s="4" t="b">
        <f t="shared" si="2"/>
        <v>1</v>
      </c>
      <c r="V858" s="4" t="b">
        <f t="shared" si="3"/>
        <v>0</v>
      </c>
      <c r="W858" s="4" t="str">
        <f t="shared" si="8"/>
        <v>Distance/Location</v>
      </c>
      <c r="X858" s="4" t="str">
        <f t="shared" si="4"/>
        <v>mwb</v>
      </c>
      <c r="Y858" s="4">
        <f t="shared" si="5"/>
        <v>1</v>
      </c>
      <c r="Z858" s="4" t="str">
        <f t="shared" si="6"/>
        <v>Unique</v>
      </c>
      <c r="AA858" s="4" t="str">
        <f t="shared" si="7"/>
        <v>Valid</v>
      </c>
    </row>
    <row r="859">
      <c r="A859" s="3" t="s">
        <v>1972</v>
      </c>
      <c r="B859" s="3">
        <v>7.5</v>
      </c>
      <c r="C859" s="3" t="s">
        <v>1973</v>
      </c>
      <c r="D859" s="3">
        <v>0.0</v>
      </c>
      <c r="E859" s="3">
        <v>7.0</v>
      </c>
      <c r="F859" s="4"/>
      <c r="G859" s="3">
        <v>0.0</v>
      </c>
      <c r="H859" s="3">
        <v>865.0</v>
      </c>
      <c r="I859" s="3" t="s">
        <v>110</v>
      </c>
      <c r="J859" s="3">
        <v>0.0</v>
      </c>
      <c r="K859" s="3">
        <v>0.0</v>
      </c>
      <c r="L859" s="3">
        <v>0.0</v>
      </c>
      <c r="M859" s="3" t="s">
        <v>204</v>
      </c>
      <c r="N859" s="3">
        <v>33.0</v>
      </c>
      <c r="O859" s="3">
        <v>-16.423</v>
      </c>
      <c r="P859" s="3">
        <v>168.214</v>
      </c>
      <c r="Q859" s="3" t="s">
        <v>503</v>
      </c>
      <c r="R859" s="4"/>
      <c r="S859" s="3" t="s">
        <v>113</v>
      </c>
      <c r="T859" s="16">
        <f t="shared" si="1"/>
        <v>36490.55625</v>
      </c>
      <c r="U859" s="4" t="b">
        <f t="shared" si="2"/>
        <v>1</v>
      </c>
      <c r="V859" s="4" t="b">
        <f t="shared" si="3"/>
        <v>0</v>
      </c>
      <c r="W859" s="4" t="str">
        <f t="shared" si="8"/>
        <v>Distance/Location</v>
      </c>
      <c r="X859" s="4" t="str">
        <f t="shared" si="4"/>
        <v>mwc</v>
      </c>
      <c r="Y859" s="4">
        <f t="shared" si="5"/>
        <v>1</v>
      </c>
      <c r="Z859" s="4" t="str">
        <f t="shared" si="6"/>
        <v>Unique</v>
      </c>
      <c r="AA859" s="4" t="str">
        <f t="shared" si="7"/>
        <v>Valid</v>
      </c>
    </row>
    <row r="860">
      <c r="A860" s="3" t="s">
        <v>1974</v>
      </c>
      <c r="B860" s="3">
        <v>7.0</v>
      </c>
      <c r="C860" s="3" t="s">
        <v>1975</v>
      </c>
      <c r="D860" s="3">
        <v>0.0</v>
      </c>
      <c r="E860" s="3">
        <v>6.0</v>
      </c>
      <c r="F860" s="4"/>
      <c r="G860" s="3">
        <v>0.0</v>
      </c>
      <c r="H860" s="3">
        <v>754.0</v>
      </c>
      <c r="I860" s="3" t="s">
        <v>110</v>
      </c>
      <c r="J860" s="3">
        <v>0.0</v>
      </c>
      <c r="K860" s="3">
        <v>0.0</v>
      </c>
      <c r="L860" s="3">
        <v>0.0</v>
      </c>
      <c r="M860" s="3" t="s">
        <v>204</v>
      </c>
      <c r="N860" s="3">
        <v>33.0</v>
      </c>
      <c r="O860" s="3">
        <v>-6.351</v>
      </c>
      <c r="P860" s="3">
        <v>148.763</v>
      </c>
      <c r="Q860" s="3" t="s">
        <v>774</v>
      </c>
      <c r="R860" s="4"/>
      <c r="S860" s="3" t="s">
        <v>168</v>
      </c>
      <c r="T860" s="16">
        <f t="shared" si="1"/>
        <v>36483.58056</v>
      </c>
      <c r="U860" s="4" t="b">
        <f t="shared" si="2"/>
        <v>1</v>
      </c>
      <c r="V860" s="4" t="b">
        <f t="shared" si="3"/>
        <v>0</v>
      </c>
      <c r="W860" s="4" t="str">
        <f t="shared" si="8"/>
        <v>Distance/Location</v>
      </c>
      <c r="X860" s="4" t="str">
        <f t="shared" si="4"/>
        <v>mwc</v>
      </c>
      <c r="Y860" s="4">
        <f t="shared" si="5"/>
        <v>1</v>
      </c>
      <c r="Z860" s="4" t="str">
        <f t="shared" si="6"/>
        <v>Unique</v>
      </c>
      <c r="AA860" s="4" t="str">
        <f t="shared" si="7"/>
        <v>Valid</v>
      </c>
    </row>
    <row r="861">
      <c r="A861" s="3" t="s">
        <v>1976</v>
      </c>
      <c r="B861" s="3">
        <v>6.9</v>
      </c>
      <c r="C861" s="3" t="s">
        <v>1977</v>
      </c>
      <c r="D861" s="3">
        <v>0.0</v>
      </c>
      <c r="E861" s="3">
        <v>6.0</v>
      </c>
      <c r="F861" s="4"/>
      <c r="G861" s="3">
        <v>0.0</v>
      </c>
      <c r="H861" s="3">
        <v>732.0</v>
      </c>
      <c r="I861" s="3" t="s">
        <v>110</v>
      </c>
      <c r="J861" s="3">
        <v>0.0</v>
      </c>
      <c r="K861" s="3">
        <v>0.0</v>
      </c>
      <c r="L861" s="3">
        <v>0.0</v>
      </c>
      <c r="M861" s="3" t="s">
        <v>204</v>
      </c>
      <c r="N861" s="3">
        <v>47.5</v>
      </c>
      <c r="O861" s="3">
        <v>-5.978</v>
      </c>
      <c r="P861" s="3">
        <v>148.82</v>
      </c>
      <c r="Q861" s="3" t="s">
        <v>774</v>
      </c>
      <c r="R861" s="4"/>
      <c r="S861" s="3" t="s">
        <v>168</v>
      </c>
      <c r="T861" s="16">
        <f t="shared" si="1"/>
        <v>36481.14375</v>
      </c>
      <c r="U861" s="4" t="b">
        <f t="shared" si="2"/>
        <v>1</v>
      </c>
      <c r="V861" s="4" t="b">
        <f t="shared" si="3"/>
        <v>0</v>
      </c>
      <c r="W861" s="4" t="str">
        <f t="shared" si="8"/>
        <v>Distance/Location</v>
      </c>
      <c r="X861" s="4" t="str">
        <f t="shared" si="4"/>
        <v>mwc</v>
      </c>
      <c r="Y861" s="4">
        <f t="shared" si="5"/>
        <v>1</v>
      </c>
      <c r="Z861" s="4" t="str">
        <f t="shared" si="6"/>
        <v>Unique</v>
      </c>
      <c r="AA861" s="4" t="str">
        <f t="shared" si="7"/>
        <v>Valid</v>
      </c>
    </row>
    <row r="862">
      <c r="A862" s="3" t="s">
        <v>1978</v>
      </c>
      <c r="B862" s="3">
        <v>7.2</v>
      </c>
      <c r="C862" s="18">
        <v>36505.70625</v>
      </c>
      <c r="D862" s="3">
        <v>0.0</v>
      </c>
      <c r="E862" s="3">
        <v>9.0</v>
      </c>
      <c r="F862" s="4"/>
      <c r="G862" s="3">
        <v>0.0</v>
      </c>
      <c r="H862" s="3">
        <v>798.0</v>
      </c>
      <c r="I862" s="3" t="s">
        <v>110</v>
      </c>
      <c r="J862" s="3">
        <v>0.0</v>
      </c>
      <c r="K862" s="3">
        <v>0.0</v>
      </c>
      <c r="L862" s="3">
        <v>0.0</v>
      </c>
      <c r="M862" s="3" t="s">
        <v>204</v>
      </c>
      <c r="N862" s="3">
        <v>10.0</v>
      </c>
      <c r="O862" s="3">
        <v>40.758</v>
      </c>
      <c r="P862" s="3">
        <v>31.161</v>
      </c>
      <c r="Q862" s="3" t="s">
        <v>1979</v>
      </c>
      <c r="R862" s="3" t="s">
        <v>164</v>
      </c>
      <c r="S862" s="3" t="s">
        <v>471</v>
      </c>
      <c r="T862" s="16">
        <f t="shared" si="1"/>
        <v>36476.70625</v>
      </c>
      <c r="U862" s="4" t="b">
        <f t="shared" si="2"/>
        <v>1</v>
      </c>
      <c r="V862" s="4" t="b">
        <f t="shared" si="3"/>
        <v>1</v>
      </c>
      <c r="W862" s="4" t="str">
        <f t="shared" si="8"/>
        <v>Distance/Location</v>
      </c>
      <c r="X862" s="4" t="str">
        <f t="shared" si="4"/>
        <v>mwc</v>
      </c>
      <c r="Y862" s="4">
        <f t="shared" si="5"/>
        <v>1</v>
      </c>
      <c r="Z862" s="4" t="str">
        <f t="shared" si="6"/>
        <v>Unique</v>
      </c>
      <c r="AA862" s="4" t="str">
        <f t="shared" si="7"/>
        <v>Valid</v>
      </c>
    </row>
    <row r="863">
      <c r="A863" s="3" t="s">
        <v>1980</v>
      </c>
      <c r="B863" s="3">
        <v>6.5</v>
      </c>
      <c r="C863" s="17">
        <v>36383.697916666664</v>
      </c>
      <c r="D863" s="3">
        <v>0.0</v>
      </c>
      <c r="E863" s="3">
        <v>4.0</v>
      </c>
      <c r="F863" s="4"/>
      <c r="G863" s="3">
        <v>0.0</v>
      </c>
      <c r="H863" s="3">
        <v>650.0</v>
      </c>
      <c r="I863" s="3" t="s">
        <v>110</v>
      </c>
      <c r="J863" s="3">
        <v>0.0</v>
      </c>
      <c r="K863" s="3">
        <v>0.0</v>
      </c>
      <c r="L863" s="3">
        <v>0.0</v>
      </c>
      <c r="M863" s="3" t="s">
        <v>204</v>
      </c>
      <c r="N863" s="3">
        <v>228.4</v>
      </c>
      <c r="O863" s="3">
        <v>36.522</v>
      </c>
      <c r="P863" s="3">
        <v>71.24</v>
      </c>
      <c r="Q863" s="3" t="s">
        <v>813</v>
      </c>
      <c r="R863" s="3" t="s">
        <v>164</v>
      </c>
      <c r="S863" s="3" t="s">
        <v>175</v>
      </c>
      <c r="T863" s="16">
        <f t="shared" si="1"/>
        <v>36472.69792</v>
      </c>
      <c r="U863" s="4" t="b">
        <f t="shared" si="2"/>
        <v>1</v>
      </c>
      <c r="V863" s="4" t="b">
        <f t="shared" si="3"/>
        <v>1</v>
      </c>
      <c r="W863" s="4" t="str">
        <f t="shared" si="8"/>
        <v>Distance/Location</v>
      </c>
      <c r="X863" s="4" t="str">
        <f t="shared" si="4"/>
        <v>mwc</v>
      </c>
      <c r="Y863" s="4">
        <f t="shared" si="5"/>
        <v>1</v>
      </c>
      <c r="Z863" s="4" t="str">
        <f t="shared" si="6"/>
        <v>Unique</v>
      </c>
      <c r="AA863" s="4" t="str">
        <f t="shared" si="7"/>
        <v>Valid</v>
      </c>
    </row>
    <row r="864">
      <c r="A864" s="3" t="s">
        <v>1981</v>
      </c>
      <c r="B864" s="3">
        <v>7.1</v>
      </c>
      <c r="C864" s="3" t="s">
        <v>1982</v>
      </c>
      <c r="D864" s="3">
        <v>8.0</v>
      </c>
      <c r="E864" s="3">
        <v>8.0</v>
      </c>
      <c r="F864" s="4"/>
      <c r="G864" s="3">
        <v>0.0</v>
      </c>
      <c r="H864" s="3">
        <v>1576.0</v>
      </c>
      <c r="I864" s="3" t="s">
        <v>513</v>
      </c>
      <c r="J864" s="3">
        <v>73.0</v>
      </c>
      <c r="K864" s="3">
        <v>0.0</v>
      </c>
      <c r="L864" s="3">
        <v>57.0</v>
      </c>
      <c r="M864" s="3" t="s">
        <v>514</v>
      </c>
      <c r="N864" s="3">
        <v>13.73</v>
      </c>
      <c r="O864" s="3">
        <v>34.6033</v>
      </c>
      <c r="P864" s="3">
        <v>-116.265</v>
      </c>
      <c r="Q864" s="3" t="s">
        <v>1983</v>
      </c>
      <c r="R864" s="3" t="s">
        <v>233</v>
      </c>
      <c r="S864" s="3" t="s">
        <v>318</v>
      </c>
      <c r="T864" s="16">
        <f t="shared" si="1"/>
        <v>36449.40694</v>
      </c>
      <c r="U864" s="4" t="b">
        <f t="shared" si="2"/>
        <v>1</v>
      </c>
      <c r="V864" s="4" t="b">
        <f t="shared" si="3"/>
        <v>0</v>
      </c>
      <c r="W864" s="4" t="str">
        <f t="shared" si="8"/>
        <v>Named Region</v>
      </c>
      <c r="X864" s="4" t="str">
        <f t="shared" si="4"/>
        <v>mw</v>
      </c>
      <c r="Y864" s="4">
        <f t="shared" si="5"/>
        <v>1</v>
      </c>
      <c r="Z864" s="4" t="str">
        <f t="shared" si="6"/>
        <v>Unique</v>
      </c>
      <c r="AA864" s="4" t="str">
        <f t="shared" si="7"/>
        <v>Valid</v>
      </c>
    </row>
    <row r="865">
      <c r="A865" s="3" t="s">
        <v>1984</v>
      </c>
      <c r="B865" s="3">
        <v>7.5</v>
      </c>
      <c r="C865" s="3" t="s">
        <v>1985</v>
      </c>
      <c r="D865" s="3">
        <v>0.0</v>
      </c>
      <c r="E865" s="3">
        <v>8.0</v>
      </c>
      <c r="F865" s="4"/>
      <c r="G865" s="3">
        <v>0.0</v>
      </c>
      <c r="H865" s="3">
        <v>865.0</v>
      </c>
      <c r="I865" s="3" t="s">
        <v>110</v>
      </c>
      <c r="J865" s="3">
        <v>0.0</v>
      </c>
      <c r="K865" s="3">
        <v>0.0</v>
      </c>
      <c r="L865" s="3">
        <v>0.0</v>
      </c>
      <c r="M865" s="3" t="s">
        <v>204</v>
      </c>
      <c r="N865" s="3">
        <v>60.6</v>
      </c>
      <c r="O865" s="3">
        <v>16.059</v>
      </c>
      <c r="P865" s="3">
        <v>-96.931</v>
      </c>
      <c r="Q865" s="3" t="s">
        <v>1986</v>
      </c>
      <c r="R865" s="3" t="s">
        <v>233</v>
      </c>
      <c r="S865" s="3" t="s">
        <v>234</v>
      </c>
      <c r="T865" s="16">
        <f t="shared" si="1"/>
        <v>36433.68819</v>
      </c>
      <c r="U865" s="4" t="b">
        <f t="shared" si="2"/>
        <v>1</v>
      </c>
      <c r="V865" s="4" t="b">
        <f t="shared" si="3"/>
        <v>0</v>
      </c>
      <c r="W865" s="4" t="str">
        <f t="shared" si="8"/>
        <v>Distance/Location</v>
      </c>
      <c r="X865" s="4" t="str">
        <f t="shared" si="4"/>
        <v>mwc</v>
      </c>
      <c r="Y865" s="4">
        <f t="shared" si="5"/>
        <v>1</v>
      </c>
      <c r="Z865" s="4" t="str">
        <f t="shared" si="6"/>
        <v>Unique</v>
      </c>
      <c r="AA865" s="4" t="str">
        <f t="shared" si="7"/>
        <v>Valid</v>
      </c>
    </row>
    <row r="866">
      <c r="A866" s="3" t="s">
        <v>1987</v>
      </c>
      <c r="B866" s="3">
        <v>6.5</v>
      </c>
      <c r="C866" s="3" t="s">
        <v>1988</v>
      </c>
      <c r="D866" s="3">
        <v>0.0</v>
      </c>
      <c r="E866" s="3">
        <v>7.0</v>
      </c>
      <c r="F866" s="4"/>
      <c r="G866" s="3">
        <v>0.0</v>
      </c>
      <c r="H866" s="3">
        <v>650.0</v>
      </c>
      <c r="I866" s="3" t="s">
        <v>110</v>
      </c>
      <c r="J866" s="3">
        <v>0.0</v>
      </c>
      <c r="K866" s="3">
        <v>0.0</v>
      </c>
      <c r="L866" s="3">
        <v>0.0</v>
      </c>
      <c r="M866" s="3" t="s">
        <v>204</v>
      </c>
      <c r="N866" s="3">
        <v>17.0</v>
      </c>
      <c r="O866" s="3">
        <v>23.738</v>
      </c>
      <c r="P866" s="3">
        <v>121.158</v>
      </c>
      <c r="Q866" s="3" t="s">
        <v>1989</v>
      </c>
      <c r="R866" s="3" t="s">
        <v>164</v>
      </c>
      <c r="S866" s="3" t="s">
        <v>240</v>
      </c>
      <c r="T866" s="16">
        <f t="shared" si="1"/>
        <v>36428.99444</v>
      </c>
      <c r="U866" s="4" t="b">
        <f t="shared" si="2"/>
        <v>1</v>
      </c>
      <c r="V866" s="4" t="b">
        <f t="shared" si="3"/>
        <v>0</v>
      </c>
      <c r="W866" s="4" t="str">
        <f t="shared" si="8"/>
        <v>Distance/Location</v>
      </c>
      <c r="X866" s="4" t="str">
        <f t="shared" si="4"/>
        <v>mwc</v>
      </c>
      <c r="Y866" s="4">
        <f t="shared" si="5"/>
        <v>1</v>
      </c>
      <c r="Z866" s="4" t="str">
        <f t="shared" si="6"/>
        <v>Unique</v>
      </c>
      <c r="AA866" s="4" t="str">
        <f t="shared" si="7"/>
        <v>Valid</v>
      </c>
    </row>
    <row r="867">
      <c r="A867" s="3" t="s">
        <v>1990</v>
      </c>
      <c r="B867" s="3">
        <v>7.7</v>
      </c>
      <c r="C867" s="3" t="s">
        <v>1991</v>
      </c>
      <c r="D867" s="3">
        <v>0.0</v>
      </c>
      <c r="E867" s="3">
        <v>9.0</v>
      </c>
      <c r="F867" s="4"/>
      <c r="G867" s="3">
        <v>0.0</v>
      </c>
      <c r="H867" s="3">
        <v>912.0</v>
      </c>
      <c r="I867" s="3" t="s">
        <v>110</v>
      </c>
      <c r="J867" s="3">
        <v>0.0</v>
      </c>
      <c r="K867" s="3">
        <v>0.0</v>
      </c>
      <c r="L867" s="3">
        <v>0.0</v>
      </c>
      <c r="M867" s="3" t="s">
        <v>204</v>
      </c>
      <c r="N867" s="3">
        <v>33.0</v>
      </c>
      <c r="O867" s="3">
        <v>23.772</v>
      </c>
      <c r="P867" s="3">
        <v>120.982</v>
      </c>
      <c r="Q867" s="3" t="s">
        <v>1989</v>
      </c>
      <c r="R867" s="3" t="s">
        <v>164</v>
      </c>
      <c r="S867" s="3" t="s">
        <v>240</v>
      </c>
      <c r="T867" s="16">
        <f t="shared" si="1"/>
        <v>36423.74097</v>
      </c>
      <c r="U867" s="4" t="b">
        <f t="shared" si="2"/>
        <v>1</v>
      </c>
      <c r="V867" s="4" t="b">
        <f t="shared" si="3"/>
        <v>0</v>
      </c>
      <c r="W867" s="4" t="str">
        <f t="shared" si="8"/>
        <v>Distance/Location</v>
      </c>
      <c r="X867" s="4" t="str">
        <f t="shared" si="4"/>
        <v>mwc</v>
      </c>
      <c r="Y867" s="4">
        <f t="shared" si="5"/>
        <v>1</v>
      </c>
      <c r="Z867" s="4" t="str">
        <f t="shared" si="6"/>
        <v>Unique</v>
      </c>
      <c r="AA867" s="4" t="str">
        <f t="shared" si="7"/>
        <v>Valid</v>
      </c>
    </row>
    <row r="868">
      <c r="A868" s="3" t="s">
        <v>1992</v>
      </c>
      <c r="B868" s="3">
        <v>6.6</v>
      </c>
      <c r="C868" s="3" t="s">
        <v>1993</v>
      </c>
      <c r="D868" s="3">
        <v>0.0</v>
      </c>
      <c r="E868" s="3">
        <v>6.0</v>
      </c>
      <c r="F868" s="4"/>
      <c r="G868" s="3">
        <v>0.0</v>
      </c>
      <c r="H868" s="3">
        <v>670.0</v>
      </c>
      <c r="I868" s="3" t="s">
        <v>110</v>
      </c>
      <c r="J868" s="3">
        <v>0.0</v>
      </c>
      <c r="K868" s="3">
        <v>0.0</v>
      </c>
      <c r="L868" s="3">
        <v>0.0</v>
      </c>
      <c r="M868" s="3" t="s">
        <v>204</v>
      </c>
      <c r="N868" s="3">
        <v>33.0</v>
      </c>
      <c r="O868" s="3">
        <v>-16.117</v>
      </c>
      <c r="P868" s="3">
        <v>168.039</v>
      </c>
      <c r="Q868" s="3" t="s">
        <v>503</v>
      </c>
      <c r="R868" s="4"/>
      <c r="S868" s="3" t="s">
        <v>113</v>
      </c>
      <c r="T868" s="16">
        <f t="shared" si="1"/>
        <v>36394.52778</v>
      </c>
      <c r="U868" s="4" t="b">
        <f t="shared" si="2"/>
        <v>1</v>
      </c>
      <c r="V868" s="4" t="b">
        <f t="shared" si="3"/>
        <v>0</v>
      </c>
      <c r="W868" s="4" t="str">
        <f t="shared" si="8"/>
        <v>Distance/Location</v>
      </c>
      <c r="X868" s="4" t="str">
        <f t="shared" si="4"/>
        <v>mwc</v>
      </c>
      <c r="Y868" s="4">
        <f t="shared" si="5"/>
        <v>1</v>
      </c>
      <c r="Z868" s="4" t="str">
        <f t="shared" si="6"/>
        <v>Unique</v>
      </c>
      <c r="AA868" s="4" t="str">
        <f t="shared" si="7"/>
        <v>Valid</v>
      </c>
    </row>
    <row r="869">
      <c r="A869" s="3" t="s">
        <v>1994</v>
      </c>
      <c r="B869" s="3">
        <v>6.9</v>
      </c>
      <c r="C869" s="3" t="s">
        <v>1995</v>
      </c>
      <c r="D869" s="3">
        <v>0.0</v>
      </c>
      <c r="E869" s="3">
        <v>6.0</v>
      </c>
      <c r="F869" s="4"/>
      <c r="G869" s="3">
        <v>0.0</v>
      </c>
      <c r="H869" s="3">
        <v>732.0</v>
      </c>
      <c r="I869" s="3" t="s">
        <v>110</v>
      </c>
      <c r="J869" s="3">
        <v>0.0</v>
      </c>
      <c r="K869" s="3">
        <v>0.0</v>
      </c>
      <c r="L869" s="3">
        <v>0.0</v>
      </c>
      <c r="M869" s="3" t="s">
        <v>204</v>
      </c>
      <c r="N869" s="3">
        <v>20.0</v>
      </c>
      <c r="O869" s="3">
        <v>9.044</v>
      </c>
      <c r="P869" s="3">
        <v>-84.159</v>
      </c>
      <c r="Q869" s="3" t="s">
        <v>1996</v>
      </c>
      <c r="R869" s="4"/>
      <c r="S869" s="4"/>
      <c r="T869" s="16">
        <f t="shared" si="1"/>
        <v>36392.41806</v>
      </c>
      <c r="U869" s="4" t="b">
        <f t="shared" si="2"/>
        <v>1</v>
      </c>
      <c r="V869" s="4" t="b">
        <f t="shared" si="3"/>
        <v>0</v>
      </c>
      <c r="W869" s="4" t="str">
        <f t="shared" si="8"/>
        <v>Distance/Location</v>
      </c>
      <c r="X869" s="4" t="str">
        <f t="shared" si="4"/>
        <v>mwc</v>
      </c>
      <c r="Y869" s="4">
        <f t="shared" si="5"/>
        <v>1</v>
      </c>
      <c r="Z869" s="4" t="str">
        <f t="shared" si="6"/>
        <v>Unique</v>
      </c>
      <c r="AA869" s="4" t="str">
        <f t="shared" si="7"/>
        <v>Valid</v>
      </c>
    </row>
    <row r="870">
      <c r="A870" s="3" t="s">
        <v>1997</v>
      </c>
      <c r="B870" s="3">
        <v>7.6</v>
      </c>
      <c r="C870" s="3" t="s">
        <v>1998</v>
      </c>
      <c r="D870" s="3">
        <v>0.0</v>
      </c>
      <c r="E870" s="3">
        <v>9.0</v>
      </c>
      <c r="F870" s="4"/>
      <c r="G870" s="3">
        <v>0.0</v>
      </c>
      <c r="H870" s="3">
        <v>889.0</v>
      </c>
      <c r="I870" s="3" t="s">
        <v>110</v>
      </c>
      <c r="J870" s="3">
        <v>0.0</v>
      </c>
      <c r="K870" s="3">
        <v>0.0</v>
      </c>
      <c r="L870" s="3">
        <v>0.0</v>
      </c>
      <c r="M870" s="3" t="s">
        <v>204</v>
      </c>
      <c r="N870" s="3">
        <v>17.0</v>
      </c>
      <c r="O870" s="3">
        <v>40.748</v>
      </c>
      <c r="P870" s="3">
        <v>29.864</v>
      </c>
      <c r="Q870" s="3" t="s">
        <v>1999</v>
      </c>
      <c r="R870" s="3" t="s">
        <v>164</v>
      </c>
      <c r="S870" s="3" t="s">
        <v>471</v>
      </c>
      <c r="T870" s="16">
        <f t="shared" si="1"/>
        <v>36389.00069</v>
      </c>
      <c r="U870" s="4" t="b">
        <f t="shared" si="2"/>
        <v>1</v>
      </c>
      <c r="V870" s="4" t="b">
        <f t="shared" si="3"/>
        <v>0</v>
      </c>
      <c r="W870" s="4" t="str">
        <f t="shared" si="8"/>
        <v>Distance/Location</v>
      </c>
      <c r="X870" s="4" t="str">
        <f t="shared" si="4"/>
        <v>mwc</v>
      </c>
      <c r="Y870" s="4">
        <f t="shared" si="5"/>
        <v>1</v>
      </c>
      <c r="Z870" s="4" t="str">
        <f t="shared" si="6"/>
        <v>Unique</v>
      </c>
      <c r="AA870" s="4" t="str">
        <f t="shared" si="7"/>
        <v>Valid</v>
      </c>
    </row>
    <row r="871">
      <c r="A871" s="3" t="s">
        <v>2000</v>
      </c>
      <c r="B871" s="3">
        <v>6.7</v>
      </c>
      <c r="C871" s="17">
        <v>36471.59305555555</v>
      </c>
      <c r="D871" s="3">
        <v>0.0</v>
      </c>
      <c r="E871" s="3">
        <v>8.0</v>
      </c>
      <c r="F871" s="4"/>
      <c r="G871" s="3">
        <v>0.0</v>
      </c>
      <c r="H871" s="3">
        <v>691.0</v>
      </c>
      <c r="I871" s="3" t="s">
        <v>110</v>
      </c>
      <c r="J871" s="3">
        <v>0.0</v>
      </c>
      <c r="K871" s="3">
        <v>0.0</v>
      </c>
      <c r="L871" s="3">
        <v>0.0</v>
      </c>
      <c r="M871" s="3" t="s">
        <v>204</v>
      </c>
      <c r="N871" s="3">
        <v>10.0</v>
      </c>
      <c r="O871" s="3">
        <v>15.782</v>
      </c>
      <c r="P871" s="3">
        <v>-88.33</v>
      </c>
      <c r="Q871" s="3" t="s">
        <v>2001</v>
      </c>
      <c r="R871" s="4"/>
      <c r="S871" s="3" t="s">
        <v>700</v>
      </c>
      <c r="T871" s="16">
        <f t="shared" si="1"/>
        <v>36352.59306</v>
      </c>
      <c r="U871" s="4" t="b">
        <f t="shared" si="2"/>
        <v>1</v>
      </c>
      <c r="V871" s="4" t="b">
        <f t="shared" si="3"/>
        <v>1</v>
      </c>
      <c r="W871" s="4" t="str">
        <f t="shared" si="8"/>
        <v>Distance/Location</v>
      </c>
      <c r="X871" s="4" t="str">
        <f t="shared" si="4"/>
        <v>mwc</v>
      </c>
      <c r="Y871" s="4">
        <f t="shared" si="5"/>
        <v>1</v>
      </c>
      <c r="Z871" s="4" t="str">
        <f t="shared" si="6"/>
        <v>Unique</v>
      </c>
      <c r="AA871" s="4" t="str">
        <f t="shared" si="7"/>
        <v>Valid</v>
      </c>
    </row>
    <row r="872">
      <c r="A872" s="3" t="s">
        <v>2002</v>
      </c>
      <c r="B872" s="3">
        <v>7.0</v>
      </c>
      <c r="C872" s="3" t="s">
        <v>2003</v>
      </c>
      <c r="D872" s="3">
        <v>0.0</v>
      </c>
      <c r="E872" s="3">
        <v>7.0</v>
      </c>
      <c r="F872" s="4"/>
      <c r="G872" s="3">
        <v>0.0</v>
      </c>
      <c r="H872" s="3">
        <v>754.0</v>
      </c>
      <c r="I872" s="3" t="s">
        <v>110</v>
      </c>
      <c r="J872" s="3">
        <v>0.0</v>
      </c>
      <c r="K872" s="3">
        <v>0.0</v>
      </c>
      <c r="L872" s="3">
        <v>0.0</v>
      </c>
      <c r="M872" s="3" t="s">
        <v>204</v>
      </c>
      <c r="N872" s="3">
        <v>70.0</v>
      </c>
      <c r="O872" s="3">
        <v>18.386</v>
      </c>
      <c r="P872" s="3">
        <v>-97.436</v>
      </c>
      <c r="Q872" s="3" t="s">
        <v>2004</v>
      </c>
      <c r="R872" s="3" t="s">
        <v>233</v>
      </c>
      <c r="S872" s="3" t="s">
        <v>234</v>
      </c>
      <c r="T872" s="16">
        <f t="shared" si="1"/>
        <v>36326.8625</v>
      </c>
      <c r="U872" s="4" t="b">
        <f t="shared" si="2"/>
        <v>1</v>
      </c>
      <c r="V872" s="4" t="b">
        <f t="shared" si="3"/>
        <v>0</v>
      </c>
      <c r="W872" s="4" t="str">
        <f t="shared" si="8"/>
        <v>Distance/Location</v>
      </c>
      <c r="X872" s="4" t="str">
        <f t="shared" si="4"/>
        <v>mwc</v>
      </c>
      <c r="Y872" s="4">
        <f t="shared" si="5"/>
        <v>1</v>
      </c>
      <c r="Z872" s="4" t="str">
        <f t="shared" si="6"/>
        <v>Unique</v>
      </c>
      <c r="AA872" s="4" t="str">
        <f t="shared" si="7"/>
        <v>Valid</v>
      </c>
    </row>
    <row r="873">
      <c r="A873" s="3" t="s">
        <v>2005</v>
      </c>
      <c r="B873" s="3">
        <v>6.6</v>
      </c>
      <c r="C873" s="3" t="s">
        <v>2006</v>
      </c>
      <c r="D873" s="3">
        <v>0.0</v>
      </c>
      <c r="E873" s="3">
        <v>5.0</v>
      </c>
      <c r="F873" s="4"/>
      <c r="G873" s="3">
        <v>0.0</v>
      </c>
      <c r="H873" s="3">
        <v>670.0</v>
      </c>
      <c r="I873" s="3" t="s">
        <v>110</v>
      </c>
      <c r="J873" s="3">
        <v>0.0</v>
      </c>
      <c r="K873" s="3">
        <v>0.0</v>
      </c>
      <c r="L873" s="3">
        <v>0.0</v>
      </c>
      <c r="M873" s="3" t="s">
        <v>204</v>
      </c>
      <c r="N873" s="3">
        <v>27.0</v>
      </c>
      <c r="O873" s="3">
        <v>-5.165</v>
      </c>
      <c r="P873" s="3">
        <v>152.877</v>
      </c>
      <c r="Q873" s="3" t="s">
        <v>633</v>
      </c>
      <c r="R873" s="4"/>
      <c r="S873" s="3" t="s">
        <v>168</v>
      </c>
      <c r="T873" s="16">
        <f t="shared" si="1"/>
        <v>36297.42153</v>
      </c>
      <c r="U873" s="4" t="b">
        <f t="shared" si="2"/>
        <v>1</v>
      </c>
      <c r="V873" s="4" t="b">
        <f t="shared" si="3"/>
        <v>0</v>
      </c>
      <c r="W873" s="4" t="str">
        <f t="shared" si="8"/>
        <v>Distance/Location</v>
      </c>
      <c r="X873" s="4" t="str">
        <f t="shared" si="4"/>
        <v>mwc</v>
      </c>
      <c r="Y873" s="4">
        <f t="shared" si="5"/>
        <v>1</v>
      </c>
      <c r="Z873" s="4" t="str">
        <f t="shared" si="6"/>
        <v>Unique</v>
      </c>
      <c r="AA873" s="4" t="str">
        <f t="shared" si="7"/>
        <v>Valid</v>
      </c>
    </row>
    <row r="874">
      <c r="A874" s="3" t="s">
        <v>2007</v>
      </c>
      <c r="B874" s="3">
        <v>7.1</v>
      </c>
      <c r="C874" s="3" t="s">
        <v>2008</v>
      </c>
      <c r="D874" s="3">
        <v>0.0</v>
      </c>
      <c r="E874" s="3">
        <v>7.0</v>
      </c>
      <c r="F874" s="4"/>
      <c r="G874" s="3">
        <v>0.0</v>
      </c>
      <c r="H874" s="3">
        <v>776.0</v>
      </c>
      <c r="I874" s="3" t="s">
        <v>110</v>
      </c>
      <c r="J874" s="3">
        <v>0.0</v>
      </c>
      <c r="K874" s="3">
        <v>0.0</v>
      </c>
      <c r="L874" s="3">
        <v>0.0</v>
      </c>
      <c r="M874" s="3" t="s">
        <v>204</v>
      </c>
      <c r="N874" s="3">
        <v>73.7</v>
      </c>
      <c r="O874" s="3">
        <v>-4.751</v>
      </c>
      <c r="P874" s="3">
        <v>152.486</v>
      </c>
      <c r="Q874" s="3" t="s">
        <v>633</v>
      </c>
      <c r="R874" s="4"/>
      <c r="S874" s="3" t="s">
        <v>168</v>
      </c>
      <c r="T874" s="16">
        <f t="shared" si="1"/>
        <v>36296.03542</v>
      </c>
      <c r="U874" s="4" t="b">
        <f t="shared" si="2"/>
        <v>1</v>
      </c>
      <c r="V874" s="4" t="b">
        <f t="shared" si="3"/>
        <v>0</v>
      </c>
      <c r="W874" s="4" t="str">
        <f t="shared" si="8"/>
        <v>Distance/Location</v>
      </c>
      <c r="X874" s="4" t="str">
        <f t="shared" si="4"/>
        <v>mwc</v>
      </c>
      <c r="Y874" s="4">
        <f t="shared" si="5"/>
        <v>1</v>
      </c>
      <c r="Z874" s="4" t="str">
        <f t="shared" si="6"/>
        <v>Unique</v>
      </c>
      <c r="AA874" s="4" t="str">
        <f t="shared" si="7"/>
        <v>Valid</v>
      </c>
    </row>
    <row r="875">
      <c r="A875" s="3" t="s">
        <v>2009</v>
      </c>
      <c r="B875" s="3">
        <v>7.1</v>
      </c>
      <c r="C875" s="17">
        <v>36438.85625</v>
      </c>
      <c r="D875" s="3">
        <v>0.0</v>
      </c>
      <c r="E875" s="3">
        <v>7.0</v>
      </c>
      <c r="F875" s="4"/>
      <c r="G875" s="3">
        <v>0.0</v>
      </c>
      <c r="H875" s="3">
        <v>776.0</v>
      </c>
      <c r="I875" s="3" t="s">
        <v>110</v>
      </c>
      <c r="J875" s="3">
        <v>0.0</v>
      </c>
      <c r="K875" s="3">
        <v>0.0</v>
      </c>
      <c r="L875" s="3">
        <v>0.0</v>
      </c>
      <c r="M875" s="3" t="s">
        <v>224</v>
      </c>
      <c r="N875" s="3">
        <v>138.0</v>
      </c>
      <c r="O875" s="3">
        <v>-5.159</v>
      </c>
      <c r="P875" s="3">
        <v>150.88</v>
      </c>
      <c r="Q875" s="3" t="s">
        <v>187</v>
      </c>
      <c r="R875" s="4"/>
      <c r="S875" s="3" t="s">
        <v>168</v>
      </c>
      <c r="T875" s="16">
        <f t="shared" si="1"/>
        <v>36290.85625</v>
      </c>
      <c r="U875" s="4" t="b">
        <f t="shared" si="2"/>
        <v>1</v>
      </c>
      <c r="V875" s="4" t="b">
        <f t="shared" si="3"/>
        <v>1</v>
      </c>
      <c r="W875" s="4" t="str">
        <f t="shared" si="8"/>
        <v>Distance/Location</v>
      </c>
      <c r="X875" s="4" t="str">
        <f t="shared" si="4"/>
        <v>mwb</v>
      </c>
      <c r="Y875" s="4">
        <f t="shared" si="5"/>
        <v>1</v>
      </c>
      <c r="Z875" s="4" t="str">
        <f t="shared" si="6"/>
        <v>Unique</v>
      </c>
      <c r="AA875" s="4" t="str">
        <f t="shared" si="7"/>
        <v>Valid</v>
      </c>
    </row>
    <row r="876">
      <c r="A876" s="3" t="s">
        <v>2010</v>
      </c>
      <c r="B876" s="3">
        <v>6.8</v>
      </c>
      <c r="C876" s="3" t="s">
        <v>2011</v>
      </c>
      <c r="D876" s="3">
        <v>0.0</v>
      </c>
      <c r="E876" s="3">
        <v>5.0</v>
      </c>
      <c r="F876" s="4"/>
      <c r="G876" s="3">
        <v>0.0</v>
      </c>
      <c r="H876" s="3">
        <v>711.0</v>
      </c>
      <c r="I876" s="3" t="s">
        <v>110</v>
      </c>
      <c r="J876" s="3">
        <v>0.0</v>
      </c>
      <c r="K876" s="3">
        <v>0.0</v>
      </c>
      <c r="L876" s="3">
        <v>0.0</v>
      </c>
      <c r="M876" s="3" t="s">
        <v>204</v>
      </c>
      <c r="N876" s="3">
        <v>164.2</v>
      </c>
      <c r="O876" s="3">
        <v>-21.422</v>
      </c>
      <c r="P876" s="3">
        <v>-176.46</v>
      </c>
      <c r="Q876" s="3" t="s">
        <v>374</v>
      </c>
      <c r="R876" s="4"/>
      <c r="S876" s="4"/>
      <c r="T876" s="16">
        <f t="shared" si="1"/>
        <v>36263.44306</v>
      </c>
      <c r="U876" s="4" t="b">
        <f t="shared" si="2"/>
        <v>1</v>
      </c>
      <c r="V876" s="4" t="b">
        <f t="shared" si="3"/>
        <v>0</v>
      </c>
      <c r="W876" s="4" t="str">
        <f t="shared" si="8"/>
        <v>Distance/Location</v>
      </c>
      <c r="X876" s="4" t="str">
        <f t="shared" si="4"/>
        <v>mwc</v>
      </c>
      <c r="Y876" s="4">
        <f t="shared" si="5"/>
        <v>1</v>
      </c>
      <c r="Z876" s="4" t="str">
        <f t="shared" si="6"/>
        <v>Unique</v>
      </c>
      <c r="AA876" s="4" t="str">
        <f t="shared" si="7"/>
        <v>Valid</v>
      </c>
    </row>
    <row r="877">
      <c r="A877" s="3" t="s">
        <v>2012</v>
      </c>
      <c r="B877" s="3">
        <v>7.4</v>
      </c>
      <c r="C877" s="17">
        <v>36284.46388888889</v>
      </c>
      <c r="D877" s="3">
        <v>0.0</v>
      </c>
      <c r="E877" s="3">
        <v>7.0</v>
      </c>
      <c r="F877" s="4"/>
      <c r="G877" s="3">
        <v>0.0</v>
      </c>
      <c r="H877" s="3">
        <v>842.0</v>
      </c>
      <c r="I877" s="3" t="s">
        <v>110</v>
      </c>
      <c r="J877" s="3">
        <v>0.0</v>
      </c>
      <c r="K877" s="3">
        <v>0.0</v>
      </c>
      <c r="L877" s="3">
        <v>0.0</v>
      </c>
      <c r="M877" s="3" t="s">
        <v>204</v>
      </c>
      <c r="N877" s="3">
        <v>150.0</v>
      </c>
      <c r="O877" s="3">
        <v>-5.591</v>
      </c>
      <c r="P877" s="3">
        <v>149.568</v>
      </c>
      <c r="Q877" s="3" t="s">
        <v>187</v>
      </c>
      <c r="R877" s="4"/>
      <c r="S877" s="3" t="s">
        <v>168</v>
      </c>
      <c r="T877" s="16">
        <f t="shared" si="1"/>
        <v>36255.46389</v>
      </c>
      <c r="U877" s="4" t="b">
        <f t="shared" si="2"/>
        <v>1</v>
      </c>
      <c r="V877" s="4" t="b">
        <f t="shared" si="3"/>
        <v>1</v>
      </c>
      <c r="W877" s="4" t="str">
        <f t="shared" si="8"/>
        <v>Distance/Location</v>
      </c>
      <c r="X877" s="4" t="str">
        <f t="shared" si="4"/>
        <v>mwc</v>
      </c>
      <c r="Y877" s="4">
        <f t="shared" si="5"/>
        <v>1</v>
      </c>
      <c r="Z877" s="4" t="str">
        <f t="shared" si="6"/>
        <v>Unique</v>
      </c>
      <c r="AA877" s="4" t="str">
        <f t="shared" si="7"/>
        <v>Valid</v>
      </c>
    </row>
    <row r="878">
      <c r="A878" s="3" t="s">
        <v>2013</v>
      </c>
      <c r="B878" s="3">
        <v>6.8</v>
      </c>
      <c r="C878" s="17">
        <v>36223.26180555556</v>
      </c>
      <c r="D878" s="3">
        <v>0.0</v>
      </c>
      <c r="E878" s="3">
        <v>7.0</v>
      </c>
      <c r="F878" s="4"/>
      <c r="G878" s="3">
        <v>0.0</v>
      </c>
      <c r="H878" s="3">
        <v>711.0</v>
      </c>
      <c r="I878" s="3" t="s">
        <v>110</v>
      </c>
      <c r="J878" s="3">
        <v>0.0</v>
      </c>
      <c r="K878" s="3">
        <v>0.0</v>
      </c>
      <c r="L878" s="3">
        <v>0.0</v>
      </c>
      <c r="M878" s="3" t="s">
        <v>204</v>
      </c>
      <c r="N878" s="3">
        <v>87.2</v>
      </c>
      <c r="O878" s="3">
        <v>-16.66</v>
      </c>
      <c r="P878" s="3">
        <v>-72.662</v>
      </c>
      <c r="Q878" s="3" t="s">
        <v>2014</v>
      </c>
      <c r="R878" s="3" t="s">
        <v>121</v>
      </c>
      <c r="S878" s="3" t="s">
        <v>265</v>
      </c>
      <c r="T878" s="16">
        <f t="shared" si="1"/>
        <v>36253.26181</v>
      </c>
      <c r="U878" s="4" t="b">
        <f t="shared" si="2"/>
        <v>1</v>
      </c>
      <c r="V878" s="4" t="b">
        <f t="shared" si="3"/>
        <v>1</v>
      </c>
      <c r="W878" s="4" t="str">
        <f t="shared" si="8"/>
        <v>Distance/Location</v>
      </c>
      <c r="X878" s="4" t="str">
        <f t="shared" si="4"/>
        <v>mwc</v>
      </c>
      <c r="Y878" s="4">
        <f t="shared" si="5"/>
        <v>1</v>
      </c>
      <c r="Z878" s="4" t="str">
        <f t="shared" si="6"/>
        <v>Unique</v>
      </c>
      <c r="AA878" s="4" t="str">
        <f t="shared" si="7"/>
        <v>Valid</v>
      </c>
    </row>
    <row r="879">
      <c r="A879" s="3" t="s">
        <v>2015</v>
      </c>
      <c r="B879" s="3">
        <v>6.6</v>
      </c>
      <c r="C879" s="3" t="s">
        <v>2016</v>
      </c>
      <c r="D879" s="3">
        <v>0.0</v>
      </c>
      <c r="E879" s="3">
        <v>7.0</v>
      </c>
      <c r="F879" s="4"/>
      <c r="G879" s="3">
        <v>0.0</v>
      </c>
      <c r="H879" s="3">
        <v>670.0</v>
      </c>
      <c r="I879" s="3" t="s">
        <v>110</v>
      </c>
      <c r="J879" s="3">
        <v>0.0</v>
      </c>
      <c r="K879" s="3">
        <v>0.0</v>
      </c>
      <c r="L879" s="3">
        <v>0.0</v>
      </c>
      <c r="M879" s="3" t="s">
        <v>224</v>
      </c>
      <c r="N879" s="3">
        <v>15.0</v>
      </c>
      <c r="O879" s="3">
        <v>30.512</v>
      </c>
      <c r="P879" s="3">
        <v>79.403</v>
      </c>
      <c r="Q879" s="3" t="s">
        <v>2017</v>
      </c>
      <c r="R879" s="3" t="s">
        <v>164</v>
      </c>
      <c r="S879" s="3" t="s">
        <v>835</v>
      </c>
      <c r="T879" s="16">
        <f t="shared" si="1"/>
        <v>36247.79514</v>
      </c>
      <c r="U879" s="4" t="b">
        <f t="shared" si="2"/>
        <v>1</v>
      </c>
      <c r="V879" s="4" t="b">
        <f t="shared" si="3"/>
        <v>0</v>
      </c>
      <c r="W879" s="4" t="str">
        <f t="shared" si="8"/>
        <v>Distance/Location</v>
      </c>
      <c r="X879" s="4" t="str">
        <f t="shared" si="4"/>
        <v>mwb</v>
      </c>
      <c r="Y879" s="4">
        <f t="shared" si="5"/>
        <v>1</v>
      </c>
      <c r="Z879" s="4" t="str">
        <f t="shared" si="6"/>
        <v>Unique</v>
      </c>
      <c r="AA879" s="4" t="str">
        <f t="shared" si="7"/>
        <v>Valid</v>
      </c>
    </row>
    <row r="880">
      <c r="A880" s="3" t="s">
        <v>2018</v>
      </c>
      <c r="B880" s="3">
        <v>6.9</v>
      </c>
      <c r="C880" s="3" t="s">
        <v>2019</v>
      </c>
      <c r="D880" s="3">
        <v>0.0</v>
      </c>
      <c r="E880" s="3">
        <v>6.0</v>
      </c>
      <c r="F880" s="4"/>
      <c r="G880" s="3">
        <v>0.0</v>
      </c>
      <c r="H880" s="3">
        <v>732.0</v>
      </c>
      <c r="I880" s="3" t="s">
        <v>110</v>
      </c>
      <c r="J880" s="3">
        <v>0.0</v>
      </c>
      <c r="K880" s="3">
        <v>0.0</v>
      </c>
      <c r="L880" s="3">
        <v>0.0</v>
      </c>
      <c r="M880" s="3" t="s">
        <v>204</v>
      </c>
      <c r="N880" s="3">
        <v>33.0</v>
      </c>
      <c r="O880" s="3">
        <v>51.587</v>
      </c>
      <c r="P880" s="3">
        <v>-177.668</v>
      </c>
      <c r="Q880" s="3" t="s">
        <v>620</v>
      </c>
      <c r="R880" s="3" t="s">
        <v>233</v>
      </c>
      <c r="S880" s="3" t="s">
        <v>318</v>
      </c>
      <c r="T880" s="16">
        <f t="shared" si="1"/>
        <v>36239.44931</v>
      </c>
      <c r="U880" s="4" t="b">
        <f t="shared" si="2"/>
        <v>1</v>
      </c>
      <c r="V880" s="4" t="b">
        <f t="shared" si="3"/>
        <v>0</v>
      </c>
      <c r="W880" s="4" t="str">
        <f t="shared" si="8"/>
        <v>Distance/Location</v>
      </c>
      <c r="X880" s="4" t="str">
        <f t="shared" si="4"/>
        <v>mwc</v>
      </c>
      <c r="Y880" s="4">
        <f t="shared" si="5"/>
        <v>1</v>
      </c>
      <c r="Z880" s="4" t="str">
        <f t="shared" si="6"/>
        <v>Unique</v>
      </c>
      <c r="AA880" s="4" t="str">
        <f t="shared" si="7"/>
        <v>Valid</v>
      </c>
    </row>
    <row r="881">
      <c r="A881" s="3" t="s">
        <v>2020</v>
      </c>
      <c r="B881" s="3">
        <v>6.9</v>
      </c>
      <c r="C881" s="17">
        <v>36375.51736111111</v>
      </c>
      <c r="D881" s="3">
        <v>0.0</v>
      </c>
      <c r="E881" s="3">
        <v>5.0</v>
      </c>
      <c r="F881" s="4"/>
      <c r="G881" s="3">
        <v>0.0</v>
      </c>
      <c r="H881" s="3">
        <v>732.0</v>
      </c>
      <c r="I881" s="3" t="s">
        <v>110</v>
      </c>
      <c r="J881" s="3">
        <v>0.0</v>
      </c>
      <c r="K881" s="3">
        <v>0.0</v>
      </c>
      <c r="L881" s="3">
        <v>0.0</v>
      </c>
      <c r="M881" s="3" t="s">
        <v>204</v>
      </c>
      <c r="N881" s="3">
        <v>56.6</v>
      </c>
      <c r="O881" s="3">
        <v>52.056</v>
      </c>
      <c r="P881" s="3">
        <v>159.52</v>
      </c>
      <c r="Q881" s="3" t="s">
        <v>2021</v>
      </c>
      <c r="R881" s="4"/>
      <c r="S881" s="4"/>
      <c r="T881" s="16">
        <f t="shared" si="1"/>
        <v>36227.51736</v>
      </c>
      <c r="U881" s="4" t="b">
        <f t="shared" si="2"/>
        <v>1</v>
      </c>
      <c r="V881" s="4" t="b">
        <f t="shared" si="3"/>
        <v>1</v>
      </c>
      <c r="W881" s="4" t="str">
        <f t="shared" si="8"/>
        <v>Distance/Location</v>
      </c>
      <c r="X881" s="4" t="str">
        <f t="shared" si="4"/>
        <v>mwc</v>
      </c>
      <c r="Y881" s="4">
        <f t="shared" si="5"/>
        <v>1</v>
      </c>
      <c r="Z881" s="4" t="str">
        <f t="shared" si="6"/>
        <v>Unique</v>
      </c>
      <c r="AA881" s="4" t="str">
        <f t="shared" si="7"/>
        <v>Valid</v>
      </c>
    </row>
    <row r="882">
      <c r="A882" s="3" t="s">
        <v>2022</v>
      </c>
      <c r="B882" s="3">
        <v>7.1</v>
      </c>
      <c r="C882" s="17">
        <v>36253.36944444444</v>
      </c>
      <c r="D882" s="3">
        <v>0.0</v>
      </c>
      <c r="E882" s="3">
        <v>6.0</v>
      </c>
      <c r="F882" s="4"/>
      <c r="G882" s="3">
        <v>0.0</v>
      </c>
      <c r="H882" s="3">
        <v>776.0</v>
      </c>
      <c r="I882" s="3" t="s">
        <v>110</v>
      </c>
      <c r="J882" s="3">
        <v>0.0</v>
      </c>
      <c r="K882" s="3">
        <v>0.0</v>
      </c>
      <c r="L882" s="3">
        <v>0.0</v>
      </c>
      <c r="M882" s="3" t="s">
        <v>204</v>
      </c>
      <c r="N882" s="3">
        <v>33.0</v>
      </c>
      <c r="O882" s="3">
        <v>5.397</v>
      </c>
      <c r="P882" s="3">
        <v>121.937</v>
      </c>
      <c r="Q882" s="3" t="s">
        <v>732</v>
      </c>
      <c r="R882" s="4"/>
      <c r="S882" s="4"/>
      <c r="T882" s="16">
        <f t="shared" si="1"/>
        <v>36223.36944</v>
      </c>
      <c r="U882" s="4" t="b">
        <f t="shared" si="2"/>
        <v>1</v>
      </c>
      <c r="V882" s="4" t="b">
        <f t="shared" si="3"/>
        <v>1</v>
      </c>
      <c r="W882" s="4" t="str">
        <f t="shared" si="8"/>
        <v>Distance/Location</v>
      </c>
      <c r="X882" s="4" t="str">
        <f t="shared" si="4"/>
        <v>mwc</v>
      </c>
      <c r="Y882" s="4">
        <f t="shared" si="5"/>
        <v>1</v>
      </c>
      <c r="Z882" s="4" t="str">
        <f t="shared" si="6"/>
        <v>Unique</v>
      </c>
      <c r="AA882" s="4" t="str">
        <f t="shared" si="7"/>
        <v>Valid</v>
      </c>
    </row>
    <row r="883">
      <c r="A883" s="3" t="s">
        <v>2023</v>
      </c>
      <c r="B883" s="3">
        <v>6.6</v>
      </c>
      <c r="C883" s="17">
        <v>36253.23472222222</v>
      </c>
      <c r="D883" s="3">
        <v>0.0</v>
      </c>
      <c r="E883" s="3">
        <v>7.0</v>
      </c>
      <c r="F883" s="4"/>
      <c r="G883" s="3">
        <v>0.0</v>
      </c>
      <c r="H883" s="3">
        <v>670.0</v>
      </c>
      <c r="I883" s="3" t="s">
        <v>110</v>
      </c>
      <c r="J883" s="3">
        <v>0.0</v>
      </c>
      <c r="K883" s="3">
        <v>0.0</v>
      </c>
      <c r="L883" s="3">
        <v>0.0</v>
      </c>
      <c r="M883" s="3" t="s">
        <v>204</v>
      </c>
      <c r="N883" s="3">
        <v>33.0</v>
      </c>
      <c r="O883" s="3">
        <v>28.343</v>
      </c>
      <c r="P883" s="3">
        <v>57.193</v>
      </c>
      <c r="Q883" s="3" t="s">
        <v>2024</v>
      </c>
      <c r="R883" s="3" t="s">
        <v>164</v>
      </c>
      <c r="S883" s="3" t="s">
        <v>665</v>
      </c>
      <c r="T883" s="16">
        <f t="shared" si="1"/>
        <v>36223.23472</v>
      </c>
      <c r="U883" s="4" t="b">
        <f t="shared" si="2"/>
        <v>1</v>
      </c>
      <c r="V883" s="4" t="b">
        <f t="shared" si="3"/>
        <v>1</v>
      </c>
      <c r="W883" s="4" t="str">
        <f t="shared" si="8"/>
        <v>Distance/Location</v>
      </c>
      <c r="X883" s="4" t="str">
        <f t="shared" si="4"/>
        <v>mwc</v>
      </c>
      <c r="Y883" s="4">
        <f t="shared" si="5"/>
        <v>1</v>
      </c>
      <c r="Z883" s="4" t="str">
        <f t="shared" si="6"/>
        <v>Unique</v>
      </c>
      <c r="AA883" s="4" t="str">
        <f t="shared" si="7"/>
        <v>Valid</v>
      </c>
    </row>
    <row r="884">
      <c r="A884" s="3" t="s">
        <v>2025</v>
      </c>
      <c r="B884" s="3">
        <v>7.3</v>
      </c>
      <c r="C884" s="17">
        <v>36313.907638888886</v>
      </c>
      <c r="D884" s="3">
        <v>0.0</v>
      </c>
      <c r="E884" s="3">
        <v>7.0</v>
      </c>
      <c r="F884" s="4"/>
      <c r="G884" s="3">
        <v>0.0</v>
      </c>
      <c r="H884" s="3">
        <v>820.0</v>
      </c>
      <c r="I884" s="3" t="s">
        <v>110</v>
      </c>
      <c r="J884" s="3">
        <v>0.0</v>
      </c>
      <c r="K884" s="3">
        <v>0.0</v>
      </c>
      <c r="L884" s="3">
        <v>0.0</v>
      </c>
      <c r="M884" s="3" t="s">
        <v>204</v>
      </c>
      <c r="N884" s="3">
        <v>90.1</v>
      </c>
      <c r="O884" s="3">
        <v>-12.853</v>
      </c>
      <c r="P884" s="3">
        <v>166.697</v>
      </c>
      <c r="Q884" s="3" t="s">
        <v>112</v>
      </c>
      <c r="R884" s="4"/>
      <c r="S884" s="4"/>
      <c r="T884" s="16">
        <f t="shared" si="1"/>
        <v>36197.90764</v>
      </c>
      <c r="U884" s="4" t="b">
        <f t="shared" si="2"/>
        <v>1</v>
      </c>
      <c r="V884" s="4" t="b">
        <f t="shared" si="3"/>
        <v>1</v>
      </c>
      <c r="W884" s="4" t="str">
        <f t="shared" si="8"/>
        <v>Distance/Location</v>
      </c>
      <c r="X884" s="4" t="str">
        <f t="shared" si="4"/>
        <v>mwc</v>
      </c>
      <c r="Y884" s="4">
        <f t="shared" si="5"/>
        <v>1</v>
      </c>
      <c r="Z884" s="4" t="str">
        <f t="shared" si="6"/>
        <v>Unique</v>
      </c>
      <c r="AA884" s="4" t="str">
        <f t="shared" si="7"/>
        <v>Valid</v>
      </c>
    </row>
    <row r="885">
      <c r="A885" s="3" t="s">
        <v>2026</v>
      </c>
      <c r="B885" s="3">
        <v>6.6</v>
      </c>
      <c r="C885" s="3" t="s">
        <v>2027</v>
      </c>
      <c r="D885" s="3">
        <v>0.0</v>
      </c>
      <c r="E885" s="3">
        <v>6.0</v>
      </c>
      <c r="F885" s="4"/>
      <c r="G885" s="3">
        <v>0.0</v>
      </c>
      <c r="H885" s="3">
        <v>670.0</v>
      </c>
      <c r="I885" s="3" t="s">
        <v>110</v>
      </c>
      <c r="J885" s="3">
        <v>0.0</v>
      </c>
      <c r="K885" s="3">
        <v>0.0</v>
      </c>
      <c r="L885" s="3">
        <v>0.0</v>
      </c>
      <c r="M885" s="3" t="s">
        <v>204</v>
      </c>
      <c r="N885" s="3">
        <v>67.2</v>
      </c>
      <c r="O885" s="3">
        <v>52.886</v>
      </c>
      <c r="P885" s="3">
        <v>-169.123</v>
      </c>
      <c r="Q885" s="3" t="s">
        <v>296</v>
      </c>
      <c r="R885" s="3" t="s">
        <v>233</v>
      </c>
      <c r="S885" s="3" t="s">
        <v>318</v>
      </c>
      <c r="T885" s="16">
        <f t="shared" si="1"/>
        <v>36188.34028</v>
      </c>
      <c r="U885" s="4" t="b">
        <f t="shared" si="2"/>
        <v>1</v>
      </c>
      <c r="V885" s="4" t="b">
        <f t="shared" si="3"/>
        <v>0</v>
      </c>
      <c r="W885" s="4" t="str">
        <f t="shared" si="8"/>
        <v>Distance/Location</v>
      </c>
      <c r="X885" s="4" t="str">
        <f t="shared" si="4"/>
        <v>mwc</v>
      </c>
      <c r="Y885" s="4">
        <f t="shared" si="5"/>
        <v>1</v>
      </c>
      <c r="Z885" s="4" t="str">
        <f t="shared" si="6"/>
        <v>Unique</v>
      </c>
      <c r="AA885" s="4" t="str">
        <f t="shared" si="7"/>
        <v>Valid</v>
      </c>
    </row>
    <row r="886">
      <c r="A886" s="3" t="s">
        <v>2028</v>
      </c>
      <c r="B886" s="3">
        <v>7.0</v>
      </c>
      <c r="C886" s="3" t="s">
        <v>2029</v>
      </c>
      <c r="D886" s="3">
        <v>0.0</v>
      </c>
      <c r="E886" s="3">
        <v>7.0</v>
      </c>
      <c r="F886" s="4"/>
      <c r="G886" s="3">
        <v>0.0</v>
      </c>
      <c r="H886" s="3">
        <v>754.0</v>
      </c>
      <c r="I886" s="3" t="s">
        <v>110</v>
      </c>
      <c r="J886" s="3">
        <v>0.0</v>
      </c>
      <c r="K886" s="3">
        <v>0.0</v>
      </c>
      <c r="L886" s="3">
        <v>0.0</v>
      </c>
      <c r="M886" s="3" t="s">
        <v>204</v>
      </c>
      <c r="N886" s="3">
        <v>114.1</v>
      </c>
      <c r="O886" s="3">
        <v>-4.596</v>
      </c>
      <c r="P886" s="3">
        <v>153.235</v>
      </c>
      <c r="Q886" s="3" t="s">
        <v>633</v>
      </c>
      <c r="R886" s="4"/>
      <c r="S886" s="3" t="s">
        <v>168</v>
      </c>
      <c r="T886" s="16">
        <f t="shared" si="1"/>
        <v>36179.14931</v>
      </c>
      <c r="U886" s="4" t="b">
        <f t="shared" si="2"/>
        <v>1</v>
      </c>
      <c r="V886" s="4" t="b">
        <f t="shared" si="3"/>
        <v>0</v>
      </c>
      <c r="W886" s="4" t="str">
        <f t="shared" si="8"/>
        <v>Distance/Location</v>
      </c>
      <c r="X886" s="4" t="str">
        <f t="shared" si="4"/>
        <v>mwc</v>
      </c>
      <c r="Y886" s="4">
        <f t="shared" si="5"/>
        <v>1</v>
      </c>
      <c r="Z886" s="4" t="str">
        <f t="shared" si="6"/>
        <v>Unique</v>
      </c>
      <c r="AA886" s="4" t="str">
        <f t="shared" si="7"/>
        <v>Valid</v>
      </c>
    </row>
    <row r="887">
      <c r="A887" s="3" t="s">
        <v>2030</v>
      </c>
      <c r="B887" s="3">
        <v>6.8</v>
      </c>
      <c r="C887" s="3" t="s">
        <v>2031</v>
      </c>
      <c r="D887" s="3">
        <v>0.0</v>
      </c>
      <c r="E887" s="3">
        <v>5.0</v>
      </c>
      <c r="F887" s="4"/>
      <c r="G887" s="3">
        <v>0.0</v>
      </c>
      <c r="H887" s="3">
        <v>711.0</v>
      </c>
      <c r="I887" s="3" t="s">
        <v>110</v>
      </c>
      <c r="J887" s="3">
        <v>0.0</v>
      </c>
      <c r="K887" s="3">
        <v>0.0</v>
      </c>
      <c r="L887" s="3">
        <v>0.0</v>
      </c>
      <c r="M887" s="3" t="s">
        <v>204</v>
      </c>
      <c r="N887" s="3">
        <v>144.3</v>
      </c>
      <c r="O887" s="3">
        <v>-21.632</v>
      </c>
      <c r="P887" s="3">
        <v>-176.376</v>
      </c>
      <c r="Q887" s="3" t="s">
        <v>374</v>
      </c>
      <c r="R887" s="4"/>
      <c r="S887" s="4"/>
      <c r="T887" s="16">
        <f t="shared" si="1"/>
        <v>36156.02639</v>
      </c>
      <c r="U887" s="4" t="b">
        <f t="shared" si="2"/>
        <v>1</v>
      </c>
      <c r="V887" s="4" t="b">
        <f t="shared" si="3"/>
        <v>0</v>
      </c>
      <c r="W887" s="4" t="str">
        <f t="shared" si="8"/>
        <v>Distance/Location</v>
      </c>
      <c r="X887" s="4" t="str">
        <f t="shared" si="4"/>
        <v>mwc</v>
      </c>
      <c r="Y887" s="4">
        <f t="shared" si="5"/>
        <v>1</v>
      </c>
      <c r="Z887" s="4" t="str">
        <f t="shared" si="6"/>
        <v>Unique</v>
      </c>
      <c r="AA887" s="4" t="str">
        <f t="shared" si="7"/>
        <v>Valid</v>
      </c>
    </row>
    <row r="888">
      <c r="A888" s="3" t="s">
        <v>2032</v>
      </c>
      <c r="B888" s="3">
        <v>7.7</v>
      </c>
      <c r="C888" s="3" t="s">
        <v>2033</v>
      </c>
      <c r="D888" s="3">
        <v>0.0</v>
      </c>
      <c r="E888" s="3">
        <v>7.0</v>
      </c>
      <c r="F888" s="4"/>
      <c r="G888" s="3">
        <v>0.0</v>
      </c>
      <c r="H888" s="3">
        <v>912.0</v>
      </c>
      <c r="I888" s="3" t="s">
        <v>110</v>
      </c>
      <c r="J888" s="3">
        <v>0.0</v>
      </c>
      <c r="K888" s="3">
        <v>0.0</v>
      </c>
      <c r="L888" s="3">
        <v>0.0</v>
      </c>
      <c r="M888" s="3" t="s">
        <v>204</v>
      </c>
      <c r="N888" s="3">
        <v>33.0</v>
      </c>
      <c r="O888" s="3">
        <v>-2.071</v>
      </c>
      <c r="P888" s="3">
        <v>124.891</v>
      </c>
      <c r="Q888" s="3" t="s">
        <v>534</v>
      </c>
      <c r="R888" s="4"/>
      <c r="S888" s="3" t="s">
        <v>153</v>
      </c>
      <c r="T888" s="16">
        <f t="shared" si="1"/>
        <v>36128.59028</v>
      </c>
      <c r="U888" s="4" t="b">
        <f t="shared" si="2"/>
        <v>1</v>
      </c>
      <c r="V888" s="4" t="b">
        <f t="shared" si="3"/>
        <v>0</v>
      </c>
      <c r="W888" s="4" t="str">
        <f t="shared" si="8"/>
        <v>Distance/Location</v>
      </c>
      <c r="X888" s="4" t="str">
        <f t="shared" si="4"/>
        <v>mwc</v>
      </c>
      <c r="Y888" s="4">
        <f t="shared" si="5"/>
        <v>1</v>
      </c>
      <c r="Z888" s="4" t="str">
        <f t="shared" si="6"/>
        <v>Unique</v>
      </c>
      <c r="AA888" s="4" t="str">
        <f t="shared" si="7"/>
        <v>Valid</v>
      </c>
    </row>
    <row r="889">
      <c r="A889" s="3" t="s">
        <v>2034</v>
      </c>
      <c r="B889" s="3">
        <v>7.0</v>
      </c>
      <c r="C889" s="17">
        <v>36049.23472222222</v>
      </c>
      <c r="D889" s="3">
        <v>0.0</v>
      </c>
      <c r="E889" s="3">
        <v>7.0</v>
      </c>
      <c r="F889" s="4"/>
      <c r="G889" s="3">
        <v>0.0</v>
      </c>
      <c r="H889" s="3">
        <v>754.0</v>
      </c>
      <c r="I889" s="3" t="s">
        <v>110</v>
      </c>
      <c r="J889" s="3">
        <v>0.0</v>
      </c>
      <c r="K889" s="3">
        <v>0.0</v>
      </c>
      <c r="L889" s="3">
        <v>0.0</v>
      </c>
      <c r="M889" s="3" t="s">
        <v>204</v>
      </c>
      <c r="N889" s="3">
        <v>33.0</v>
      </c>
      <c r="O889" s="3">
        <v>-6.92</v>
      </c>
      <c r="P889" s="3">
        <v>128.946</v>
      </c>
      <c r="Q889" s="3" t="s">
        <v>307</v>
      </c>
      <c r="R889" s="4"/>
      <c r="S889" s="3" t="s">
        <v>153</v>
      </c>
      <c r="T889" s="16">
        <f t="shared" si="1"/>
        <v>36108.23472</v>
      </c>
      <c r="U889" s="4" t="b">
        <f t="shared" si="2"/>
        <v>1</v>
      </c>
      <c r="V889" s="4" t="b">
        <f t="shared" si="3"/>
        <v>1</v>
      </c>
      <c r="W889" s="4" t="str">
        <f t="shared" si="8"/>
        <v>Distance/Location</v>
      </c>
      <c r="X889" s="4" t="str">
        <f t="shared" si="4"/>
        <v>mwc</v>
      </c>
      <c r="Y889" s="4">
        <f t="shared" si="5"/>
        <v>1</v>
      </c>
      <c r="Z889" s="4" t="str">
        <f t="shared" si="6"/>
        <v>Unique</v>
      </c>
      <c r="AA889" s="4" t="str">
        <f t="shared" si="7"/>
        <v>Valid</v>
      </c>
    </row>
    <row r="890">
      <c r="A890" s="3" t="s">
        <v>2035</v>
      </c>
      <c r="B890" s="3">
        <v>6.7</v>
      </c>
      <c r="C890" s="17">
        <v>36049.229166666664</v>
      </c>
      <c r="D890" s="3">
        <v>0.0</v>
      </c>
      <c r="E890" s="3">
        <v>6.0</v>
      </c>
      <c r="F890" s="4"/>
      <c r="G890" s="3">
        <v>0.0</v>
      </c>
      <c r="H890" s="3">
        <v>691.0</v>
      </c>
      <c r="I890" s="3" t="s">
        <v>110</v>
      </c>
      <c r="J890" s="3">
        <v>0.0</v>
      </c>
      <c r="K890" s="3">
        <v>0.0</v>
      </c>
      <c r="L890" s="3">
        <v>0.0</v>
      </c>
      <c r="M890" s="3" t="s">
        <v>204</v>
      </c>
      <c r="N890" s="3">
        <v>33.0</v>
      </c>
      <c r="O890" s="3">
        <v>-6.954</v>
      </c>
      <c r="P890" s="3">
        <v>129.022</v>
      </c>
      <c r="Q890" s="3" t="s">
        <v>307</v>
      </c>
      <c r="R890" s="4"/>
      <c r="S890" s="3" t="s">
        <v>153</v>
      </c>
      <c r="T890" s="16">
        <f t="shared" si="1"/>
        <v>36108.22917</v>
      </c>
      <c r="U890" s="4" t="b">
        <f t="shared" si="2"/>
        <v>1</v>
      </c>
      <c r="V890" s="4" t="b">
        <f t="shared" si="3"/>
        <v>1</v>
      </c>
      <c r="W890" s="4" t="str">
        <f t="shared" si="8"/>
        <v>Distance/Location</v>
      </c>
      <c r="X890" s="4" t="str">
        <f t="shared" si="4"/>
        <v>mwc</v>
      </c>
      <c r="Y890" s="4">
        <f t="shared" si="5"/>
        <v>1</v>
      </c>
      <c r="Z890" s="4" t="str">
        <f t="shared" si="6"/>
        <v>Unique</v>
      </c>
      <c r="AA890" s="4" t="str">
        <f t="shared" si="7"/>
        <v>Valid</v>
      </c>
    </row>
    <row r="891">
      <c r="A891" s="3" t="s">
        <v>2036</v>
      </c>
      <c r="B891" s="3">
        <v>6.6</v>
      </c>
      <c r="C891" s="3" t="s">
        <v>2037</v>
      </c>
      <c r="D891" s="3">
        <v>0.0</v>
      </c>
      <c r="E891" s="3">
        <v>5.0</v>
      </c>
      <c r="F891" s="4"/>
      <c r="G891" s="3">
        <v>0.0</v>
      </c>
      <c r="H891" s="3">
        <v>670.0</v>
      </c>
      <c r="I891" s="3" t="s">
        <v>110</v>
      </c>
      <c r="J891" s="3">
        <v>0.0</v>
      </c>
      <c r="K891" s="3">
        <v>0.0</v>
      </c>
      <c r="L891" s="3">
        <v>0.0</v>
      </c>
      <c r="M891" s="3" t="s">
        <v>224</v>
      </c>
      <c r="N891" s="3">
        <v>151.6</v>
      </c>
      <c r="O891" s="3">
        <v>-8.194</v>
      </c>
      <c r="P891" s="3">
        <v>112.413</v>
      </c>
      <c r="Q891" s="3" t="s">
        <v>2038</v>
      </c>
      <c r="R891" s="4"/>
      <c r="S891" s="3" t="s">
        <v>153</v>
      </c>
      <c r="T891" s="16">
        <f t="shared" si="1"/>
        <v>36066.56528</v>
      </c>
      <c r="U891" s="4" t="b">
        <f t="shared" si="2"/>
        <v>1</v>
      </c>
      <c r="V891" s="4" t="b">
        <f t="shared" si="3"/>
        <v>0</v>
      </c>
      <c r="W891" s="4" t="str">
        <f t="shared" si="8"/>
        <v>Distance/Location</v>
      </c>
      <c r="X891" s="4" t="str">
        <f t="shared" si="4"/>
        <v>mwb</v>
      </c>
      <c r="Y891" s="4">
        <f t="shared" si="5"/>
        <v>1</v>
      </c>
      <c r="Z891" s="4" t="str">
        <f t="shared" si="6"/>
        <v>Unique</v>
      </c>
      <c r="AA891" s="4" t="str">
        <f t="shared" si="7"/>
        <v>Valid</v>
      </c>
    </row>
    <row r="892">
      <c r="A892" s="3" t="s">
        <v>2039</v>
      </c>
      <c r="B892" s="3">
        <v>6.6</v>
      </c>
      <c r="C892" s="17">
        <v>35863.73402777778</v>
      </c>
      <c r="D892" s="3">
        <v>0.0</v>
      </c>
      <c r="E892" s="3">
        <v>6.0</v>
      </c>
      <c r="F892" s="4"/>
      <c r="G892" s="3">
        <v>0.0</v>
      </c>
      <c r="H892" s="3">
        <v>670.0</v>
      </c>
      <c r="I892" s="3" t="s">
        <v>110</v>
      </c>
      <c r="J892" s="3">
        <v>0.0</v>
      </c>
      <c r="K892" s="3">
        <v>0.0</v>
      </c>
      <c r="L892" s="3">
        <v>0.0</v>
      </c>
      <c r="M892" s="3" t="s">
        <v>204</v>
      </c>
      <c r="N892" s="3">
        <v>27.0</v>
      </c>
      <c r="O892" s="3">
        <v>-29.45</v>
      </c>
      <c r="P892" s="3">
        <v>-71.715</v>
      </c>
      <c r="Q892" s="3" t="s">
        <v>547</v>
      </c>
      <c r="R892" s="4"/>
      <c r="S892" s="3" t="s">
        <v>414</v>
      </c>
      <c r="T892" s="16">
        <f t="shared" si="1"/>
        <v>36041.73403</v>
      </c>
      <c r="U892" s="4" t="b">
        <f t="shared" si="2"/>
        <v>1</v>
      </c>
      <c r="V892" s="4" t="b">
        <f t="shared" si="3"/>
        <v>1</v>
      </c>
      <c r="W892" s="4" t="str">
        <f t="shared" si="8"/>
        <v>Distance/Location</v>
      </c>
      <c r="X892" s="4" t="str">
        <f t="shared" si="4"/>
        <v>mwc</v>
      </c>
      <c r="Y892" s="4">
        <f t="shared" si="5"/>
        <v>1</v>
      </c>
      <c r="Z892" s="4" t="str">
        <f t="shared" si="6"/>
        <v>Unique</v>
      </c>
      <c r="AA892" s="4" t="str">
        <f t="shared" si="7"/>
        <v>Valid</v>
      </c>
    </row>
    <row r="893">
      <c r="A893" s="3" t="s">
        <v>2040</v>
      </c>
      <c r="B893" s="3">
        <v>6.8</v>
      </c>
      <c r="C893" s="17">
        <v>35835.35902777778</v>
      </c>
      <c r="D893" s="3">
        <v>0.0</v>
      </c>
      <c r="E893" s="3">
        <v>5.0</v>
      </c>
      <c r="F893" s="4"/>
      <c r="G893" s="3">
        <v>0.0</v>
      </c>
      <c r="H893" s="3">
        <v>711.0</v>
      </c>
      <c r="I893" s="3" t="s">
        <v>110</v>
      </c>
      <c r="J893" s="3">
        <v>0.0</v>
      </c>
      <c r="K893" s="3">
        <v>0.0</v>
      </c>
      <c r="L893" s="3">
        <v>0.0</v>
      </c>
      <c r="M893" s="3" t="s">
        <v>204</v>
      </c>
      <c r="N893" s="3">
        <v>50.0</v>
      </c>
      <c r="O893" s="3">
        <v>5.41</v>
      </c>
      <c r="P893" s="3">
        <v>126.764</v>
      </c>
      <c r="Q893" s="3" t="s">
        <v>348</v>
      </c>
      <c r="R893" s="4"/>
      <c r="S893" s="3" t="s">
        <v>153</v>
      </c>
      <c r="T893" s="16">
        <f t="shared" si="1"/>
        <v>36040.35903</v>
      </c>
      <c r="U893" s="4" t="b">
        <f t="shared" si="2"/>
        <v>1</v>
      </c>
      <c r="V893" s="4" t="b">
        <f t="shared" si="3"/>
        <v>1</v>
      </c>
      <c r="W893" s="4" t="str">
        <f t="shared" si="8"/>
        <v>Distance/Location</v>
      </c>
      <c r="X893" s="4" t="str">
        <f t="shared" si="4"/>
        <v>mwc</v>
      </c>
      <c r="Y893" s="4">
        <f t="shared" si="5"/>
        <v>1</v>
      </c>
      <c r="Z893" s="4" t="str">
        <f t="shared" si="6"/>
        <v>Unique</v>
      </c>
      <c r="AA893" s="4" t="str">
        <f t="shared" si="7"/>
        <v>Valid</v>
      </c>
    </row>
    <row r="894">
      <c r="A894" s="3" t="s">
        <v>2041</v>
      </c>
      <c r="B894" s="3">
        <v>7.2</v>
      </c>
      <c r="C894" s="17">
        <v>35893.790972222225</v>
      </c>
      <c r="D894" s="3">
        <v>0.0</v>
      </c>
      <c r="E894" s="3">
        <v>7.0</v>
      </c>
      <c r="F894" s="4"/>
      <c r="G894" s="3">
        <v>0.0</v>
      </c>
      <c r="H894" s="3">
        <v>798.0</v>
      </c>
      <c r="I894" s="3" t="s">
        <v>110</v>
      </c>
      <c r="J894" s="3">
        <v>0.0</v>
      </c>
      <c r="K894" s="3">
        <v>0.0</v>
      </c>
      <c r="L894" s="3">
        <v>0.0</v>
      </c>
      <c r="M894" s="3" t="s">
        <v>204</v>
      </c>
      <c r="N894" s="3">
        <v>33.0</v>
      </c>
      <c r="O894" s="3">
        <v>-0.593</v>
      </c>
      <c r="P894" s="3">
        <v>-80.393</v>
      </c>
      <c r="Q894" s="3" t="s">
        <v>2042</v>
      </c>
      <c r="R894" s="3" t="s">
        <v>121</v>
      </c>
      <c r="S894" s="3" t="s">
        <v>179</v>
      </c>
      <c r="T894" s="16">
        <f t="shared" si="1"/>
        <v>36011.79097</v>
      </c>
      <c r="U894" s="4" t="b">
        <f t="shared" si="2"/>
        <v>1</v>
      </c>
      <c r="V894" s="4" t="b">
        <f t="shared" si="3"/>
        <v>1</v>
      </c>
      <c r="W894" s="4" t="str">
        <f t="shared" si="8"/>
        <v>Distance/Location</v>
      </c>
      <c r="X894" s="4" t="str">
        <f t="shared" si="4"/>
        <v>mwc</v>
      </c>
      <c r="Y894" s="4">
        <f t="shared" si="5"/>
        <v>1</v>
      </c>
      <c r="Z894" s="4" t="str">
        <f t="shared" si="6"/>
        <v>Unique</v>
      </c>
      <c r="AA894" s="4" t="str">
        <f t="shared" si="7"/>
        <v>Valid</v>
      </c>
    </row>
    <row r="895">
      <c r="A895" s="3" t="s">
        <v>2043</v>
      </c>
      <c r="B895" s="3">
        <v>6.7</v>
      </c>
      <c r="C895" s="3" t="s">
        <v>2044</v>
      </c>
      <c r="D895" s="3">
        <v>0.0</v>
      </c>
      <c r="E895" s="3">
        <v>6.0</v>
      </c>
      <c r="F895" s="4"/>
      <c r="G895" s="3">
        <v>0.0</v>
      </c>
      <c r="H895" s="3">
        <v>691.0</v>
      </c>
      <c r="I895" s="3" t="s">
        <v>110</v>
      </c>
      <c r="J895" s="3">
        <v>0.0</v>
      </c>
      <c r="K895" s="3">
        <v>0.0</v>
      </c>
      <c r="L895" s="3">
        <v>0.0</v>
      </c>
      <c r="M895" s="3" t="s">
        <v>204</v>
      </c>
      <c r="N895" s="3">
        <v>33.0</v>
      </c>
      <c r="O895" s="3">
        <v>-2.693</v>
      </c>
      <c r="P895" s="3">
        <v>138.901</v>
      </c>
      <c r="Q895" s="3" t="s">
        <v>892</v>
      </c>
      <c r="R895" s="4"/>
      <c r="S895" s="3" t="s">
        <v>153</v>
      </c>
      <c r="T895" s="16">
        <f t="shared" si="1"/>
        <v>36005.75</v>
      </c>
      <c r="U895" s="4" t="b">
        <f t="shared" si="2"/>
        <v>1</v>
      </c>
      <c r="V895" s="4" t="b">
        <f t="shared" si="3"/>
        <v>0</v>
      </c>
      <c r="W895" s="4" t="str">
        <f t="shared" si="8"/>
        <v>Distance/Location</v>
      </c>
      <c r="X895" s="4" t="str">
        <f t="shared" si="4"/>
        <v>mwc</v>
      </c>
      <c r="Y895" s="4">
        <f t="shared" si="5"/>
        <v>1</v>
      </c>
      <c r="Z895" s="4" t="str">
        <f t="shared" si="6"/>
        <v>Unique</v>
      </c>
      <c r="AA895" s="4" t="str">
        <f t="shared" si="7"/>
        <v>Valid</v>
      </c>
    </row>
    <row r="896">
      <c r="A896" s="3" t="s">
        <v>2045</v>
      </c>
      <c r="B896" s="3">
        <v>7.0</v>
      </c>
      <c r="C896" s="3" t="s">
        <v>2046</v>
      </c>
      <c r="D896" s="3">
        <v>0.0</v>
      </c>
      <c r="E896" s="3">
        <v>7.0</v>
      </c>
      <c r="F896" s="4"/>
      <c r="G896" s="3">
        <v>0.0</v>
      </c>
      <c r="H896" s="3">
        <v>754.0</v>
      </c>
      <c r="I896" s="3" t="s">
        <v>110</v>
      </c>
      <c r="J896" s="3">
        <v>0.0</v>
      </c>
      <c r="K896" s="3">
        <v>0.0</v>
      </c>
      <c r="L896" s="3">
        <v>0.0</v>
      </c>
      <c r="M896" s="3" t="s">
        <v>204</v>
      </c>
      <c r="N896" s="3">
        <v>10.0</v>
      </c>
      <c r="O896" s="3">
        <v>-2.961</v>
      </c>
      <c r="P896" s="3">
        <v>141.926</v>
      </c>
      <c r="Q896" s="3" t="s">
        <v>1115</v>
      </c>
      <c r="R896" s="4"/>
      <c r="S896" s="3" t="s">
        <v>168</v>
      </c>
      <c r="T896" s="16">
        <f t="shared" si="1"/>
        <v>35993.36736</v>
      </c>
      <c r="U896" s="4" t="b">
        <f t="shared" si="2"/>
        <v>1</v>
      </c>
      <c r="V896" s="4" t="b">
        <f t="shared" si="3"/>
        <v>0</v>
      </c>
      <c r="W896" s="4" t="str">
        <f t="shared" si="8"/>
        <v>Distance/Location</v>
      </c>
      <c r="X896" s="4" t="str">
        <f t="shared" si="4"/>
        <v>mwc</v>
      </c>
      <c r="Y896" s="4">
        <f t="shared" si="5"/>
        <v>1</v>
      </c>
      <c r="Z896" s="4" t="str">
        <f t="shared" si="6"/>
        <v>Unique</v>
      </c>
      <c r="AA896" s="4" t="str">
        <f t="shared" si="7"/>
        <v>Valid</v>
      </c>
    </row>
    <row r="897">
      <c r="A897" s="3" t="s">
        <v>2047</v>
      </c>
      <c r="B897" s="3">
        <v>7.0</v>
      </c>
      <c r="C897" s="3" t="s">
        <v>2048</v>
      </c>
      <c r="D897" s="3">
        <v>0.0</v>
      </c>
      <c r="E897" s="3">
        <v>7.0</v>
      </c>
      <c r="F897" s="4"/>
      <c r="G897" s="3">
        <v>0.0</v>
      </c>
      <c r="H897" s="3">
        <v>754.0</v>
      </c>
      <c r="I897" s="3" t="s">
        <v>110</v>
      </c>
      <c r="J897" s="3">
        <v>0.0</v>
      </c>
      <c r="K897" s="3">
        <v>0.0</v>
      </c>
      <c r="L897" s="3">
        <v>0.0</v>
      </c>
      <c r="M897" s="3" t="s">
        <v>204</v>
      </c>
      <c r="N897" s="3">
        <v>110.2</v>
      </c>
      <c r="O897" s="3">
        <v>-11.04</v>
      </c>
      <c r="P897" s="3">
        <v>166.16</v>
      </c>
      <c r="Q897" s="3" t="s">
        <v>450</v>
      </c>
      <c r="R897" s="4"/>
      <c r="S897" s="3" t="s">
        <v>214</v>
      </c>
      <c r="T897" s="16">
        <f t="shared" si="1"/>
        <v>35992.49722</v>
      </c>
      <c r="U897" s="4" t="b">
        <f t="shared" si="2"/>
        <v>1</v>
      </c>
      <c r="V897" s="4" t="b">
        <f t="shared" si="3"/>
        <v>0</v>
      </c>
      <c r="W897" s="4" t="str">
        <f t="shared" si="8"/>
        <v>Distance/Location</v>
      </c>
      <c r="X897" s="4" t="str">
        <f t="shared" si="4"/>
        <v>mwc</v>
      </c>
      <c r="Y897" s="4">
        <f t="shared" si="5"/>
        <v>1</v>
      </c>
      <c r="Z897" s="4" t="str">
        <f t="shared" si="6"/>
        <v>Unique</v>
      </c>
      <c r="AA897" s="4" t="str">
        <f t="shared" si="7"/>
        <v>Valid</v>
      </c>
    </row>
    <row r="898">
      <c r="A898" s="3" t="s">
        <v>2049</v>
      </c>
      <c r="B898" s="3">
        <v>6.6</v>
      </c>
      <c r="C898" s="3" t="s">
        <v>2050</v>
      </c>
      <c r="D898" s="3">
        <v>0.0</v>
      </c>
      <c r="E898" s="3">
        <v>6.0</v>
      </c>
      <c r="F898" s="4"/>
      <c r="G898" s="3">
        <v>0.0</v>
      </c>
      <c r="H898" s="3">
        <v>670.0</v>
      </c>
      <c r="I898" s="3" t="s">
        <v>110</v>
      </c>
      <c r="J898" s="3">
        <v>0.0</v>
      </c>
      <c r="K898" s="3">
        <v>0.0</v>
      </c>
      <c r="L898" s="3">
        <v>0.0</v>
      </c>
      <c r="M898" s="3" t="s">
        <v>224</v>
      </c>
      <c r="N898" s="3">
        <v>33.0</v>
      </c>
      <c r="O898" s="3">
        <v>37.106</v>
      </c>
      <c r="P898" s="3">
        <v>70.11</v>
      </c>
      <c r="Q898" s="3" t="s">
        <v>2051</v>
      </c>
      <c r="R898" s="3" t="s">
        <v>164</v>
      </c>
      <c r="S898" s="3" t="s">
        <v>175</v>
      </c>
      <c r="T898" s="16">
        <f t="shared" si="1"/>
        <v>35945.26528</v>
      </c>
      <c r="U898" s="4" t="b">
        <f t="shared" si="2"/>
        <v>1</v>
      </c>
      <c r="V898" s="4" t="b">
        <f t="shared" si="3"/>
        <v>0</v>
      </c>
      <c r="W898" s="4" t="str">
        <f t="shared" si="8"/>
        <v>Distance/Location</v>
      </c>
      <c r="X898" s="4" t="str">
        <f t="shared" si="4"/>
        <v>mwb</v>
      </c>
      <c r="Y898" s="4">
        <f t="shared" si="5"/>
        <v>1</v>
      </c>
      <c r="Z898" s="4" t="str">
        <f t="shared" si="6"/>
        <v>Unique</v>
      </c>
      <c r="AA898" s="4" t="str">
        <f t="shared" si="7"/>
        <v>Valid</v>
      </c>
    </row>
    <row r="899">
      <c r="A899" s="3" t="s">
        <v>2052</v>
      </c>
      <c r="B899" s="3">
        <v>6.6</v>
      </c>
      <c r="C899" s="3" t="s">
        <v>2053</v>
      </c>
      <c r="D899" s="3">
        <v>0.0</v>
      </c>
      <c r="E899" s="3">
        <v>8.0</v>
      </c>
      <c r="F899" s="4"/>
      <c r="G899" s="3">
        <v>0.0</v>
      </c>
      <c r="H899" s="3">
        <v>670.0</v>
      </c>
      <c r="I899" s="3" t="s">
        <v>110</v>
      </c>
      <c r="J899" s="3">
        <v>0.0</v>
      </c>
      <c r="K899" s="3">
        <v>0.0</v>
      </c>
      <c r="L899" s="3">
        <v>0.0</v>
      </c>
      <c r="M899" s="3" t="s">
        <v>224</v>
      </c>
      <c r="N899" s="3">
        <v>24.0</v>
      </c>
      <c r="O899" s="3">
        <v>-17.731</v>
      </c>
      <c r="P899" s="3">
        <v>-65.431</v>
      </c>
      <c r="Q899" s="3" t="s">
        <v>2054</v>
      </c>
      <c r="R899" s="3" t="s">
        <v>121</v>
      </c>
      <c r="S899" s="3" t="s">
        <v>627</v>
      </c>
      <c r="T899" s="16">
        <f t="shared" si="1"/>
        <v>35937.2</v>
      </c>
      <c r="U899" s="4" t="b">
        <f t="shared" si="2"/>
        <v>1</v>
      </c>
      <c r="V899" s="4" t="b">
        <f t="shared" si="3"/>
        <v>0</v>
      </c>
      <c r="W899" s="4" t="str">
        <f t="shared" si="8"/>
        <v>Distance/Location</v>
      </c>
      <c r="X899" s="4" t="str">
        <f t="shared" si="4"/>
        <v>mwb</v>
      </c>
      <c r="Y899" s="4">
        <f t="shared" si="5"/>
        <v>1</v>
      </c>
      <c r="Z899" s="4" t="str">
        <f t="shared" si="6"/>
        <v>Unique</v>
      </c>
      <c r="AA899" s="4" t="str">
        <f t="shared" si="7"/>
        <v>Valid</v>
      </c>
    </row>
    <row r="900">
      <c r="A900" s="3" t="s">
        <v>2055</v>
      </c>
      <c r="B900" s="3">
        <v>6.7</v>
      </c>
      <c r="C900" s="3" t="s">
        <v>2056</v>
      </c>
      <c r="D900" s="3">
        <v>0.0</v>
      </c>
      <c r="E900" s="3">
        <v>6.0</v>
      </c>
      <c r="F900" s="4"/>
      <c r="G900" s="3">
        <v>0.0</v>
      </c>
      <c r="H900" s="3">
        <v>691.0</v>
      </c>
      <c r="I900" s="3" t="s">
        <v>110</v>
      </c>
      <c r="J900" s="3">
        <v>0.0</v>
      </c>
      <c r="K900" s="3">
        <v>0.0</v>
      </c>
      <c r="L900" s="3">
        <v>0.0</v>
      </c>
      <c r="M900" s="3" t="s">
        <v>224</v>
      </c>
      <c r="N900" s="3">
        <v>33.0</v>
      </c>
      <c r="O900" s="3">
        <v>0.207</v>
      </c>
      <c r="P900" s="3">
        <v>119.584</v>
      </c>
      <c r="Q900" s="3" t="s">
        <v>590</v>
      </c>
      <c r="R900" s="4"/>
      <c r="S900" s="3" t="s">
        <v>153</v>
      </c>
      <c r="T900" s="16">
        <f t="shared" si="1"/>
        <v>35936.23194</v>
      </c>
      <c r="U900" s="4" t="b">
        <f t="shared" si="2"/>
        <v>1</v>
      </c>
      <c r="V900" s="4" t="b">
        <f t="shared" si="3"/>
        <v>0</v>
      </c>
      <c r="W900" s="4" t="str">
        <f t="shared" si="8"/>
        <v>Distance/Location</v>
      </c>
      <c r="X900" s="4" t="str">
        <f t="shared" si="4"/>
        <v>mwb</v>
      </c>
      <c r="Y900" s="4">
        <f t="shared" si="5"/>
        <v>1</v>
      </c>
      <c r="Z900" s="4" t="str">
        <f t="shared" si="6"/>
        <v>Unique</v>
      </c>
      <c r="AA900" s="4" t="str">
        <f t="shared" si="7"/>
        <v>Valid</v>
      </c>
    </row>
    <row r="901">
      <c r="A901" s="3" t="s">
        <v>2057</v>
      </c>
      <c r="B901" s="3">
        <v>6.6</v>
      </c>
      <c r="C901" s="3" t="s">
        <v>2058</v>
      </c>
      <c r="D901" s="3">
        <v>0.0</v>
      </c>
      <c r="E901" s="3">
        <v>6.0</v>
      </c>
      <c r="F901" s="4"/>
      <c r="G901" s="3">
        <v>0.0</v>
      </c>
      <c r="H901" s="3">
        <v>670.0</v>
      </c>
      <c r="I901" s="3" t="s">
        <v>110</v>
      </c>
      <c r="J901" s="3">
        <v>0.0</v>
      </c>
      <c r="K901" s="3">
        <v>0.0</v>
      </c>
      <c r="L901" s="3">
        <v>0.0</v>
      </c>
      <c r="M901" s="3" t="s">
        <v>204</v>
      </c>
      <c r="N901" s="3">
        <v>61.4</v>
      </c>
      <c r="O901" s="3">
        <v>-5.147</v>
      </c>
      <c r="P901" s="3">
        <v>151.714</v>
      </c>
      <c r="Q901" s="3" t="s">
        <v>633</v>
      </c>
      <c r="R901" s="4"/>
      <c r="S901" s="3" t="s">
        <v>168</v>
      </c>
      <c r="T901" s="16">
        <f t="shared" si="1"/>
        <v>35928.95972</v>
      </c>
      <c r="U901" s="4" t="b">
        <f t="shared" si="2"/>
        <v>1</v>
      </c>
      <c r="V901" s="4" t="b">
        <f t="shared" si="3"/>
        <v>0</v>
      </c>
      <c r="W901" s="4" t="str">
        <f t="shared" si="8"/>
        <v>Distance/Location</v>
      </c>
      <c r="X901" s="4" t="str">
        <f t="shared" si="4"/>
        <v>mwc</v>
      </c>
      <c r="Y901" s="4">
        <f t="shared" si="5"/>
        <v>1</v>
      </c>
      <c r="Z901" s="4" t="str">
        <f t="shared" si="6"/>
        <v>Unique</v>
      </c>
      <c r="AA901" s="4" t="str">
        <f t="shared" si="7"/>
        <v>Valid</v>
      </c>
    </row>
    <row r="902">
      <c r="A902" s="3" t="s">
        <v>2059</v>
      </c>
      <c r="B902" s="3">
        <v>7.5</v>
      </c>
      <c r="C902" s="17">
        <v>35859.979166666664</v>
      </c>
      <c r="D902" s="3">
        <v>0.0</v>
      </c>
      <c r="E902" s="3">
        <v>5.0</v>
      </c>
      <c r="F902" s="4"/>
      <c r="G902" s="3">
        <v>0.0</v>
      </c>
      <c r="H902" s="3">
        <v>865.0</v>
      </c>
      <c r="I902" s="3" t="s">
        <v>110</v>
      </c>
      <c r="J902" s="3">
        <v>0.0</v>
      </c>
      <c r="K902" s="3">
        <v>0.0</v>
      </c>
      <c r="L902" s="3">
        <v>0.0</v>
      </c>
      <c r="M902" s="3" t="s">
        <v>224</v>
      </c>
      <c r="N902" s="3">
        <v>33.0</v>
      </c>
      <c r="O902" s="3">
        <v>22.306</v>
      </c>
      <c r="P902" s="3">
        <v>125.308</v>
      </c>
      <c r="Q902" s="3" t="s">
        <v>2060</v>
      </c>
      <c r="R902" s="4"/>
      <c r="S902" s="4"/>
      <c r="T902" s="16">
        <f t="shared" si="1"/>
        <v>35918.97917</v>
      </c>
      <c r="U902" s="4" t="b">
        <f t="shared" si="2"/>
        <v>1</v>
      </c>
      <c r="V902" s="4" t="b">
        <f t="shared" si="3"/>
        <v>1</v>
      </c>
      <c r="W902" s="4" t="str">
        <f t="shared" si="8"/>
        <v>Distance/Location</v>
      </c>
      <c r="X902" s="4" t="str">
        <f t="shared" si="4"/>
        <v>mwb</v>
      </c>
      <c r="Y902" s="4">
        <f t="shared" si="5"/>
        <v>1</v>
      </c>
      <c r="Z902" s="4" t="str">
        <f t="shared" si="6"/>
        <v>Unique</v>
      </c>
      <c r="AA902" s="4" t="str">
        <f t="shared" si="7"/>
        <v>Valid</v>
      </c>
    </row>
    <row r="903">
      <c r="A903" s="3" t="s">
        <v>2061</v>
      </c>
      <c r="B903" s="3">
        <v>6.6</v>
      </c>
      <c r="C903" s="17">
        <v>35858.91736111111</v>
      </c>
      <c r="D903" s="3">
        <v>0.0</v>
      </c>
      <c r="E903" s="3">
        <v>5.0</v>
      </c>
      <c r="F903" s="4"/>
      <c r="G903" s="3">
        <v>0.0</v>
      </c>
      <c r="H903" s="3">
        <v>670.0</v>
      </c>
      <c r="I903" s="3" t="s">
        <v>110</v>
      </c>
      <c r="J903" s="3">
        <v>0.0</v>
      </c>
      <c r="K903" s="3">
        <v>0.0</v>
      </c>
      <c r="L903" s="3">
        <v>0.0</v>
      </c>
      <c r="M903" s="3" t="s">
        <v>204</v>
      </c>
      <c r="N903" s="3">
        <v>164.6</v>
      </c>
      <c r="O903" s="3">
        <v>-8.148</v>
      </c>
      <c r="P903" s="3">
        <v>-74.238</v>
      </c>
      <c r="Q903" s="3" t="s">
        <v>2062</v>
      </c>
      <c r="R903" s="3" t="s">
        <v>121</v>
      </c>
      <c r="S903" s="3" t="s">
        <v>265</v>
      </c>
      <c r="T903" s="16">
        <f t="shared" si="1"/>
        <v>35888.91736</v>
      </c>
      <c r="U903" s="4" t="b">
        <f t="shared" si="2"/>
        <v>1</v>
      </c>
      <c r="V903" s="4" t="b">
        <f t="shared" si="3"/>
        <v>1</v>
      </c>
      <c r="W903" s="4" t="str">
        <f t="shared" si="8"/>
        <v>Distance/Location</v>
      </c>
      <c r="X903" s="4" t="str">
        <f t="shared" si="4"/>
        <v>mwc</v>
      </c>
      <c r="Y903" s="4">
        <f t="shared" si="5"/>
        <v>1</v>
      </c>
      <c r="Z903" s="4" t="str">
        <f t="shared" si="6"/>
        <v>Unique</v>
      </c>
      <c r="AA903" s="4" t="str">
        <f t="shared" si="7"/>
        <v>Valid</v>
      </c>
    </row>
    <row r="904">
      <c r="A904" s="3" t="s">
        <v>2063</v>
      </c>
      <c r="B904" s="3">
        <v>7.0</v>
      </c>
      <c r="C904" s="17">
        <v>35799.74722222222</v>
      </c>
      <c r="D904" s="3">
        <v>0.0</v>
      </c>
      <c r="E904" s="3">
        <v>6.0</v>
      </c>
      <c r="F904" s="4"/>
      <c r="G904" s="3">
        <v>0.0</v>
      </c>
      <c r="H904" s="3">
        <v>754.0</v>
      </c>
      <c r="I904" s="3" t="s">
        <v>110</v>
      </c>
      <c r="J904" s="3">
        <v>0.0</v>
      </c>
      <c r="K904" s="3">
        <v>0.0</v>
      </c>
      <c r="L904" s="3">
        <v>0.0</v>
      </c>
      <c r="M904" s="3" t="s">
        <v>204</v>
      </c>
      <c r="N904" s="3">
        <v>55.7</v>
      </c>
      <c r="O904" s="3">
        <v>-0.544</v>
      </c>
      <c r="P904" s="3">
        <v>99.261</v>
      </c>
      <c r="Q904" s="3" t="s">
        <v>285</v>
      </c>
      <c r="R904" s="4"/>
      <c r="S904" s="3" t="s">
        <v>153</v>
      </c>
      <c r="T904" s="16">
        <f t="shared" si="1"/>
        <v>35886.74722</v>
      </c>
      <c r="U904" s="4" t="b">
        <f t="shared" si="2"/>
        <v>1</v>
      </c>
      <c r="V904" s="4" t="b">
        <f t="shared" si="3"/>
        <v>1</v>
      </c>
      <c r="W904" s="4" t="str">
        <f t="shared" si="8"/>
        <v>Distance/Location</v>
      </c>
      <c r="X904" s="4" t="str">
        <f t="shared" si="4"/>
        <v>mwc</v>
      </c>
      <c r="Y904" s="4">
        <f t="shared" si="5"/>
        <v>1</v>
      </c>
      <c r="Z904" s="4" t="str">
        <f t="shared" si="6"/>
        <v>Unique</v>
      </c>
      <c r="AA904" s="4" t="str">
        <f t="shared" si="7"/>
        <v>Valid</v>
      </c>
    </row>
    <row r="905">
      <c r="A905" s="3" t="s">
        <v>2064</v>
      </c>
      <c r="B905" s="3">
        <v>6.6</v>
      </c>
      <c r="C905" s="3" t="s">
        <v>2065</v>
      </c>
      <c r="D905" s="3">
        <v>0.0</v>
      </c>
      <c r="E905" s="3">
        <v>8.0</v>
      </c>
      <c r="F905" s="4"/>
      <c r="G905" s="3">
        <v>0.0</v>
      </c>
      <c r="H905" s="3">
        <v>670.0</v>
      </c>
      <c r="I905" s="3" t="s">
        <v>110</v>
      </c>
      <c r="J905" s="3">
        <v>0.0</v>
      </c>
      <c r="K905" s="3">
        <v>0.0</v>
      </c>
      <c r="L905" s="3">
        <v>0.0</v>
      </c>
      <c r="M905" s="3" t="s">
        <v>204</v>
      </c>
      <c r="N905" s="3">
        <v>9.0</v>
      </c>
      <c r="O905" s="3">
        <v>30.154</v>
      </c>
      <c r="P905" s="3">
        <v>57.605</v>
      </c>
      <c r="Q905" s="3" t="s">
        <v>2066</v>
      </c>
      <c r="R905" s="3" t="s">
        <v>164</v>
      </c>
      <c r="S905" s="3" t="s">
        <v>665</v>
      </c>
      <c r="T905" s="16">
        <f t="shared" si="1"/>
        <v>35868.81944</v>
      </c>
      <c r="U905" s="4" t="b">
        <f t="shared" si="2"/>
        <v>1</v>
      </c>
      <c r="V905" s="4" t="b">
        <f t="shared" si="3"/>
        <v>0</v>
      </c>
      <c r="W905" s="4" t="str">
        <f t="shared" si="8"/>
        <v>Distance/Location</v>
      </c>
      <c r="X905" s="4" t="str">
        <f t="shared" si="4"/>
        <v>mwc</v>
      </c>
      <c r="Y905" s="4">
        <f t="shared" si="5"/>
        <v>1</v>
      </c>
      <c r="Z905" s="4" t="str">
        <f t="shared" si="6"/>
        <v>Unique</v>
      </c>
      <c r="AA905" s="4" t="str">
        <f t="shared" si="7"/>
        <v>Valid</v>
      </c>
    </row>
    <row r="906">
      <c r="A906" s="3" t="s">
        <v>2067</v>
      </c>
      <c r="B906" s="3">
        <v>7.1</v>
      </c>
      <c r="C906" s="3" t="s">
        <v>2068</v>
      </c>
      <c r="D906" s="3">
        <v>0.0</v>
      </c>
      <c r="E906" s="3">
        <v>7.0</v>
      </c>
      <c r="F906" s="4"/>
      <c r="G906" s="3">
        <v>0.0</v>
      </c>
      <c r="H906" s="3">
        <v>776.0</v>
      </c>
      <c r="I906" s="3" t="s">
        <v>110</v>
      </c>
      <c r="J906" s="3">
        <v>0.0</v>
      </c>
      <c r="K906" s="3">
        <v>0.0</v>
      </c>
      <c r="L906" s="3">
        <v>0.0</v>
      </c>
      <c r="M906" s="3" t="s">
        <v>204</v>
      </c>
      <c r="N906" s="3">
        <v>42.0</v>
      </c>
      <c r="O906" s="3">
        <v>-23.913</v>
      </c>
      <c r="P906" s="3">
        <v>-70.207</v>
      </c>
      <c r="Q906" s="3" t="s">
        <v>1468</v>
      </c>
      <c r="R906" s="3" t="s">
        <v>121</v>
      </c>
      <c r="S906" s="3" t="s">
        <v>414</v>
      </c>
      <c r="T906" s="16">
        <f t="shared" si="1"/>
        <v>35825.51111</v>
      </c>
      <c r="U906" s="4" t="b">
        <f t="shared" si="2"/>
        <v>1</v>
      </c>
      <c r="V906" s="4" t="b">
        <f t="shared" si="3"/>
        <v>0</v>
      </c>
      <c r="W906" s="4" t="str">
        <f t="shared" si="8"/>
        <v>Distance/Location</v>
      </c>
      <c r="X906" s="4" t="str">
        <f t="shared" si="4"/>
        <v>mwc</v>
      </c>
      <c r="Y906" s="4">
        <f t="shared" si="5"/>
        <v>1</v>
      </c>
      <c r="Z906" s="4" t="str">
        <f t="shared" si="6"/>
        <v>Unique</v>
      </c>
      <c r="AA906" s="4" t="str">
        <f t="shared" si="7"/>
        <v>Valid</v>
      </c>
    </row>
    <row r="907">
      <c r="A907" s="3" t="s">
        <v>2069</v>
      </c>
      <c r="B907" s="3">
        <v>6.7</v>
      </c>
      <c r="C907" s="17">
        <v>36130.691666666666</v>
      </c>
      <c r="D907" s="3">
        <v>0.0</v>
      </c>
      <c r="E907" s="3">
        <v>6.0</v>
      </c>
      <c r="F907" s="4"/>
      <c r="G907" s="3">
        <v>0.0</v>
      </c>
      <c r="H907" s="3">
        <v>691.0</v>
      </c>
      <c r="I907" s="3" t="s">
        <v>110</v>
      </c>
      <c r="J907" s="3">
        <v>0.0</v>
      </c>
      <c r="K907" s="3">
        <v>0.0</v>
      </c>
      <c r="L907" s="3">
        <v>0.0</v>
      </c>
      <c r="M907" s="3" t="s">
        <v>204</v>
      </c>
      <c r="N907" s="3">
        <v>23.4</v>
      </c>
      <c r="O907" s="3">
        <v>-15.848</v>
      </c>
      <c r="P907" s="3">
        <v>-179.376</v>
      </c>
      <c r="Q907" s="3" t="s">
        <v>2070</v>
      </c>
      <c r="R907" s="4"/>
      <c r="S907" s="3" t="s">
        <v>219</v>
      </c>
      <c r="T907" s="16">
        <f t="shared" si="1"/>
        <v>35807.69167</v>
      </c>
      <c r="U907" s="4" t="b">
        <f t="shared" si="2"/>
        <v>1</v>
      </c>
      <c r="V907" s="4" t="b">
        <f t="shared" si="3"/>
        <v>1</v>
      </c>
      <c r="W907" s="4" t="str">
        <f t="shared" si="8"/>
        <v>Distance/Location</v>
      </c>
      <c r="X907" s="4" t="str">
        <f t="shared" si="4"/>
        <v>mwc</v>
      </c>
      <c r="Y907" s="4">
        <f t="shared" si="5"/>
        <v>1</v>
      </c>
      <c r="Z907" s="4" t="str">
        <f t="shared" si="6"/>
        <v>Unique</v>
      </c>
      <c r="AA907" s="4" t="str">
        <f t="shared" si="7"/>
        <v>Valid</v>
      </c>
    </row>
    <row r="908">
      <c r="A908" s="3" t="s">
        <v>2071</v>
      </c>
      <c r="B908" s="3">
        <v>6.6</v>
      </c>
      <c r="C908" s="17">
        <v>36130.42638888889</v>
      </c>
      <c r="D908" s="3">
        <v>0.0</v>
      </c>
      <c r="E908" s="3">
        <v>7.0</v>
      </c>
      <c r="F908" s="4"/>
      <c r="G908" s="3">
        <v>0.0</v>
      </c>
      <c r="H908" s="3">
        <v>670.0</v>
      </c>
      <c r="I908" s="3" t="s">
        <v>110</v>
      </c>
      <c r="J908" s="3">
        <v>0.0</v>
      </c>
      <c r="K908" s="3">
        <v>0.0</v>
      </c>
      <c r="L908" s="3">
        <v>0.0</v>
      </c>
      <c r="M908" s="3" t="s">
        <v>204</v>
      </c>
      <c r="N908" s="3">
        <v>34.8</v>
      </c>
      <c r="O908" s="3">
        <v>-30.985</v>
      </c>
      <c r="P908" s="3">
        <v>-71.41</v>
      </c>
      <c r="Q908" s="3" t="s">
        <v>862</v>
      </c>
      <c r="R908" s="3" t="s">
        <v>121</v>
      </c>
      <c r="S908" s="3" t="s">
        <v>414</v>
      </c>
      <c r="T908" s="16">
        <f t="shared" si="1"/>
        <v>35807.42639</v>
      </c>
      <c r="U908" s="4" t="b">
        <f t="shared" si="2"/>
        <v>1</v>
      </c>
      <c r="V908" s="4" t="b">
        <f t="shared" si="3"/>
        <v>1</v>
      </c>
      <c r="W908" s="4" t="str">
        <f t="shared" si="8"/>
        <v>Distance/Location</v>
      </c>
      <c r="X908" s="4" t="str">
        <f t="shared" si="4"/>
        <v>mwc</v>
      </c>
      <c r="Y908" s="4">
        <f t="shared" si="5"/>
        <v>1</v>
      </c>
      <c r="Z908" s="4" t="str">
        <f t="shared" si="6"/>
        <v>Unique</v>
      </c>
      <c r="AA908" s="4" t="str">
        <f t="shared" si="7"/>
        <v>Valid</v>
      </c>
    </row>
    <row r="909">
      <c r="A909" s="3" t="s">
        <v>2072</v>
      </c>
      <c r="B909" s="3">
        <v>6.6</v>
      </c>
      <c r="C909" s="17">
        <v>36069.34722222222</v>
      </c>
      <c r="D909" s="3">
        <v>0.0</v>
      </c>
      <c r="E909" s="3">
        <v>6.0</v>
      </c>
      <c r="F909" s="4"/>
      <c r="G909" s="3">
        <v>0.0</v>
      </c>
      <c r="H909" s="3">
        <v>670.0</v>
      </c>
      <c r="I909" s="3" t="s">
        <v>110</v>
      </c>
      <c r="J909" s="3">
        <v>0.0</v>
      </c>
      <c r="K909" s="3">
        <v>0.0</v>
      </c>
      <c r="L909" s="3">
        <v>0.0</v>
      </c>
      <c r="M909" s="3" t="s">
        <v>204</v>
      </c>
      <c r="N909" s="3">
        <v>33.0</v>
      </c>
      <c r="O909" s="3">
        <v>14.374</v>
      </c>
      <c r="P909" s="3">
        <v>-91.473</v>
      </c>
      <c r="Q909" s="3" t="s">
        <v>2073</v>
      </c>
      <c r="R909" s="4"/>
      <c r="S909" s="3" t="s">
        <v>700</v>
      </c>
      <c r="T909" s="16">
        <f t="shared" si="1"/>
        <v>35805.34722</v>
      </c>
      <c r="U909" s="4" t="b">
        <f t="shared" si="2"/>
        <v>1</v>
      </c>
      <c r="V909" s="4" t="b">
        <f t="shared" si="3"/>
        <v>1</v>
      </c>
      <c r="W909" s="4" t="str">
        <f t="shared" si="8"/>
        <v>Distance/Location</v>
      </c>
      <c r="X909" s="4" t="str">
        <f t="shared" si="4"/>
        <v>mwc</v>
      </c>
      <c r="Y909" s="4">
        <f t="shared" si="5"/>
        <v>1</v>
      </c>
      <c r="Z909" s="4" t="str">
        <f t="shared" si="6"/>
        <v>Unique</v>
      </c>
      <c r="AA909" s="4" t="str">
        <f t="shared" si="7"/>
        <v>Valid</v>
      </c>
    </row>
    <row r="910">
      <c r="A910" s="3" t="s">
        <v>2074</v>
      </c>
      <c r="B910" s="3">
        <v>7.2</v>
      </c>
      <c r="C910" s="3" t="s">
        <v>2075</v>
      </c>
      <c r="D910" s="3">
        <v>0.0</v>
      </c>
      <c r="E910" s="3">
        <v>6.0</v>
      </c>
      <c r="F910" s="4"/>
      <c r="G910" s="3">
        <v>0.0</v>
      </c>
      <c r="H910" s="3">
        <v>798.0</v>
      </c>
      <c r="I910" s="3" t="s">
        <v>110</v>
      </c>
      <c r="J910" s="3">
        <v>0.0</v>
      </c>
      <c r="K910" s="3">
        <v>0.0</v>
      </c>
      <c r="L910" s="3">
        <v>0.0</v>
      </c>
      <c r="M910" s="3" t="s">
        <v>204</v>
      </c>
      <c r="N910" s="3">
        <v>179.3</v>
      </c>
      <c r="O910" s="3">
        <v>-5.495</v>
      </c>
      <c r="P910" s="3">
        <v>147.867</v>
      </c>
      <c r="Q910" s="3" t="s">
        <v>965</v>
      </c>
      <c r="R910" s="4"/>
      <c r="S910" s="3" t="s">
        <v>168</v>
      </c>
      <c r="T910" s="16">
        <f t="shared" si="1"/>
        <v>35786.08681</v>
      </c>
      <c r="U910" s="4" t="b">
        <f t="shared" si="2"/>
        <v>1</v>
      </c>
      <c r="V910" s="4" t="b">
        <f t="shared" si="3"/>
        <v>0</v>
      </c>
      <c r="W910" s="4" t="str">
        <f t="shared" si="8"/>
        <v>Distance/Location</v>
      </c>
      <c r="X910" s="4" t="str">
        <f t="shared" si="4"/>
        <v>mwc</v>
      </c>
      <c r="Y910" s="4">
        <f t="shared" si="5"/>
        <v>1</v>
      </c>
      <c r="Z910" s="4" t="str">
        <f t="shared" si="6"/>
        <v>Unique</v>
      </c>
      <c r="AA910" s="4" t="str">
        <f t="shared" si="7"/>
        <v>Valid</v>
      </c>
    </row>
    <row r="911">
      <c r="A911" s="3" t="s">
        <v>2076</v>
      </c>
      <c r="B911" s="3">
        <v>7.8</v>
      </c>
      <c r="C911" s="17">
        <v>35562.47638888889</v>
      </c>
      <c r="D911" s="3">
        <v>0.0</v>
      </c>
      <c r="E911" s="3">
        <v>7.0</v>
      </c>
      <c r="F911" s="4"/>
      <c r="G911" s="3">
        <v>0.0</v>
      </c>
      <c r="H911" s="3">
        <v>936.0</v>
      </c>
      <c r="I911" s="3" t="s">
        <v>110</v>
      </c>
      <c r="J911" s="3">
        <v>0.0</v>
      </c>
      <c r="K911" s="3">
        <v>0.0</v>
      </c>
      <c r="L911" s="3">
        <v>0.0</v>
      </c>
      <c r="M911" s="3" t="s">
        <v>204</v>
      </c>
      <c r="N911" s="3">
        <v>33.0</v>
      </c>
      <c r="O911" s="3">
        <v>54.841</v>
      </c>
      <c r="P911" s="3">
        <v>162.035</v>
      </c>
      <c r="Q911" s="3" t="s">
        <v>383</v>
      </c>
      <c r="R911" s="3" t="s">
        <v>164</v>
      </c>
      <c r="S911" s="3" t="s">
        <v>464</v>
      </c>
      <c r="T911" s="16">
        <f t="shared" si="1"/>
        <v>35769.47639</v>
      </c>
      <c r="U911" s="4" t="b">
        <f t="shared" si="2"/>
        <v>1</v>
      </c>
      <c r="V911" s="4" t="b">
        <f t="shared" si="3"/>
        <v>1</v>
      </c>
      <c r="W911" s="4" t="str">
        <f t="shared" si="8"/>
        <v>Distance/Location</v>
      </c>
      <c r="X911" s="4" t="str">
        <f t="shared" si="4"/>
        <v>mwc</v>
      </c>
      <c r="Y911" s="4">
        <f t="shared" si="5"/>
        <v>1</v>
      </c>
      <c r="Z911" s="4" t="str">
        <f t="shared" si="6"/>
        <v>Unique</v>
      </c>
      <c r="AA911" s="4" t="str">
        <f t="shared" si="7"/>
        <v>Valid</v>
      </c>
    </row>
    <row r="912">
      <c r="A912" s="3" t="s">
        <v>2077</v>
      </c>
      <c r="B912" s="3">
        <v>7.0</v>
      </c>
      <c r="C912" s="3" t="s">
        <v>2078</v>
      </c>
      <c r="D912" s="3">
        <v>0.0</v>
      </c>
      <c r="E912" s="3">
        <v>6.0</v>
      </c>
      <c r="F912" s="4"/>
      <c r="G912" s="3">
        <v>0.0</v>
      </c>
      <c r="H912" s="3">
        <v>754.0</v>
      </c>
      <c r="I912" s="3" t="s">
        <v>110</v>
      </c>
      <c r="J912" s="3">
        <v>0.0</v>
      </c>
      <c r="K912" s="3">
        <v>0.0</v>
      </c>
      <c r="L912" s="3">
        <v>0.0</v>
      </c>
      <c r="M912" s="3" t="s">
        <v>204</v>
      </c>
      <c r="N912" s="3">
        <v>24.0</v>
      </c>
      <c r="O912" s="3">
        <v>1.241</v>
      </c>
      <c r="P912" s="3">
        <v>122.536</v>
      </c>
      <c r="Q912" s="3" t="s">
        <v>1413</v>
      </c>
      <c r="R912" s="4"/>
      <c r="S912" s="3" t="s">
        <v>153</v>
      </c>
      <c r="T912" s="16">
        <f t="shared" si="1"/>
        <v>35759.50972</v>
      </c>
      <c r="U912" s="4" t="b">
        <f t="shared" si="2"/>
        <v>1</v>
      </c>
      <c r="V912" s="4" t="b">
        <f t="shared" si="3"/>
        <v>0</v>
      </c>
      <c r="W912" s="4" t="str">
        <f t="shared" si="8"/>
        <v>Distance/Location</v>
      </c>
      <c r="X912" s="4" t="str">
        <f t="shared" si="4"/>
        <v>mwc</v>
      </c>
      <c r="Y912" s="4">
        <f t="shared" si="5"/>
        <v>1</v>
      </c>
      <c r="Z912" s="4" t="str">
        <f t="shared" si="6"/>
        <v>Unique</v>
      </c>
      <c r="AA912" s="4" t="str">
        <f t="shared" si="7"/>
        <v>Valid</v>
      </c>
    </row>
    <row r="913">
      <c r="A913" s="3" t="s">
        <v>2079</v>
      </c>
      <c r="B913" s="3">
        <v>6.6</v>
      </c>
      <c r="C913" s="3" t="s">
        <v>2080</v>
      </c>
      <c r="D913" s="3">
        <v>0.0</v>
      </c>
      <c r="E913" s="3">
        <v>7.0</v>
      </c>
      <c r="F913" s="4"/>
      <c r="G913" s="3">
        <v>0.0</v>
      </c>
      <c r="H913" s="3">
        <v>670.0</v>
      </c>
      <c r="I913" s="3" t="s">
        <v>110</v>
      </c>
      <c r="J913" s="3">
        <v>0.0</v>
      </c>
      <c r="K913" s="3">
        <v>0.0</v>
      </c>
      <c r="L913" s="3">
        <v>0.0</v>
      </c>
      <c r="M913" s="3" t="s">
        <v>204</v>
      </c>
      <c r="N913" s="3">
        <v>33.0</v>
      </c>
      <c r="O913" s="3">
        <v>37.57</v>
      </c>
      <c r="P913" s="3">
        <v>20.656</v>
      </c>
      <c r="Q913" s="3" t="s">
        <v>571</v>
      </c>
      <c r="R913" s="3" t="s">
        <v>404</v>
      </c>
      <c r="S913" s="4"/>
      <c r="T913" s="16">
        <f t="shared" si="1"/>
        <v>35752.54653</v>
      </c>
      <c r="U913" s="4" t="b">
        <f t="shared" si="2"/>
        <v>1</v>
      </c>
      <c r="V913" s="4" t="b">
        <f t="shared" si="3"/>
        <v>0</v>
      </c>
      <c r="W913" s="4" t="str">
        <f t="shared" si="8"/>
        <v>Distance/Location</v>
      </c>
      <c r="X913" s="4" t="str">
        <f t="shared" si="4"/>
        <v>mwc</v>
      </c>
      <c r="Y913" s="4">
        <f t="shared" si="5"/>
        <v>1</v>
      </c>
      <c r="Z913" s="4" t="str">
        <f t="shared" si="6"/>
        <v>Unique</v>
      </c>
      <c r="AA913" s="4" t="str">
        <f t="shared" si="7"/>
        <v>Valid</v>
      </c>
    </row>
    <row r="914">
      <c r="A914" s="3" t="s">
        <v>2081</v>
      </c>
      <c r="B914" s="3">
        <v>7.0</v>
      </c>
      <c r="C914" s="3" t="s">
        <v>2082</v>
      </c>
      <c r="D914" s="3">
        <v>0.0</v>
      </c>
      <c r="E914" s="3">
        <v>6.0</v>
      </c>
      <c r="F914" s="4"/>
      <c r="G914" s="3">
        <v>0.0</v>
      </c>
      <c r="H914" s="3">
        <v>754.0</v>
      </c>
      <c r="I914" s="3" t="s">
        <v>110</v>
      </c>
      <c r="J914" s="3">
        <v>0.0</v>
      </c>
      <c r="K914" s="3">
        <v>0.0</v>
      </c>
      <c r="L914" s="3">
        <v>0.0</v>
      </c>
      <c r="M914" s="3" t="s">
        <v>204</v>
      </c>
      <c r="N914" s="3">
        <v>123.1</v>
      </c>
      <c r="O914" s="3">
        <v>-15.145</v>
      </c>
      <c r="P914" s="3">
        <v>167.375</v>
      </c>
      <c r="Q914" s="3" t="s">
        <v>185</v>
      </c>
      <c r="R914" s="4"/>
      <c r="S914" s="3" t="s">
        <v>113</v>
      </c>
      <c r="T914" s="16">
        <f t="shared" si="1"/>
        <v>35749.79097</v>
      </c>
      <c r="U914" s="4" t="b">
        <f t="shared" si="2"/>
        <v>1</v>
      </c>
      <c r="V914" s="4" t="b">
        <f t="shared" si="3"/>
        <v>0</v>
      </c>
      <c r="W914" s="4" t="str">
        <f t="shared" si="8"/>
        <v>Distance/Location</v>
      </c>
      <c r="X914" s="4" t="str">
        <f t="shared" si="4"/>
        <v>mwc</v>
      </c>
      <c r="Y914" s="4">
        <f t="shared" si="5"/>
        <v>1</v>
      </c>
      <c r="Z914" s="4" t="str">
        <f t="shared" si="6"/>
        <v>Unique</v>
      </c>
      <c r="AA914" s="4" t="str">
        <f t="shared" si="7"/>
        <v>Valid</v>
      </c>
    </row>
    <row r="915">
      <c r="A915" s="3" t="s">
        <v>2083</v>
      </c>
      <c r="B915" s="3">
        <v>6.5</v>
      </c>
      <c r="C915" s="17">
        <v>35684.955555555556</v>
      </c>
      <c r="D915" s="3">
        <v>0.0</v>
      </c>
      <c r="E915" s="3">
        <v>4.0</v>
      </c>
      <c r="F915" s="4"/>
      <c r="G915" s="3">
        <v>0.0</v>
      </c>
      <c r="H915" s="3">
        <v>650.0</v>
      </c>
      <c r="I915" s="3" t="s">
        <v>110</v>
      </c>
      <c r="J915" s="3">
        <v>0.0</v>
      </c>
      <c r="K915" s="3">
        <v>0.0</v>
      </c>
      <c r="L915" s="3">
        <v>0.0</v>
      </c>
      <c r="M915" s="3" t="s">
        <v>224</v>
      </c>
      <c r="N915" s="3">
        <v>176.4</v>
      </c>
      <c r="O915" s="3">
        <v>13.849</v>
      </c>
      <c r="P915" s="3">
        <v>-88.808</v>
      </c>
      <c r="Q915" s="3" t="s">
        <v>2084</v>
      </c>
      <c r="R915" s="4"/>
      <c r="S915" s="3" t="s">
        <v>1879</v>
      </c>
      <c r="T915" s="16">
        <f t="shared" si="1"/>
        <v>35743.95556</v>
      </c>
      <c r="U915" s="4" t="b">
        <f t="shared" si="2"/>
        <v>1</v>
      </c>
      <c r="V915" s="4" t="b">
        <f t="shared" si="3"/>
        <v>1</v>
      </c>
      <c r="W915" s="4" t="str">
        <f t="shared" si="8"/>
        <v>Distance/Location</v>
      </c>
      <c r="X915" s="4" t="str">
        <f t="shared" si="4"/>
        <v>mwb</v>
      </c>
      <c r="Y915" s="4">
        <f t="shared" si="5"/>
        <v>1</v>
      </c>
      <c r="Z915" s="4" t="str">
        <f t="shared" si="6"/>
        <v>Unique</v>
      </c>
      <c r="AA915" s="4" t="str">
        <f t="shared" si="7"/>
        <v>Valid</v>
      </c>
    </row>
    <row r="916">
      <c r="A916" s="3" t="s">
        <v>2085</v>
      </c>
      <c r="B916" s="3">
        <v>7.5</v>
      </c>
      <c r="C916" s="17">
        <v>35653.41805555556</v>
      </c>
      <c r="D916" s="3">
        <v>0.0</v>
      </c>
      <c r="E916" s="3">
        <v>7.0</v>
      </c>
      <c r="F916" s="4"/>
      <c r="G916" s="3">
        <v>0.0</v>
      </c>
      <c r="H916" s="3">
        <v>865.0</v>
      </c>
      <c r="I916" s="3" t="s">
        <v>110</v>
      </c>
      <c r="J916" s="3">
        <v>0.0</v>
      </c>
      <c r="K916" s="3">
        <v>0.0</v>
      </c>
      <c r="L916" s="3">
        <v>0.0</v>
      </c>
      <c r="M916" s="3" t="s">
        <v>204</v>
      </c>
      <c r="N916" s="3">
        <v>33.0</v>
      </c>
      <c r="O916" s="3">
        <v>35.069</v>
      </c>
      <c r="P916" s="3">
        <v>87.325</v>
      </c>
      <c r="Q916" s="3" t="s">
        <v>2086</v>
      </c>
      <c r="R916" s="3" t="s">
        <v>164</v>
      </c>
      <c r="S916" s="3" t="s">
        <v>251</v>
      </c>
      <c r="T916" s="16">
        <f t="shared" si="1"/>
        <v>35742.41806</v>
      </c>
      <c r="U916" s="4" t="b">
        <f t="shared" si="2"/>
        <v>1</v>
      </c>
      <c r="V916" s="4" t="b">
        <f t="shared" si="3"/>
        <v>1</v>
      </c>
      <c r="W916" s="4" t="str">
        <f t="shared" si="8"/>
        <v>Named Region</v>
      </c>
      <c r="X916" s="4" t="str">
        <f t="shared" si="4"/>
        <v>mwc</v>
      </c>
      <c r="Y916" s="4">
        <f t="shared" si="5"/>
        <v>1</v>
      </c>
      <c r="Z916" s="4" t="str">
        <f t="shared" si="6"/>
        <v>Unique</v>
      </c>
      <c r="AA916" s="4" t="str">
        <f t="shared" si="7"/>
        <v>Valid</v>
      </c>
    </row>
    <row r="917">
      <c r="A917" s="3" t="s">
        <v>2087</v>
      </c>
      <c r="B917" s="3">
        <v>7.2</v>
      </c>
      <c r="C917" s="3" t="s">
        <v>2088</v>
      </c>
      <c r="D917" s="3">
        <v>0.0</v>
      </c>
      <c r="E917" s="3">
        <v>7.0</v>
      </c>
      <c r="F917" s="4"/>
      <c r="G917" s="3">
        <v>0.0</v>
      </c>
      <c r="H917" s="3">
        <v>798.0</v>
      </c>
      <c r="I917" s="3" t="s">
        <v>110</v>
      </c>
      <c r="J917" s="3">
        <v>0.0</v>
      </c>
      <c r="K917" s="3">
        <v>0.0</v>
      </c>
      <c r="L917" s="3">
        <v>0.0</v>
      </c>
      <c r="M917" s="3" t="s">
        <v>204</v>
      </c>
      <c r="N917" s="3">
        <v>112.0</v>
      </c>
      <c r="O917" s="3">
        <v>-4.368</v>
      </c>
      <c r="P917" s="3">
        <v>-76.681</v>
      </c>
      <c r="Q917" s="3" t="s">
        <v>289</v>
      </c>
      <c r="R917" s="3" t="s">
        <v>121</v>
      </c>
      <c r="S917" s="3" t="s">
        <v>265</v>
      </c>
      <c r="T917" s="16">
        <f t="shared" si="1"/>
        <v>35731.26042</v>
      </c>
      <c r="U917" s="4" t="b">
        <f t="shared" si="2"/>
        <v>1</v>
      </c>
      <c r="V917" s="4" t="b">
        <f t="shared" si="3"/>
        <v>0</v>
      </c>
      <c r="W917" s="4" t="str">
        <f t="shared" si="8"/>
        <v>Distance/Location</v>
      </c>
      <c r="X917" s="4" t="str">
        <f t="shared" si="4"/>
        <v>mwc</v>
      </c>
      <c r="Y917" s="4">
        <f t="shared" si="5"/>
        <v>1</v>
      </c>
      <c r="Z917" s="4" t="str">
        <f t="shared" si="6"/>
        <v>Unique</v>
      </c>
      <c r="AA917" s="4" t="str">
        <f t="shared" si="7"/>
        <v>Valid</v>
      </c>
    </row>
    <row r="918">
      <c r="A918" s="3" t="s">
        <v>2089</v>
      </c>
      <c r="B918" s="3">
        <v>7.1</v>
      </c>
      <c r="C918" s="3" t="s">
        <v>2090</v>
      </c>
      <c r="D918" s="3">
        <v>0.0</v>
      </c>
      <c r="E918" s="3">
        <v>7.0</v>
      </c>
      <c r="F918" s="4"/>
      <c r="G918" s="3">
        <v>0.0</v>
      </c>
      <c r="H918" s="3">
        <v>776.0</v>
      </c>
      <c r="I918" s="3" t="s">
        <v>110</v>
      </c>
      <c r="J918" s="3">
        <v>0.0</v>
      </c>
      <c r="K918" s="3">
        <v>0.0</v>
      </c>
      <c r="L918" s="3">
        <v>0.0</v>
      </c>
      <c r="M918" s="3" t="s">
        <v>204</v>
      </c>
      <c r="N918" s="3">
        <v>58.0</v>
      </c>
      <c r="O918" s="3">
        <v>-30.933</v>
      </c>
      <c r="P918" s="3">
        <v>-71.22</v>
      </c>
      <c r="Q918" s="3" t="s">
        <v>1804</v>
      </c>
      <c r="R918" s="3" t="s">
        <v>121</v>
      </c>
      <c r="S918" s="3" t="s">
        <v>414</v>
      </c>
      <c r="T918" s="16">
        <f t="shared" si="1"/>
        <v>35718.04375</v>
      </c>
      <c r="U918" s="4" t="b">
        <f t="shared" si="2"/>
        <v>1</v>
      </c>
      <c r="V918" s="4" t="b">
        <f t="shared" si="3"/>
        <v>0</v>
      </c>
      <c r="W918" s="4" t="str">
        <f t="shared" si="8"/>
        <v>Distance/Location</v>
      </c>
      <c r="X918" s="4" t="str">
        <f t="shared" si="4"/>
        <v>mwc</v>
      </c>
      <c r="Y918" s="4">
        <f t="shared" si="5"/>
        <v>1</v>
      </c>
      <c r="Z918" s="4" t="str">
        <f t="shared" si="6"/>
        <v>Unique</v>
      </c>
      <c r="AA918" s="4" t="str">
        <f t="shared" si="7"/>
        <v>Valid</v>
      </c>
    </row>
    <row r="919">
      <c r="A919" s="3" t="s">
        <v>2091</v>
      </c>
      <c r="B919" s="3">
        <v>7.8</v>
      </c>
      <c r="C919" s="3" t="s">
        <v>2092</v>
      </c>
      <c r="D919" s="3">
        <v>0.0</v>
      </c>
      <c r="E919" s="3">
        <v>7.0</v>
      </c>
      <c r="F919" s="4"/>
      <c r="G919" s="3">
        <v>0.0</v>
      </c>
      <c r="H919" s="3">
        <v>936.0</v>
      </c>
      <c r="I919" s="3" t="s">
        <v>110</v>
      </c>
      <c r="J919" s="3">
        <v>0.0</v>
      </c>
      <c r="K919" s="3">
        <v>0.0</v>
      </c>
      <c r="L919" s="3">
        <v>0.0</v>
      </c>
      <c r="M919" s="3" t="s">
        <v>224</v>
      </c>
      <c r="N919" s="3">
        <v>167.3</v>
      </c>
      <c r="O919" s="3">
        <v>-22.101</v>
      </c>
      <c r="P919" s="3">
        <v>-176.772</v>
      </c>
      <c r="Q919" s="3" t="s">
        <v>374</v>
      </c>
      <c r="R919" s="4"/>
      <c r="S919" s="4"/>
      <c r="T919" s="16">
        <f t="shared" si="1"/>
        <v>35717.41181</v>
      </c>
      <c r="U919" s="4" t="b">
        <f t="shared" si="2"/>
        <v>1</v>
      </c>
      <c r="V919" s="4" t="b">
        <f t="shared" si="3"/>
        <v>0</v>
      </c>
      <c r="W919" s="4" t="str">
        <f t="shared" si="8"/>
        <v>Distance/Location</v>
      </c>
      <c r="X919" s="4" t="str">
        <f t="shared" si="4"/>
        <v>mwb</v>
      </c>
      <c r="Y919" s="4">
        <f t="shared" si="5"/>
        <v>1</v>
      </c>
      <c r="Z919" s="4" t="str">
        <f t="shared" si="6"/>
        <v>Unique</v>
      </c>
      <c r="AA919" s="4" t="str">
        <f t="shared" si="7"/>
        <v>Valid</v>
      </c>
    </row>
    <row r="920">
      <c r="A920" s="3" t="s">
        <v>2093</v>
      </c>
      <c r="B920" s="3">
        <v>6.5</v>
      </c>
      <c r="C920" s="17">
        <v>35591.520833333336</v>
      </c>
      <c r="D920" s="3">
        <v>0.0</v>
      </c>
      <c r="E920" s="3">
        <v>5.0</v>
      </c>
      <c r="F920" s="4"/>
      <c r="G920" s="3">
        <v>0.0</v>
      </c>
      <c r="H920" s="3">
        <v>650.0</v>
      </c>
      <c r="I920" s="3" t="s">
        <v>110</v>
      </c>
      <c r="J920" s="3">
        <v>0.0</v>
      </c>
      <c r="K920" s="3">
        <v>0.0</v>
      </c>
      <c r="L920" s="3">
        <v>0.0</v>
      </c>
      <c r="M920" s="3" t="s">
        <v>224</v>
      </c>
      <c r="N920" s="3">
        <v>105.6</v>
      </c>
      <c r="O920" s="3">
        <v>9.79</v>
      </c>
      <c r="P920" s="3">
        <v>125.779</v>
      </c>
      <c r="Q920" s="3" t="s">
        <v>1693</v>
      </c>
      <c r="R920" s="4"/>
      <c r="S920" s="3" t="s">
        <v>258</v>
      </c>
      <c r="T920" s="16">
        <f t="shared" si="1"/>
        <v>35709.52083</v>
      </c>
      <c r="U920" s="4" t="b">
        <f t="shared" si="2"/>
        <v>1</v>
      </c>
      <c r="V920" s="4" t="b">
        <f t="shared" si="3"/>
        <v>1</v>
      </c>
      <c r="W920" s="4" t="str">
        <f t="shared" si="8"/>
        <v>Distance/Location</v>
      </c>
      <c r="X920" s="4" t="str">
        <f t="shared" si="4"/>
        <v>mwb</v>
      </c>
      <c r="Y920" s="4">
        <f t="shared" si="5"/>
        <v>1</v>
      </c>
      <c r="Z920" s="4" t="str">
        <f t="shared" si="6"/>
        <v>Unique</v>
      </c>
      <c r="AA920" s="4" t="str">
        <f t="shared" si="7"/>
        <v>Valid</v>
      </c>
    </row>
    <row r="921">
      <c r="A921" s="3" t="s">
        <v>2094</v>
      </c>
      <c r="B921" s="3">
        <v>6.8</v>
      </c>
      <c r="C921" s="17">
        <v>35470.50902777778</v>
      </c>
      <c r="D921" s="3">
        <v>0.0</v>
      </c>
      <c r="E921" s="3">
        <v>5.0</v>
      </c>
      <c r="F921" s="4"/>
      <c r="G921" s="3">
        <v>0.0</v>
      </c>
      <c r="H921" s="3">
        <v>711.0</v>
      </c>
      <c r="I921" s="3" t="s">
        <v>110</v>
      </c>
      <c r="J921" s="3">
        <v>0.0</v>
      </c>
      <c r="K921" s="3">
        <v>0.0</v>
      </c>
      <c r="L921" s="3">
        <v>0.0</v>
      </c>
      <c r="M921" s="3" t="s">
        <v>224</v>
      </c>
      <c r="N921" s="3">
        <v>198.7</v>
      </c>
      <c r="O921" s="3">
        <v>3.849</v>
      </c>
      <c r="P921" s="3">
        <v>-75.749</v>
      </c>
      <c r="Q921" s="3" t="s">
        <v>2095</v>
      </c>
      <c r="R921" s="3" t="s">
        <v>121</v>
      </c>
      <c r="S921" s="3" t="s">
        <v>140</v>
      </c>
      <c r="T921" s="16">
        <f t="shared" si="1"/>
        <v>35675.50903</v>
      </c>
      <c r="U921" s="4" t="b">
        <f t="shared" si="2"/>
        <v>1</v>
      </c>
      <c r="V921" s="4" t="b">
        <f t="shared" si="3"/>
        <v>1</v>
      </c>
      <c r="W921" s="4" t="str">
        <f t="shared" si="8"/>
        <v>Distance/Location</v>
      </c>
      <c r="X921" s="4" t="str">
        <f t="shared" si="4"/>
        <v>mwb</v>
      </c>
      <c r="Y921" s="4">
        <f t="shared" si="5"/>
        <v>1</v>
      </c>
      <c r="Z921" s="4" t="str">
        <f t="shared" si="6"/>
        <v>Unique</v>
      </c>
      <c r="AA921" s="4" t="str">
        <f t="shared" si="7"/>
        <v>Valid</v>
      </c>
    </row>
    <row r="922">
      <c r="A922" s="3" t="s">
        <v>2096</v>
      </c>
      <c r="B922" s="3">
        <v>6.6</v>
      </c>
      <c r="C922" s="3" t="s">
        <v>2097</v>
      </c>
      <c r="D922" s="3">
        <v>0.0</v>
      </c>
      <c r="E922" s="3">
        <v>6.0</v>
      </c>
      <c r="F922" s="4"/>
      <c r="G922" s="3">
        <v>0.0</v>
      </c>
      <c r="H922" s="3">
        <v>670.0</v>
      </c>
      <c r="I922" s="3" t="s">
        <v>110</v>
      </c>
      <c r="J922" s="3">
        <v>0.0</v>
      </c>
      <c r="K922" s="3">
        <v>0.0</v>
      </c>
      <c r="L922" s="3">
        <v>0.0</v>
      </c>
      <c r="M922" s="3" t="s">
        <v>204</v>
      </c>
      <c r="N922" s="3">
        <v>22.8</v>
      </c>
      <c r="O922" s="3">
        <v>-3.562</v>
      </c>
      <c r="P922" s="3">
        <v>144.362</v>
      </c>
      <c r="Q922" s="3" t="s">
        <v>667</v>
      </c>
      <c r="R922" s="4"/>
      <c r="S922" s="3" t="s">
        <v>168</v>
      </c>
      <c r="T922" s="16">
        <f t="shared" si="1"/>
        <v>35671.34306</v>
      </c>
      <c r="U922" s="4" t="b">
        <f t="shared" si="2"/>
        <v>1</v>
      </c>
      <c r="V922" s="4" t="b">
        <f t="shared" si="3"/>
        <v>0</v>
      </c>
      <c r="W922" s="4" t="str">
        <f t="shared" si="8"/>
        <v>Distance/Location</v>
      </c>
      <c r="X922" s="4" t="str">
        <f t="shared" si="4"/>
        <v>mwc</v>
      </c>
      <c r="Y922" s="4">
        <f t="shared" si="5"/>
        <v>1</v>
      </c>
      <c r="Z922" s="4" t="str">
        <f t="shared" si="6"/>
        <v>Unique</v>
      </c>
      <c r="AA922" s="4" t="str">
        <f t="shared" si="7"/>
        <v>Valid</v>
      </c>
    </row>
    <row r="923">
      <c r="A923" s="3" t="s">
        <v>2098</v>
      </c>
      <c r="B923" s="3">
        <v>6.9</v>
      </c>
      <c r="C923" s="3" t="s">
        <v>2099</v>
      </c>
      <c r="D923" s="3">
        <v>0.0</v>
      </c>
      <c r="E923" s="3">
        <v>6.0</v>
      </c>
      <c r="F923" s="4"/>
      <c r="G923" s="3">
        <v>0.0</v>
      </c>
      <c r="H923" s="3">
        <v>732.0</v>
      </c>
      <c r="I923" s="3" t="s">
        <v>110</v>
      </c>
      <c r="J923" s="3">
        <v>0.0</v>
      </c>
      <c r="K923" s="3">
        <v>0.0</v>
      </c>
      <c r="L923" s="3">
        <v>0.0</v>
      </c>
      <c r="M923" s="3" t="s">
        <v>224</v>
      </c>
      <c r="N923" s="3">
        <v>33.0</v>
      </c>
      <c r="O923" s="3">
        <v>16.333</v>
      </c>
      <c r="P923" s="3">
        <v>-98.216</v>
      </c>
      <c r="Q923" s="3" t="s">
        <v>2100</v>
      </c>
      <c r="R923" s="3" t="s">
        <v>233</v>
      </c>
      <c r="S923" s="3" t="s">
        <v>234</v>
      </c>
      <c r="T923" s="16">
        <f t="shared" si="1"/>
        <v>35630.59861</v>
      </c>
      <c r="U923" s="4" t="b">
        <f t="shared" si="2"/>
        <v>1</v>
      </c>
      <c r="V923" s="4" t="b">
        <f t="shared" si="3"/>
        <v>0</v>
      </c>
      <c r="W923" s="4" t="str">
        <f t="shared" si="8"/>
        <v>Distance/Location</v>
      </c>
      <c r="X923" s="4" t="str">
        <f t="shared" si="4"/>
        <v>mwb</v>
      </c>
      <c r="Y923" s="4">
        <f t="shared" si="5"/>
        <v>1</v>
      </c>
      <c r="Z923" s="4" t="str">
        <f t="shared" si="6"/>
        <v>Unique</v>
      </c>
      <c r="AA923" s="4" t="str">
        <f t="shared" si="7"/>
        <v>Valid</v>
      </c>
    </row>
    <row r="924">
      <c r="A924" s="3" t="s">
        <v>2101</v>
      </c>
      <c r="B924" s="3">
        <v>7.0</v>
      </c>
      <c r="C924" s="17">
        <v>35680.808333333334</v>
      </c>
      <c r="D924" s="3">
        <v>0.0</v>
      </c>
      <c r="E924" s="3">
        <v>8.0</v>
      </c>
      <c r="F924" s="4"/>
      <c r="G924" s="3">
        <v>0.0</v>
      </c>
      <c r="H924" s="3">
        <v>754.0</v>
      </c>
      <c r="I924" s="3" t="s">
        <v>110</v>
      </c>
      <c r="J924" s="3">
        <v>0.0</v>
      </c>
      <c r="K924" s="3">
        <v>0.0</v>
      </c>
      <c r="L924" s="3">
        <v>0.0</v>
      </c>
      <c r="M924" s="3" t="s">
        <v>204</v>
      </c>
      <c r="N924" s="3">
        <v>19.9</v>
      </c>
      <c r="O924" s="3">
        <v>10.598</v>
      </c>
      <c r="P924" s="3">
        <v>-63.486</v>
      </c>
      <c r="Q924" s="3" t="s">
        <v>608</v>
      </c>
      <c r="R924" s="4"/>
      <c r="S924" s="3" t="s">
        <v>609</v>
      </c>
      <c r="T924" s="16">
        <f t="shared" si="1"/>
        <v>35620.80833</v>
      </c>
      <c r="U924" s="4" t="b">
        <f t="shared" si="2"/>
        <v>1</v>
      </c>
      <c r="V924" s="4" t="b">
        <f t="shared" si="3"/>
        <v>1</v>
      </c>
      <c r="W924" s="4" t="str">
        <f t="shared" si="8"/>
        <v>Distance/Location</v>
      </c>
      <c r="X924" s="4" t="str">
        <f t="shared" si="4"/>
        <v>mwc</v>
      </c>
      <c r="Y924" s="4">
        <f t="shared" si="5"/>
        <v>1</v>
      </c>
      <c r="Z924" s="4" t="str">
        <f t="shared" si="6"/>
        <v>Unique</v>
      </c>
      <c r="AA924" s="4" t="str">
        <f t="shared" si="7"/>
        <v>Valid</v>
      </c>
    </row>
    <row r="925">
      <c r="A925" s="3" t="s">
        <v>2102</v>
      </c>
      <c r="B925" s="3">
        <v>6.8</v>
      </c>
      <c r="C925" s="17">
        <v>35588.4125</v>
      </c>
      <c r="D925" s="3">
        <v>0.0</v>
      </c>
      <c r="E925" s="3">
        <v>6.0</v>
      </c>
      <c r="F925" s="4"/>
      <c r="G925" s="3">
        <v>0.0</v>
      </c>
      <c r="H925" s="3">
        <v>711.0</v>
      </c>
      <c r="I925" s="3" t="s">
        <v>110</v>
      </c>
      <c r="J925" s="3">
        <v>0.0</v>
      </c>
      <c r="K925" s="3">
        <v>0.0</v>
      </c>
      <c r="L925" s="3">
        <v>0.0</v>
      </c>
      <c r="M925" s="3" t="s">
        <v>204</v>
      </c>
      <c r="N925" s="3">
        <v>19.0</v>
      </c>
      <c r="O925" s="3">
        <v>-30.058</v>
      </c>
      <c r="P925" s="3">
        <v>-71.872</v>
      </c>
      <c r="Q925" s="3" t="s">
        <v>547</v>
      </c>
      <c r="R925" s="4"/>
      <c r="S925" s="4"/>
      <c r="T925" s="16">
        <f t="shared" si="1"/>
        <v>35617.4125</v>
      </c>
      <c r="U925" s="4" t="b">
        <f t="shared" si="2"/>
        <v>1</v>
      </c>
      <c r="V925" s="4" t="b">
        <f t="shared" si="3"/>
        <v>1</v>
      </c>
      <c r="W925" s="4" t="str">
        <f t="shared" si="8"/>
        <v>Distance/Location</v>
      </c>
      <c r="X925" s="4" t="str">
        <f t="shared" si="4"/>
        <v>mwc</v>
      </c>
      <c r="Y925" s="4">
        <f t="shared" si="5"/>
        <v>1</v>
      </c>
      <c r="Z925" s="4" t="str">
        <f t="shared" si="6"/>
        <v>Unique</v>
      </c>
      <c r="AA925" s="4" t="str">
        <f t="shared" si="7"/>
        <v>Valid</v>
      </c>
    </row>
    <row r="926">
      <c r="A926" s="3" t="s">
        <v>2103</v>
      </c>
      <c r="B926" s="3">
        <v>6.5</v>
      </c>
      <c r="C926" s="3" t="s">
        <v>2104</v>
      </c>
      <c r="D926" s="3">
        <v>0.0</v>
      </c>
      <c r="E926" s="3">
        <v>6.0</v>
      </c>
      <c r="F926" s="4"/>
      <c r="G926" s="3">
        <v>0.0</v>
      </c>
      <c r="H926" s="3">
        <v>650.0</v>
      </c>
      <c r="I926" s="3" t="s">
        <v>110</v>
      </c>
      <c r="J926" s="3">
        <v>0.0</v>
      </c>
      <c r="K926" s="3">
        <v>0.0</v>
      </c>
      <c r="L926" s="3">
        <v>0.0</v>
      </c>
      <c r="M926" s="3" t="s">
        <v>204</v>
      </c>
      <c r="N926" s="3">
        <v>70.0</v>
      </c>
      <c r="O926" s="3">
        <v>18.684</v>
      </c>
      <c r="P926" s="3">
        <v>-101.604</v>
      </c>
      <c r="Q926" s="3" t="s">
        <v>2105</v>
      </c>
      <c r="R926" s="3" t="s">
        <v>233</v>
      </c>
      <c r="S926" s="3" t="s">
        <v>234</v>
      </c>
      <c r="T926" s="16">
        <f t="shared" si="1"/>
        <v>35572.32639</v>
      </c>
      <c r="U926" s="4" t="b">
        <f t="shared" si="2"/>
        <v>1</v>
      </c>
      <c r="V926" s="4" t="b">
        <f t="shared" si="3"/>
        <v>0</v>
      </c>
      <c r="W926" s="4" t="str">
        <f t="shared" si="8"/>
        <v>Distance/Location</v>
      </c>
      <c r="X926" s="4" t="str">
        <f t="shared" si="4"/>
        <v>mwc</v>
      </c>
      <c r="Y926" s="4">
        <f t="shared" si="5"/>
        <v>1</v>
      </c>
      <c r="Z926" s="4" t="str">
        <f t="shared" si="6"/>
        <v>Unique</v>
      </c>
      <c r="AA926" s="4" t="str">
        <f t="shared" si="7"/>
        <v>Valid</v>
      </c>
    </row>
    <row r="927">
      <c r="A927" s="3" t="s">
        <v>2106</v>
      </c>
      <c r="B927" s="3">
        <v>6.8</v>
      </c>
      <c r="C927" s="3" t="s">
        <v>2107</v>
      </c>
      <c r="D927" s="3">
        <v>0.0</v>
      </c>
      <c r="E927" s="3">
        <v>6.0</v>
      </c>
      <c r="F927" s="4"/>
      <c r="G927" s="3">
        <v>0.0</v>
      </c>
      <c r="H927" s="3">
        <v>711.0</v>
      </c>
      <c r="I927" s="3" t="s">
        <v>110</v>
      </c>
      <c r="J927" s="3">
        <v>0.0</v>
      </c>
      <c r="K927" s="3">
        <v>0.0</v>
      </c>
      <c r="L927" s="3">
        <v>0.0</v>
      </c>
      <c r="M927" s="3" t="s">
        <v>204</v>
      </c>
      <c r="N927" s="3">
        <v>57.0</v>
      </c>
      <c r="O927" s="3">
        <v>-20.438</v>
      </c>
      <c r="P927" s="3">
        <v>169.287</v>
      </c>
      <c r="Q927" s="3" t="s">
        <v>246</v>
      </c>
      <c r="R927" s="4"/>
      <c r="S927" s="4"/>
      <c r="T927" s="16">
        <f t="shared" si="1"/>
        <v>35571.59028</v>
      </c>
      <c r="U927" s="4" t="b">
        <f t="shared" si="2"/>
        <v>1</v>
      </c>
      <c r="V927" s="4" t="b">
        <f t="shared" si="3"/>
        <v>0</v>
      </c>
      <c r="W927" s="4" t="str">
        <f t="shared" si="8"/>
        <v>Distance/Location</v>
      </c>
      <c r="X927" s="4" t="str">
        <f t="shared" si="4"/>
        <v>mwc</v>
      </c>
      <c r="Y927" s="4">
        <f t="shared" si="5"/>
        <v>1</v>
      </c>
      <c r="Z927" s="4" t="str">
        <f t="shared" si="6"/>
        <v>Unique</v>
      </c>
      <c r="AA927" s="4" t="str">
        <f t="shared" si="7"/>
        <v>Valid</v>
      </c>
    </row>
    <row r="928">
      <c r="A928" s="3" t="s">
        <v>2108</v>
      </c>
      <c r="B928" s="3">
        <v>6.5</v>
      </c>
      <c r="C928" s="3" t="s">
        <v>2109</v>
      </c>
      <c r="D928" s="3">
        <v>0.0</v>
      </c>
      <c r="E928" s="3">
        <v>4.0</v>
      </c>
      <c r="F928" s="4"/>
      <c r="G928" s="3">
        <v>0.0</v>
      </c>
      <c r="H928" s="3">
        <v>650.0</v>
      </c>
      <c r="I928" s="3" t="s">
        <v>110</v>
      </c>
      <c r="J928" s="3">
        <v>0.0</v>
      </c>
      <c r="K928" s="3">
        <v>0.0</v>
      </c>
      <c r="L928" s="3">
        <v>0.0</v>
      </c>
      <c r="M928" s="3" t="s">
        <v>224</v>
      </c>
      <c r="N928" s="3">
        <v>196.0</v>
      </c>
      <c r="O928" s="3">
        <v>36.411</v>
      </c>
      <c r="P928" s="3">
        <v>70.945</v>
      </c>
      <c r="Q928" s="3" t="s">
        <v>174</v>
      </c>
      <c r="R928" s="3" t="s">
        <v>164</v>
      </c>
      <c r="S928" s="3" t="s">
        <v>175</v>
      </c>
      <c r="T928" s="16">
        <f t="shared" si="1"/>
        <v>35563.59236</v>
      </c>
      <c r="U928" s="4" t="b">
        <f t="shared" si="2"/>
        <v>1</v>
      </c>
      <c r="V928" s="4" t="b">
        <f t="shared" si="3"/>
        <v>0</v>
      </c>
      <c r="W928" s="4" t="str">
        <f t="shared" si="8"/>
        <v>Distance/Location</v>
      </c>
      <c r="X928" s="4" t="str">
        <f t="shared" si="4"/>
        <v>mwb</v>
      </c>
      <c r="Y928" s="4">
        <f t="shared" si="5"/>
        <v>1</v>
      </c>
      <c r="Z928" s="4" t="str">
        <f t="shared" si="6"/>
        <v>Unique</v>
      </c>
      <c r="AA928" s="4" t="str">
        <f t="shared" si="7"/>
        <v>Valid</v>
      </c>
    </row>
    <row r="929">
      <c r="A929" s="3" t="s">
        <v>2110</v>
      </c>
      <c r="B929" s="3">
        <v>7.3</v>
      </c>
      <c r="C929" s="17">
        <v>35708.33125</v>
      </c>
      <c r="D929" s="3">
        <v>0.0</v>
      </c>
      <c r="E929" s="3">
        <v>9.0</v>
      </c>
      <c r="F929" s="4"/>
      <c r="G929" s="3">
        <v>0.0</v>
      </c>
      <c r="H929" s="3">
        <v>820.0</v>
      </c>
      <c r="I929" s="3" t="s">
        <v>110</v>
      </c>
      <c r="J929" s="3">
        <v>0.0</v>
      </c>
      <c r="K929" s="3">
        <v>0.0</v>
      </c>
      <c r="L929" s="3">
        <v>0.0</v>
      </c>
      <c r="M929" s="3" t="s">
        <v>224</v>
      </c>
      <c r="N929" s="3">
        <v>10.0</v>
      </c>
      <c r="O929" s="3">
        <v>33.825</v>
      </c>
      <c r="P929" s="3">
        <v>59.809</v>
      </c>
      <c r="Q929" s="3" t="s">
        <v>2111</v>
      </c>
      <c r="R929" s="3" t="s">
        <v>164</v>
      </c>
      <c r="S929" s="3" t="s">
        <v>665</v>
      </c>
      <c r="T929" s="16">
        <f t="shared" si="1"/>
        <v>35560.33125</v>
      </c>
      <c r="U929" s="4" t="b">
        <f t="shared" si="2"/>
        <v>1</v>
      </c>
      <c r="V929" s="4" t="b">
        <f t="shared" si="3"/>
        <v>1</v>
      </c>
      <c r="W929" s="4" t="str">
        <f t="shared" si="8"/>
        <v>Distance/Location</v>
      </c>
      <c r="X929" s="4" t="str">
        <f t="shared" si="4"/>
        <v>mwb</v>
      </c>
      <c r="Y929" s="4">
        <f t="shared" si="5"/>
        <v>1</v>
      </c>
      <c r="Z929" s="4" t="str">
        <f t="shared" si="6"/>
        <v>Unique</v>
      </c>
      <c r="AA929" s="4" t="str">
        <f t="shared" si="7"/>
        <v>Valid</v>
      </c>
    </row>
    <row r="930">
      <c r="A930" s="3" t="s">
        <v>2112</v>
      </c>
      <c r="B930" s="3">
        <v>6.5</v>
      </c>
      <c r="C930" s="3" t="s">
        <v>2113</v>
      </c>
      <c r="D930" s="3">
        <v>0.0</v>
      </c>
      <c r="E930" s="3">
        <v>6.0</v>
      </c>
      <c r="F930" s="4"/>
      <c r="G930" s="3">
        <v>0.0</v>
      </c>
      <c r="H930" s="3">
        <v>650.0</v>
      </c>
      <c r="I930" s="3" t="s">
        <v>110</v>
      </c>
      <c r="J930" s="3">
        <v>0.0</v>
      </c>
      <c r="K930" s="3">
        <v>0.0</v>
      </c>
      <c r="L930" s="3">
        <v>0.0</v>
      </c>
      <c r="M930" s="3" t="s">
        <v>204</v>
      </c>
      <c r="N930" s="3">
        <v>100.8</v>
      </c>
      <c r="O930" s="3">
        <v>13.986</v>
      </c>
      <c r="P930" s="3">
        <v>144.901</v>
      </c>
      <c r="Q930" s="3" t="s">
        <v>2114</v>
      </c>
      <c r="R930" s="4"/>
      <c r="S930" s="4"/>
      <c r="T930" s="16">
        <f t="shared" si="1"/>
        <v>35543.82222</v>
      </c>
      <c r="U930" s="4" t="b">
        <f t="shared" si="2"/>
        <v>1</v>
      </c>
      <c r="V930" s="4" t="b">
        <f t="shared" si="3"/>
        <v>0</v>
      </c>
      <c r="W930" s="4" t="str">
        <f t="shared" si="8"/>
        <v>Distance/Location</v>
      </c>
      <c r="X930" s="4" t="str">
        <f t="shared" si="4"/>
        <v>mwc</v>
      </c>
      <c r="Y930" s="4">
        <f t="shared" si="5"/>
        <v>1</v>
      </c>
      <c r="Z930" s="4" t="str">
        <f t="shared" si="6"/>
        <v>Unique</v>
      </c>
      <c r="AA930" s="4" t="str">
        <f t="shared" si="7"/>
        <v>Valid</v>
      </c>
    </row>
    <row r="931">
      <c r="A931" s="3" t="s">
        <v>2115</v>
      </c>
      <c r="B931" s="3">
        <v>6.7</v>
      </c>
      <c r="C931" s="3" t="s">
        <v>2116</v>
      </c>
      <c r="D931" s="3">
        <v>0.0</v>
      </c>
      <c r="E931" s="3">
        <v>7.0</v>
      </c>
      <c r="F931" s="4"/>
      <c r="G931" s="3">
        <v>0.0</v>
      </c>
      <c r="H931" s="3">
        <v>691.0</v>
      </c>
      <c r="I931" s="3" t="s">
        <v>110</v>
      </c>
      <c r="J931" s="3">
        <v>0.0</v>
      </c>
      <c r="K931" s="3">
        <v>0.0</v>
      </c>
      <c r="L931" s="3">
        <v>0.0</v>
      </c>
      <c r="M931" s="3" t="s">
        <v>224</v>
      </c>
      <c r="N931" s="3">
        <v>5.0</v>
      </c>
      <c r="O931" s="3">
        <v>11.112</v>
      </c>
      <c r="P931" s="3">
        <v>-60.892</v>
      </c>
      <c r="Q931" s="3" t="s">
        <v>2117</v>
      </c>
      <c r="R931" s="4"/>
      <c r="S931" s="3" t="s">
        <v>2118</v>
      </c>
      <c r="T931" s="16">
        <f t="shared" si="1"/>
        <v>35542.39653</v>
      </c>
      <c r="U931" s="4" t="b">
        <f t="shared" si="2"/>
        <v>1</v>
      </c>
      <c r="V931" s="4" t="b">
        <f t="shared" si="3"/>
        <v>0</v>
      </c>
      <c r="W931" s="4" t="str">
        <f t="shared" si="8"/>
        <v>Distance/Location</v>
      </c>
      <c r="X931" s="4" t="str">
        <f t="shared" si="4"/>
        <v>mwb</v>
      </c>
      <c r="Y931" s="4">
        <f t="shared" si="5"/>
        <v>1</v>
      </c>
      <c r="Z931" s="4" t="str">
        <f t="shared" si="6"/>
        <v>Unique</v>
      </c>
      <c r="AA931" s="4" t="str">
        <f t="shared" si="7"/>
        <v>Valid</v>
      </c>
    </row>
    <row r="932">
      <c r="A932" s="3" t="s">
        <v>2119</v>
      </c>
      <c r="B932" s="3">
        <v>7.7</v>
      </c>
      <c r="C932" s="3" t="s">
        <v>2120</v>
      </c>
      <c r="D932" s="3">
        <v>0.0</v>
      </c>
      <c r="E932" s="3">
        <v>6.0</v>
      </c>
      <c r="F932" s="4"/>
      <c r="G932" s="3">
        <v>0.0</v>
      </c>
      <c r="H932" s="3">
        <v>912.0</v>
      </c>
      <c r="I932" s="3" t="s">
        <v>110</v>
      </c>
      <c r="J932" s="3">
        <v>0.0</v>
      </c>
      <c r="K932" s="3">
        <v>0.0</v>
      </c>
      <c r="L932" s="3">
        <v>0.0</v>
      </c>
      <c r="M932" s="3" t="s">
        <v>204</v>
      </c>
      <c r="N932" s="3">
        <v>33.0</v>
      </c>
      <c r="O932" s="3">
        <v>-12.584</v>
      </c>
      <c r="P932" s="3">
        <v>166.676</v>
      </c>
      <c r="Q932" s="3" t="s">
        <v>112</v>
      </c>
      <c r="R932" s="4"/>
      <c r="S932" s="4"/>
      <c r="T932" s="16">
        <f t="shared" si="1"/>
        <v>35541.50139</v>
      </c>
      <c r="U932" s="4" t="b">
        <f t="shared" si="2"/>
        <v>1</v>
      </c>
      <c r="V932" s="4" t="b">
        <f t="shared" si="3"/>
        <v>0</v>
      </c>
      <c r="W932" s="4" t="str">
        <f t="shared" si="8"/>
        <v>Distance/Location</v>
      </c>
      <c r="X932" s="4" t="str">
        <f t="shared" si="4"/>
        <v>mwc</v>
      </c>
      <c r="Y932" s="4">
        <f t="shared" si="5"/>
        <v>1</v>
      </c>
      <c r="Z932" s="4" t="str">
        <f t="shared" si="6"/>
        <v>Unique</v>
      </c>
      <c r="AA932" s="4" t="str">
        <f t="shared" si="7"/>
        <v>Valid</v>
      </c>
    </row>
    <row r="933">
      <c r="A933" s="3" t="s">
        <v>2121</v>
      </c>
      <c r="B933" s="3">
        <v>6.5</v>
      </c>
      <c r="C933" s="17">
        <v>35554.51597222222</v>
      </c>
      <c r="D933" s="3">
        <v>0.0</v>
      </c>
      <c r="E933" s="3">
        <v>6.0</v>
      </c>
      <c r="F933" s="4"/>
      <c r="G933" s="3">
        <v>0.0</v>
      </c>
      <c r="H933" s="3">
        <v>650.0</v>
      </c>
      <c r="I933" s="3" t="s">
        <v>110</v>
      </c>
      <c r="J933" s="3">
        <v>0.0</v>
      </c>
      <c r="K933" s="3">
        <v>0.0</v>
      </c>
      <c r="L933" s="3">
        <v>0.0</v>
      </c>
      <c r="M933" s="3" t="s">
        <v>204</v>
      </c>
      <c r="N933" s="3">
        <v>69.1</v>
      </c>
      <c r="O933" s="3">
        <v>-6.485</v>
      </c>
      <c r="P933" s="3">
        <v>147.408</v>
      </c>
      <c r="Q933" s="3" t="s">
        <v>965</v>
      </c>
      <c r="R933" s="4"/>
      <c r="S933" s="3" t="s">
        <v>168</v>
      </c>
      <c r="T933" s="16">
        <f t="shared" si="1"/>
        <v>35525.51597</v>
      </c>
      <c r="U933" s="4" t="b">
        <f t="shared" si="2"/>
        <v>1</v>
      </c>
      <c r="V933" s="4" t="b">
        <f t="shared" si="3"/>
        <v>1</v>
      </c>
      <c r="W933" s="4" t="str">
        <f t="shared" si="8"/>
        <v>Distance/Location</v>
      </c>
      <c r="X933" s="4" t="str">
        <f t="shared" si="4"/>
        <v>mwc</v>
      </c>
      <c r="Y933" s="4">
        <f t="shared" si="5"/>
        <v>1</v>
      </c>
      <c r="Z933" s="4" t="str">
        <f t="shared" si="6"/>
        <v>Unique</v>
      </c>
      <c r="AA933" s="4" t="str">
        <f t="shared" si="7"/>
        <v>Valid</v>
      </c>
    </row>
    <row r="934">
      <c r="A934" s="3" t="s">
        <v>2122</v>
      </c>
      <c r="B934" s="3">
        <v>6.9</v>
      </c>
      <c r="C934" s="17">
        <v>35737.80694444444</v>
      </c>
      <c r="D934" s="3">
        <v>0.0</v>
      </c>
      <c r="E934" s="3">
        <v>5.0</v>
      </c>
      <c r="F934" s="4"/>
      <c r="G934" s="3">
        <v>0.0</v>
      </c>
      <c r="H934" s="3">
        <v>732.0</v>
      </c>
      <c r="I934" s="3" t="s">
        <v>110</v>
      </c>
      <c r="J934" s="3">
        <v>0.0</v>
      </c>
      <c r="K934" s="3">
        <v>0.0</v>
      </c>
      <c r="L934" s="3">
        <v>0.0</v>
      </c>
      <c r="M934" s="3" t="s">
        <v>224</v>
      </c>
      <c r="N934" s="3">
        <v>10.0</v>
      </c>
      <c r="O934" s="3">
        <v>7.742</v>
      </c>
      <c r="P934" s="3">
        <v>127.647</v>
      </c>
      <c r="Q934" s="3" t="s">
        <v>2123</v>
      </c>
      <c r="R934" s="4"/>
      <c r="S934" s="4"/>
      <c r="T934" s="16">
        <f t="shared" si="1"/>
        <v>35500.80694</v>
      </c>
      <c r="U934" s="4" t="b">
        <f t="shared" si="2"/>
        <v>1</v>
      </c>
      <c r="V934" s="4" t="b">
        <f t="shared" si="3"/>
        <v>1</v>
      </c>
      <c r="W934" s="4" t="str">
        <f t="shared" si="8"/>
        <v>Distance/Location</v>
      </c>
      <c r="X934" s="4" t="str">
        <f t="shared" si="4"/>
        <v>mwb</v>
      </c>
      <c r="Y934" s="4">
        <f t="shared" si="5"/>
        <v>1</v>
      </c>
      <c r="Z934" s="4" t="str">
        <f t="shared" si="6"/>
        <v>Unique</v>
      </c>
      <c r="AA934" s="4" t="str">
        <f t="shared" si="7"/>
        <v>Valid</v>
      </c>
    </row>
    <row r="935">
      <c r="A935" s="3" t="s">
        <v>2124</v>
      </c>
      <c r="B935" s="3">
        <v>7.1</v>
      </c>
      <c r="C935" s="3" t="s">
        <v>2125</v>
      </c>
      <c r="D935" s="3">
        <v>0.0</v>
      </c>
      <c r="E935" s="3">
        <v>6.0</v>
      </c>
      <c r="F935" s="4"/>
      <c r="G935" s="3">
        <v>0.0</v>
      </c>
      <c r="H935" s="3">
        <v>776.0</v>
      </c>
      <c r="I935" s="3" t="s">
        <v>110</v>
      </c>
      <c r="J935" s="3">
        <v>0.0</v>
      </c>
      <c r="K935" s="3">
        <v>0.0</v>
      </c>
      <c r="L935" s="3">
        <v>0.0</v>
      </c>
      <c r="M935" s="3" t="s">
        <v>204</v>
      </c>
      <c r="N935" s="3">
        <v>33.0</v>
      </c>
      <c r="O935" s="3">
        <v>29.976</v>
      </c>
      <c r="P935" s="3">
        <v>68.208</v>
      </c>
      <c r="Q935" s="3" t="s">
        <v>2126</v>
      </c>
      <c r="R935" s="3" t="s">
        <v>164</v>
      </c>
      <c r="S935" s="3" t="s">
        <v>1066</v>
      </c>
      <c r="T935" s="16">
        <f t="shared" si="1"/>
        <v>35488.88056</v>
      </c>
      <c r="U935" s="4" t="b">
        <f t="shared" si="2"/>
        <v>1</v>
      </c>
      <c r="V935" s="4" t="b">
        <f t="shared" si="3"/>
        <v>0</v>
      </c>
      <c r="W935" s="4" t="str">
        <f t="shared" si="8"/>
        <v>Distance/Location</v>
      </c>
      <c r="X935" s="4" t="str">
        <f t="shared" si="4"/>
        <v>mwc</v>
      </c>
      <c r="Y935" s="4">
        <f t="shared" si="5"/>
        <v>1</v>
      </c>
      <c r="Z935" s="4" t="str">
        <f t="shared" si="6"/>
        <v>Unique</v>
      </c>
      <c r="AA935" s="4" t="str">
        <f t="shared" si="7"/>
        <v>Valid</v>
      </c>
    </row>
    <row r="936">
      <c r="A936" s="3" t="s">
        <v>2127</v>
      </c>
      <c r="B936" s="3">
        <v>6.5</v>
      </c>
      <c r="C936" s="17">
        <v>35522.44236111111</v>
      </c>
      <c r="D936" s="3">
        <v>0.0</v>
      </c>
      <c r="E936" s="3">
        <v>8.0</v>
      </c>
      <c r="F936" s="4"/>
      <c r="G936" s="3">
        <v>0.0</v>
      </c>
      <c r="H936" s="3">
        <v>650.0</v>
      </c>
      <c r="I936" s="3" t="s">
        <v>110</v>
      </c>
      <c r="J936" s="3">
        <v>0.0</v>
      </c>
      <c r="K936" s="3">
        <v>0.0</v>
      </c>
      <c r="L936" s="3">
        <v>0.0</v>
      </c>
      <c r="M936" s="3" t="s">
        <v>204</v>
      </c>
      <c r="N936" s="3">
        <v>10.0</v>
      </c>
      <c r="O936" s="3">
        <v>37.661</v>
      </c>
      <c r="P936" s="3">
        <v>57.291</v>
      </c>
      <c r="Q936" s="3" t="s">
        <v>2128</v>
      </c>
      <c r="R936" s="3" t="s">
        <v>164</v>
      </c>
      <c r="S936" s="3" t="s">
        <v>665</v>
      </c>
      <c r="T936" s="16">
        <f t="shared" si="1"/>
        <v>35465.44236</v>
      </c>
      <c r="U936" s="4" t="b">
        <f t="shared" si="2"/>
        <v>1</v>
      </c>
      <c r="V936" s="4" t="b">
        <f t="shared" si="3"/>
        <v>1</v>
      </c>
      <c r="W936" s="4" t="str">
        <f t="shared" si="8"/>
        <v>Named Region</v>
      </c>
      <c r="X936" s="4" t="str">
        <f t="shared" si="4"/>
        <v>mwc</v>
      </c>
      <c r="Y936" s="4">
        <f t="shared" si="5"/>
        <v>1</v>
      </c>
      <c r="Z936" s="4" t="str">
        <f t="shared" si="6"/>
        <v>Unique</v>
      </c>
      <c r="AA936" s="4" t="str">
        <f t="shared" si="7"/>
        <v>Valid</v>
      </c>
    </row>
    <row r="937">
      <c r="A937" s="3" t="s">
        <v>2129</v>
      </c>
      <c r="B937" s="3">
        <v>7.2</v>
      </c>
      <c r="C937" s="17">
        <v>35735.85277777778</v>
      </c>
      <c r="D937" s="3">
        <v>0.0</v>
      </c>
      <c r="E937" s="3">
        <v>7.0</v>
      </c>
      <c r="F937" s="4"/>
      <c r="G937" s="3">
        <v>0.0</v>
      </c>
      <c r="H937" s="3">
        <v>798.0</v>
      </c>
      <c r="I937" s="3" t="s">
        <v>110</v>
      </c>
      <c r="J937" s="3">
        <v>0.0</v>
      </c>
      <c r="K937" s="3">
        <v>0.0</v>
      </c>
      <c r="L937" s="3">
        <v>0.0</v>
      </c>
      <c r="M937" s="3" t="s">
        <v>224</v>
      </c>
      <c r="N937" s="3">
        <v>33.0</v>
      </c>
      <c r="O937" s="3">
        <v>18.219</v>
      </c>
      <c r="P937" s="3">
        <v>-102.756</v>
      </c>
      <c r="Q937" s="3" t="s">
        <v>1192</v>
      </c>
      <c r="R937" s="3" t="s">
        <v>233</v>
      </c>
      <c r="S937" s="3" t="s">
        <v>234</v>
      </c>
      <c r="T937" s="16">
        <f t="shared" si="1"/>
        <v>35441.85278</v>
      </c>
      <c r="U937" s="4" t="b">
        <f t="shared" si="2"/>
        <v>1</v>
      </c>
      <c r="V937" s="4" t="b">
        <f t="shared" si="3"/>
        <v>1</v>
      </c>
      <c r="W937" s="4" t="str">
        <f t="shared" si="8"/>
        <v>Distance/Location</v>
      </c>
      <c r="X937" s="4" t="str">
        <f t="shared" si="4"/>
        <v>mwb</v>
      </c>
      <c r="Y937" s="4">
        <f t="shared" si="5"/>
        <v>1</v>
      </c>
      <c r="Z937" s="4" t="str">
        <f t="shared" si="6"/>
        <v>Unique</v>
      </c>
      <c r="AA937" s="4" t="str">
        <f t="shared" si="7"/>
        <v>Valid</v>
      </c>
    </row>
    <row r="938">
      <c r="A938" s="3" t="s">
        <v>2130</v>
      </c>
      <c r="B938" s="3">
        <v>6.5</v>
      </c>
      <c r="C938" s="3" t="s">
        <v>2131</v>
      </c>
      <c r="D938" s="3">
        <v>0.0</v>
      </c>
      <c r="E938" s="3">
        <v>4.0</v>
      </c>
      <c r="F938" s="4"/>
      <c r="G938" s="3">
        <v>0.0</v>
      </c>
      <c r="H938" s="3">
        <v>650.0</v>
      </c>
      <c r="I938" s="3" t="s">
        <v>110</v>
      </c>
      <c r="J938" s="3">
        <v>0.0</v>
      </c>
      <c r="K938" s="3">
        <v>0.0</v>
      </c>
      <c r="L938" s="3">
        <v>0.0</v>
      </c>
      <c r="M938" s="3" t="s">
        <v>204</v>
      </c>
      <c r="N938" s="3">
        <v>226.5</v>
      </c>
      <c r="O938" s="3">
        <v>43.207</v>
      </c>
      <c r="P938" s="3">
        <v>138.92</v>
      </c>
      <c r="Q938" s="3" t="s">
        <v>2132</v>
      </c>
      <c r="R938" s="4"/>
      <c r="S938" s="4"/>
      <c r="T938" s="16">
        <f t="shared" si="1"/>
        <v>35421.62014</v>
      </c>
      <c r="U938" s="4" t="b">
        <f t="shared" si="2"/>
        <v>1</v>
      </c>
      <c r="V938" s="4" t="b">
        <f t="shared" si="3"/>
        <v>0</v>
      </c>
      <c r="W938" s="4" t="str">
        <f t="shared" si="8"/>
        <v>Distance/Location</v>
      </c>
      <c r="X938" s="4" t="str">
        <f t="shared" si="4"/>
        <v>mwc</v>
      </c>
      <c r="Y938" s="4">
        <f t="shared" si="5"/>
        <v>1</v>
      </c>
      <c r="Z938" s="4" t="str">
        <f t="shared" si="6"/>
        <v>Unique</v>
      </c>
      <c r="AA938" s="4" t="str">
        <f t="shared" si="7"/>
        <v>Valid</v>
      </c>
    </row>
    <row r="939">
      <c r="A939" s="3" t="s">
        <v>2133</v>
      </c>
      <c r="B939" s="3">
        <v>6.7</v>
      </c>
      <c r="C939" s="17">
        <v>35107.92847222222</v>
      </c>
      <c r="D939" s="3">
        <v>0.0</v>
      </c>
      <c r="E939" s="3">
        <v>6.0</v>
      </c>
      <c r="F939" s="4"/>
      <c r="G939" s="3">
        <v>0.0</v>
      </c>
      <c r="H939" s="3">
        <v>691.0</v>
      </c>
      <c r="I939" s="3" t="s">
        <v>110</v>
      </c>
      <c r="J939" s="3">
        <v>0.0</v>
      </c>
      <c r="K939" s="3">
        <v>0.0</v>
      </c>
      <c r="L939" s="3">
        <v>0.0</v>
      </c>
      <c r="M939" s="3" t="s">
        <v>204</v>
      </c>
      <c r="N939" s="3">
        <v>49.2</v>
      </c>
      <c r="O939" s="3">
        <v>31.789</v>
      </c>
      <c r="P939" s="3">
        <v>131.314</v>
      </c>
      <c r="Q939" s="3" t="s">
        <v>2134</v>
      </c>
      <c r="R939" s="3" t="s">
        <v>164</v>
      </c>
      <c r="S939" s="3" t="s">
        <v>371</v>
      </c>
      <c r="T939" s="16">
        <f t="shared" si="1"/>
        <v>35401.92847</v>
      </c>
      <c r="U939" s="4" t="b">
        <f t="shared" si="2"/>
        <v>1</v>
      </c>
      <c r="V939" s="4" t="b">
        <f t="shared" si="3"/>
        <v>1</v>
      </c>
      <c r="W939" s="4" t="str">
        <f t="shared" si="8"/>
        <v>Distance/Location</v>
      </c>
      <c r="X939" s="4" t="str">
        <f t="shared" si="4"/>
        <v>mwc</v>
      </c>
      <c r="Y939" s="4">
        <f t="shared" si="5"/>
        <v>1</v>
      </c>
      <c r="Z939" s="4" t="str">
        <f t="shared" si="6"/>
        <v>Unique</v>
      </c>
      <c r="AA939" s="4" t="str">
        <f t="shared" si="7"/>
        <v>Valid</v>
      </c>
    </row>
    <row r="940">
      <c r="A940" s="3" t="s">
        <v>2135</v>
      </c>
      <c r="B940" s="3">
        <v>6.9</v>
      </c>
      <c r="C940" s="3" t="s">
        <v>2136</v>
      </c>
      <c r="D940" s="3">
        <v>0.0</v>
      </c>
      <c r="E940" s="3">
        <v>7.0</v>
      </c>
      <c r="F940" s="4"/>
      <c r="G940" s="3">
        <v>0.0</v>
      </c>
      <c r="H940" s="3">
        <v>732.0</v>
      </c>
      <c r="I940" s="3" t="s">
        <v>110</v>
      </c>
      <c r="J940" s="3">
        <v>0.0</v>
      </c>
      <c r="K940" s="3">
        <v>0.0</v>
      </c>
      <c r="L940" s="3">
        <v>0.0</v>
      </c>
      <c r="M940" s="3" t="s">
        <v>204</v>
      </c>
      <c r="N940" s="3">
        <v>33.0</v>
      </c>
      <c r="O940" s="3">
        <v>35.345</v>
      </c>
      <c r="P940" s="3">
        <v>78.133</v>
      </c>
      <c r="Q940" s="3" t="s">
        <v>2137</v>
      </c>
      <c r="R940" s="3" t="s">
        <v>164</v>
      </c>
      <c r="S940" s="3" t="s">
        <v>251</v>
      </c>
      <c r="T940" s="16">
        <f t="shared" si="1"/>
        <v>35388.44722</v>
      </c>
      <c r="U940" s="4" t="b">
        <f t="shared" si="2"/>
        <v>1</v>
      </c>
      <c r="V940" s="4" t="b">
        <f t="shared" si="3"/>
        <v>0</v>
      </c>
      <c r="W940" s="4" t="str">
        <f t="shared" si="8"/>
        <v>Distance/Location</v>
      </c>
      <c r="X940" s="4" t="str">
        <f t="shared" si="4"/>
        <v>mwc</v>
      </c>
      <c r="Y940" s="4">
        <f t="shared" si="5"/>
        <v>1</v>
      </c>
      <c r="Z940" s="4" t="str">
        <f t="shared" si="6"/>
        <v>Unique</v>
      </c>
      <c r="AA940" s="4" t="str">
        <f t="shared" si="7"/>
        <v>Valid</v>
      </c>
    </row>
    <row r="941">
      <c r="A941" s="3" t="s">
        <v>2138</v>
      </c>
      <c r="B941" s="3">
        <v>7.7</v>
      </c>
      <c r="C941" s="18">
        <v>35410.70763888889</v>
      </c>
      <c r="D941" s="3">
        <v>0.0</v>
      </c>
      <c r="E941" s="3">
        <v>7.0</v>
      </c>
      <c r="F941" s="4"/>
      <c r="G941" s="3">
        <v>0.0</v>
      </c>
      <c r="H941" s="3">
        <v>912.0</v>
      </c>
      <c r="I941" s="3" t="s">
        <v>110</v>
      </c>
      <c r="J941" s="3">
        <v>0.0</v>
      </c>
      <c r="K941" s="3">
        <v>0.0</v>
      </c>
      <c r="L941" s="3">
        <v>0.0</v>
      </c>
      <c r="M941" s="3" t="s">
        <v>204</v>
      </c>
      <c r="N941" s="3">
        <v>33.0</v>
      </c>
      <c r="O941" s="3">
        <v>-14.993</v>
      </c>
      <c r="P941" s="3">
        <v>-75.675</v>
      </c>
      <c r="Q941" s="3" t="s">
        <v>2139</v>
      </c>
      <c r="R941" s="4"/>
      <c r="S941" s="3" t="s">
        <v>265</v>
      </c>
      <c r="T941" s="16">
        <f t="shared" si="1"/>
        <v>35381.70764</v>
      </c>
      <c r="U941" s="4" t="b">
        <f t="shared" si="2"/>
        <v>1</v>
      </c>
      <c r="V941" s="4" t="b">
        <f t="shared" si="3"/>
        <v>1</v>
      </c>
      <c r="W941" s="4" t="str">
        <f t="shared" si="8"/>
        <v>Distance/Location</v>
      </c>
      <c r="X941" s="4" t="str">
        <f t="shared" si="4"/>
        <v>mwc</v>
      </c>
      <c r="Y941" s="4">
        <f t="shared" si="5"/>
        <v>1</v>
      </c>
      <c r="Z941" s="4" t="str">
        <f t="shared" si="6"/>
        <v>Unique</v>
      </c>
      <c r="AA941" s="4" t="str">
        <f t="shared" si="7"/>
        <v>Valid</v>
      </c>
    </row>
    <row r="942">
      <c r="A942" s="3" t="s">
        <v>2140</v>
      </c>
      <c r="B942" s="3">
        <v>6.7</v>
      </c>
      <c r="C942" s="3" t="s">
        <v>2141</v>
      </c>
      <c r="D942" s="3">
        <v>0.0</v>
      </c>
      <c r="E942" s="3">
        <v>7.0</v>
      </c>
      <c r="F942" s="4"/>
      <c r="G942" s="3">
        <v>0.0</v>
      </c>
      <c r="H942" s="3">
        <v>691.0</v>
      </c>
      <c r="I942" s="3" t="s">
        <v>110</v>
      </c>
      <c r="J942" s="3">
        <v>0.0</v>
      </c>
      <c r="K942" s="3">
        <v>0.0</v>
      </c>
      <c r="L942" s="3">
        <v>0.0</v>
      </c>
      <c r="M942" s="3" t="s">
        <v>204</v>
      </c>
      <c r="N942" s="3">
        <v>22.0</v>
      </c>
      <c r="O942" s="3">
        <v>31.885</v>
      </c>
      <c r="P942" s="3">
        <v>131.468</v>
      </c>
      <c r="Q942" s="3" t="s">
        <v>2134</v>
      </c>
      <c r="R942" s="3" t="s">
        <v>164</v>
      </c>
      <c r="S942" s="3" t="s">
        <v>371</v>
      </c>
      <c r="T942" s="16">
        <f t="shared" si="1"/>
        <v>35357.61389</v>
      </c>
      <c r="U942" s="4" t="b">
        <f t="shared" si="2"/>
        <v>1</v>
      </c>
      <c r="V942" s="4" t="b">
        <f t="shared" si="3"/>
        <v>0</v>
      </c>
      <c r="W942" s="4" t="str">
        <f t="shared" si="8"/>
        <v>Distance/Location</v>
      </c>
      <c r="X942" s="4" t="str">
        <f t="shared" si="4"/>
        <v>mwc</v>
      </c>
      <c r="Y942" s="4">
        <f t="shared" si="5"/>
        <v>1</v>
      </c>
      <c r="Z942" s="4" t="str">
        <f t="shared" si="6"/>
        <v>Unique</v>
      </c>
      <c r="AA942" s="4" t="str">
        <f t="shared" si="7"/>
        <v>Valid</v>
      </c>
    </row>
    <row r="943">
      <c r="A943" s="3" t="s">
        <v>2142</v>
      </c>
      <c r="B943" s="3">
        <v>6.6</v>
      </c>
      <c r="C943" s="3" t="s">
        <v>2143</v>
      </c>
      <c r="D943" s="3">
        <v>0.0</v>
      </c>
      <c r="E943" s="3">
        <v>7.0</v>
      </c>
      <c r="F943" s="4"/>
      <c r="G943" s="3">
        <v>0.0</v>
      </c>
      <c r="H943" s="3">
        <v>670.0</v>
      </c>
      <c r="I943" s="3" t="s">
        <v>110</v>
      </c>
      <c r="J943" s="3">
        <v>0.0</v>
      </c>
      <c r="K943" s="3">
        <v>0.0</v>
      </c>
      <c r="L943" s="3">
        <v>0.0</v>
      </c>
      <c r="M943" s="3" t="s">
        <v>204</v>
      </c>
      <c r="N943" s="3">
        <v>10.0</v>
      </c>
      <c r="O943" s="3">
        <v>30.568</v>
      </c>
      <c r="P943" s="3">
        <v>131.093</v>
      </c>
      <c r="Q943" s="3" t="s">
        <v>2144</v>
      </c>
      <c r="R943" s="3" t="s">
        <v>164</v>
      </c>
      <c r="S943" s="3" t="s">
        <v>371</v>
      </c>
      <c r="T943" s="16">
        <f t="shared" si="1"/>
        <v>35356.45139</v>
      </c>
      <c r="U943" s="4" t="b">
        <f t="shared" si="2"/>
        <v>1</v>
      </c>
      <c r="V943" s="4" t="b">
        <f t="shared" si="3"/>
        <v>0</v>
      </c>
      <c r="W943" s="4" t="str">
        <f t="shared" si="8"/>
        <v>Distance/Location</v>
      </c>
      <c r="X943" s="4" t="str">
        <f t="shared" si="4"/>
        <v>mwc</v>
      </c>
      <c r="Y943" s="4">
        <f t="shared" si="5"/>
        <v>1</v>
      </c>
      <c r="Z943" s="4" t="str">
        <f t="shared" si="6"/>
        <v>Unique</v>
      </c>
      <c r="AA943" s="4" t="str">
        <f t="shared" si="7"/>
        <v>Valid</v>
      </c>
    </row>
    <row r="944">
      <c r="A944" s="3" t="s">
        <v>2145</v>
      </c>
      <c r="B944" s="3">
        <v>6.8</v>
      </c>
      <c r="C944" s="3" t="s">
        <v>2146</v>
      </c>
      <c r="D944" s="3">
        <v>0.0</v>
      </c>
      <c r="E944" s="3">
        <v>6.0</v>
      </c>
      <c r="F944" s="4"/>
      <c r="G944" s="3">
        <v>0.0</v>
      </c>
      <c r="H944" s="3">
        <v>711.0</v>
      </c>
      <c r="I944" s="3" t="s">
        <v>110</v>
      </c>
      <c r="J944" s="3">
        <v>0.0</v>
      </c>
      <c r="K944" s="3">
        <v>0.0</v>
      </c>
      <c r="L944" s="3">
        <v>0.0</v>
      </c>
      <c r="M944" s="3" t="s">
        <v>204</v>
      </c>
      <c r="N944" s="3">
        <v>24.0</v>
      </c>
      <c r="O944" s="3">
        <v>-7.133</v>
      </c>
      <c r="P944" s="3">
        <v>155.568</v>
      </c>
      <c r="Q944" s="3" t="s">
        <v>728</v>
      </c>
      <c r="R944" s="4"/>
      <c r="S944" s="3" t="s">
        <v>214</v>
      </c>
      <c r="T944" s="16">
        <f t="shared" si="1"/>
        <v>35352.97639</v>
      </c>
      <c r="U944" s="4" t="b">
        <f t="shared" si="2"/>
        <v>1</v>
      </c>
      <c r="V944" s="4" t="b">
        <f t="shared" si="3"/>
        <v>0</v>
      </c>
      <c r="W944" s="4" t="str">
        <f t="shared" si="8"/>
        <v>Distance/Location</v>
      </c>
      <c r="X944" s="4" t="str">
        <f t="shared" si="4"/>
        <v>mwc</v>
      </c>
      <c r="Y944" s="4">
        <f t="shared" si="5"/>
        <v>1</v>
      </c>
      <c r="Z944" s="4" t="str">
        <f t="shared" si="6"/>
        <v>Unique</v>
      </c>
      <c r="AA944" s="4" t="str">
        <f t="shared" si="7"/>
        <v>Valid</v>
      </c>
    </row>
    <row r="945">
      <c r="A945" s="3" t="s">
        <v>2147</v>
      </c>
      <c r="B945" s="3">
        <v>6.8</v>
      </c>
      <c r="C945" s="17">
        <v>35318.54861111111</v>
      </c>
      <c r="D945" s="3">
        <v>0.0</v>
      </c>
      <c r="E945" s="3">
        <v>6.0</v>
      </c>
      <c r="F945" s="4"/>
      <c r="G945" s="3">
        <v>0.0</v>
      </c>
      <c r="H945" s="3">
        <v>711.0</v>
      </c>
      <c r="I945" s="3" t="s">
        <v>110</v>
      </c>
      <c r="J945" s="3">
        <v>0.0</v>
      </c>
      <c r="K945" s="3">
        <v>0.0</v>
      </c>
      <c r="L945" s="3">
        <v>0.0</v>
      </c>
      <c r="M945" s="3" t="s">
        <v>204</v>
      </c>
      <c r="N945" s="3">
        <v>33.0</v>
      </c>
      <c r="O945" s="3">
        <v>34.556</v>
      </c>
      <c r="P945" s="3">
        <v>32.126</v>
      </c>
      <c r="Q945" s="3" t="s">
        <v>2148</v>
      </c>
      <c r="R945" s="3" t="s">
        <v>164</v>
      </c>
      <c r="S945" s="4"/>
      <c r="T945" s="16">
        <f t="shared" si="1"/>
        <v>35347.54861</v>
      </c>
      <c r="U945" s="4" t="b">
        <f t="shared" si="2"/>
        <v>1</v>
      </c>
      <c r="V945" s="4" t="b">
        <f t="shared" si="3"/>
        <v>1</v>
      </c>
      <c r="W945" s="4" t="str">
        <f t="shared" si="8"/>
        <v>Distance/Location</v>
      </c>
      <c r="X945" s="4" t="str">
        <f t="shared" si="4"/>
        <v>mwc</v>
      </c>
      <c r="Y945" s="4">
        <f t="shared" si="5"/>
        <v>1</v>
      </c>
      <c r="Z945" s="4" t="str">
        <f t="shared" si="6"/>
        <v>Unique</v>
      </c>
      <c r="AA945" s="4" t="str">
        <f t="shared" si="7"/>
        <v>Valid</v>
      </c>
    </row>
    <row r="946">
      <c r="A946" s="3" t="s">
        <v>2149</v>
      </c>
      <c r="B946" s="3">
        <v>6.6</v>
      </c>
      <c r="C946" s="3" t="s">
        <v>2150</v>
      </c>
      <c r="D946" s="3">
        <v>0.0</v>
      </c>
      <c r="E946" s="3">
        <v>6.0</v>
      </c>
      <c r="F946" s="4"/>
      <c r="G946" s="3">
        <v>0.0</v>
      </c>
      <c r="H946" s="3">
        <v>670.0</v>
      </c>
      <c r="I946" s="3" t="s">
        <v>110</v>
      </c>
      <c r="J946" s="3">
        <v>0.0</v>
      </c>
      <c r="K946" s="3">
        <v>0.0</v>
      </c>
      <c r="L946" s="3">
        <v>0.0</v>
      </c>
      <c r="M946" s="3" t="s">
        <v>204</v>
      </c>
      <c r="N946" s="3">
        <v>33.0</v>
      </c>
      <c r="O946" s="3">
        <v>9.454</v>
      </c>
      <c r="P946" s="3">
        <v>126.334</v>
      </c>
      <c r="Q946" s="3" t="s">
        <v>2151</v>
      </c>
      <c r="R946" s="4"/>
      <c r="S946" s="3" t="s">
        <v>258</v>
      </c>
      <c r="T946" s="16">
        <f t="shared" si="1"/>
        <v>35328.17431</v>
      </c>
      <c r="U946" s="4" t="b">
        <f t="shared" si="2"/>
        <v>1</v>
      </c>
      <c r="V946" s="4" t="b">
        <f t="shared" si="3"/>
        <v>0</v>
      </c>
      <c r="W946" s="4" t="str">
        <f t="shared" si="8"/>
        <v>Distance/Location</v>
      </c>
      <c r="X946" s="4" t="str">
        <f t="shared" si="4"/>
        <v>mwc</v>
      </c>
      <c r="Y946" s="4">
        <f t="shared" si="5"/>
        <v>1</v>
      </c>
      <c r="Z946" s="4" t="str">
        <f t="shared" si="6"/>
        <v>Unique</v>
      </c>
      <c r="AA946" s="4" t="str">
        <f t="shared" si="7"/>
        <v>Valid</v>
      </c>
    </row>
    <row r="947">
      <c r="A947" s="3" t="s">
        <v>2152</v>
      </c>
      <c r="B947" s="3">
        <v>6.6</v>
      </c>
      <c r="C947" s="3" t="s">
        <v>2153</v>
      </c>
      <c r="D947" s="3">
        <v>0.0</v>
      </c>
      <c r="E947" s="3">
        <v>6.0</v>
      </c>
      <c r="F947" s="4"/>
      <c r="G947" s="3">
        <v>0.0</v>
      </c>
      <c r="H947" s="3">
        <v>670.0</v>
      </c>
      <c r="I947" s="3" t="s">
        <v>110</v>
      </c>
      <c r="J947" s="3">
        <v>0.0</v>
      </c>
      <c r="K947" s="3">
        <v>0.0</v>
      </c>
      <c r="L947" s="3">
        <v>0.0</v>
      </c>
      <c r="M947" s="3" t="s">
        <v>204</v>
      </c>
      <c r="N947" s="3">
        <v>33.0</v>
      </c>
      <c r="O947" s="3">
        <v>9.463</v>
      </c>
      <c r="P947" s="3">
        <v>126.284</v>
      </c>
      <c r="Q947" s="3" t="s">
        <v>2151</v>
      </c>
      <c r="R947" s="4"/>
      <c r="S947" s="3" t="s">
        <v>258</v>
      </c>
      <c r="T947" s="16">
        <f t="shared" si="1"/>
        <v>35328.17361</v>
      </c>
      <c r="U947" s="4" t="b">
        <f t="shared" si="2"/>
        <v>1</v>
      </c>
      <c r="V947" s="4" t="b">
        <f t="shared" si="3"/>
        <v>0</v>
      </c>
      <c r="W947" s="4" t="str">
        <f t="shared" si="8"/>
        <v>Distance/Location</v>
      </c>
      <c r="X947" s="4" t="str">
        <f t="shared" si="4"/>
        <v>mwc</v>
      </c>
      <c r="Y947" s="4">
        <f t="shared" si="5"/>
        <v>1</v>
      </c>
      <c r="Z947" s="4" t="str">
        <f t="shared" si="6"/>
        <v>Unique</v>
      </c>
      <c r="AA947" s="4" t="str">
        <f t="shared" si="7"/>
        <v>Valid</v>
      </c>
    </row>
    <row r="948">
      <c r="A948" s="3" t="s">
        <v>2154</v>
      </c>
      <c r="B948" s="3">
        <v>6.8</v>
      </c>
      <c r="C948" s="17">
        <v>35194.9875</v>
      </c>
      <c r="D948" s="3">
        <v>0.0</v>
      </c>
      <c r="E948" s="3">
        <v>6.0</v>
      </c>
      <c r="F948" s="4"/>
      <c r="G948" s="3">
        <v>0.0</v>
      </c>
      <c r="H948" s="3">
        <v>711.0</v>
      </c>
      <c r="I948" s="3" t="s">
        <v>110</v>
      </c>
      <c r="J948" s="3">
        <v>0.0</v>
      </c>
      <c r="K948" s="3">
        <v>0.0</v>
      </c>
      <c r="L948" s="3">
        <v>0.0</v>
      </c>
      <c r="M948" s="3" t="s">
        <v>204</v>
      </c>
      <c r="N948" s="3">
        <v>20.0</v>
      </c>
      <c r="O948" s="3">
        <v>21.898</v>
      </c>
      <c r="P948" s="3">
        <v>121.498</v>
      </c>
      <c r="Q948" s="3" t="s">
        <v>1547</v>
      </c>
      <c r="R948" s="4"/>
      <c r="S948" s="3" t="s">
        <v>240</v>
      </c>
      <c r="T948" s="16">
        <f t="shared" si="1"/>
        <v>35313.9875</v>
      </c>
      <c r="U948" s="4" t="b">
        <f t="shared" si="2"/>
        <v>1</v>
      </c>
      <c r="V948" s="4" t="b">
        <f t="shared" si="3"/>
        <v>1</v>
      </c>
      <c r="W948" s="4" t="str">
        <f t="shared" si="8"/>
        <v>Distance/Location</v>
      </c>
      <c r="X948" s="4" t="str">
        <f t="shared" si="4"/>
        <v>mwc</v>
      </c>
      <c r="Y948" s="4">
        <f t="shared" si="5"/>
        <v>1</v>
      </c>
      <c r="Z948" s="4" t="str">
        <f t="shared" si="6"/>
        <v>Unique</v>
      </c>
      <c r="AA948" s="4" t="str">
        <f t="shared" si="7"/>
        <v>Valid</v>
      </c>
    </row>
    <row r="949">
      <c r="A949" s="3" t="s">
        <v>2155</v>
      </c>
      <c r="B949" s="3">
        <v>6.9</v>
      </c>
      <c r="C949" s="17">
        <v>35103.538194444445</v>
      </c>
      <c r="D949" s="3">
        <v>0.0</v>
      </c>
      <c r="E949" s="3">
        <v>6.0</v>
      </c>
      <c r="F949" s="4"/>
      <c r="G949" s="3">
        <v>0.0</v>
      </c>
      <c r="H949" s="3">
        <v>732.0</v>
      </c>
      <c r="I949" s="3" t="s">
        <v>110</v>
      </c>
      <c r="J949" s="3">
        <v>0.0</v>
      </c>
      <c r="K949" s="3">
        <v>0.0</v>
      </c>
      <c r="L949" s="3">
        <v>0.0</v>
      </c>
      <c r="M949" s="3" t="s">
        <v>204</v>
      </c>
      <c r="N949" s="3">
        <v>33.0</v>
      </c>
      <c r="O949" s="3">
        <v>-10.769</v>
      </c>
      <c r="P949" s="3">
        <v>161.445</v>
      </c>
      <c r="Q949" s="3" t="s">
        <v>595</v>
      </c>
      <c r="R949" s="4"/>
      <c r="S949" s="3" t="s">
        <v>214</v>
      </c>
      <c r="T949" s="16">
        <f t="shared" si="1"/>
        <v>35279.53819</v>
      </c>
      <c r="U949" s="4" t="b">
        <f t="shared" si="2"/>
        <v>1</v>
      </c>
      <c r="V949" s="4" t="b">
        <f t="shared" si="3"/>
        <v>1</v>
      </c>
      <c r="W949" s="4" t="str">
        <f t="shared" si="8"/>
        <v>Distance/Location</v>
      </c>
      <c r="X949" s="4" t="str">
        <f t="shared" si="4"/>
        <v>mwc</v>
      </c>
      <c r="Y949" s="4">
        <f t="shared" si="5"/>
        <v>1</v>
      </c>
      <c r="Z949" s="4" t="str">
        <f t="shared" si="6"/>
        <v>Unique</v>
      </c>
      <c r="AA949" s="4" t="str">
        <f t="shared" si="7"/>
        <v>Valid</v>
      </c>
    </row>
    <row r="950">
      <c r="A950" s="3" t="s">
        <v>2156</v>
      </c>
      <c r="B950" s="3">
        <v>7.0</v>
      </c>
      <c r="C950" s="3" t="s">
        <v>2157</v>
      </c>
      <c r="D950" s="3">
        <v>0.0</v>
      </c>
      <c r="E950" s="3">
        <v>6.0</v>
      </c>
      <c r="F950" s="4"/>
      <c r="G950" s="3">
        <v>0.0</v>
      </c>
      <c r="H950" s="3">
        <v>754.0</v>
      </c>
      <c r="I950" s="3" t="s">
        <v>110</v>
      </c>
      <c r="J950" s="3">
        <v>0.0</v>
      </c>
      <c r="K950" s="3">
        <v>0.0</v>
      </c>
      <c r="L950" s="3">
        <v>0.0</v>
      </c>
      <c r="M950" s="3" t="s">
        <v>204</v>
      </c>
      <c r="N950" s="3">
        <v>33.0</v>
      </c>
      <c r="O950" s="3">
        <v>1.0</v>
      </c>
      <c r="P950" s="3">
        <v>120.45</v>
      </c>
      <c r="Q950" s="3" t="s">
        <v>590</v>
      </c>
      <c r="R950" s="4"/>
      <c r="S950" s="3" t="s">
        <v>153</v>
      </c>
      <c r="T950" s="16">
        <f t="shared" si="1"/>
        <v>35268.59653</v>
      </c>
      <c r="U950" s="4" t="b">
        <f t="shared" si="2"/>
        <v>1</v>
      </c>
      <c r="V950" s="4" t="b">
        <f t="shared" si="3"/>
        <v>0</v>
      </c>
      <c r="W950" s="4" t="str">
        <f t="shared" si="8"/>
        <v>Distance/Location</v>
      </c>
      <c r="X950" s="4" t="str">
        <f t="shared" si="4"/>
        <v>mwc</v>
      </c>
      <c r="Y950" s="4">
        <f t="shared" si="5"/>
        <v>1</v>
      </c>
      <c r="Z950" s="4" t="str">
        <f t="shared" si="6"/>
        <v>Unique</v>
      </c>
      <c r="AA950" s="4" t="str">
        <f t="shared" si="7"/>
        <v>Valid</v>
      </c>
    </row>
    <row r="951">
      <c r="A951" s="3" t="s">
        <v>2158</v>
      </c>
      <c r="B951" s="3">
        <v>6.6</v>
      </c>
      <c r="C951" s="3" t="s">
        <v>2159</v>
      </c>
      <c r="D951" s="3">
        <v>0.0</v>
      </c>
      <c r="E951" s="3">
        <v>6.0</v>
      </c>
      <c r="F951" s="4"/>
      <c r="G951" s="3">
        <v>0.0</v>
      </c>
      <c r="H951" s="3">
        <v>670.0</v>
      </c>
      <c r="I951" s="3" t="s">
        <v>110</v>
      </c>
      <c r="J951" s="3">
        <v>0.0</v>
      </c>
      <c r="K951" s="3">
        <v>0.0</v>
      </c>
      <c r="L951" s="3">
        <v>0.0</v>
      </c>
      <c r="M951" s="3" t="s">
        <v>224</v>
      </c>
      <c r="N951" s="3">
        <v>33.0</v>
      </c>
      <c r="O951" s="3">
        <v>1.016</v>
      </c>
      <c r="P951" s="3">
        <v>120.254</v>
      </c>
      <c r="Q951" s="3" t="s">
        <v>590</v>
      </c>
      <c r="R951" s="4"/>
      <c r="S951" s="3" t="s">
        <v>153</v>
      </c>
      <c r="T951" s="16">
        <f t="shared" si="1"/>
        <v>35262.42153</v>
      </c>
      <c r="U951" s="4" t="b">
        <f t="shared" si="2"/>
        <v>1</v>
      </c>
      <c r="V951" s="4" t="b">
        <f t="shared" si="3"/>
        <v>0</v>
      </c>
      <c r="W951" s="4" t="str">
        <f t="shared" si="8"/>
        <v>Distance/Location</v>
      </c>
      <c r="X951" s="4" t="str">
        <f t="shared" si="4"/>
        <v>mwb</v>
      </c>
      <c r="Y951" s="4">
        <f t="shared" si="5"/>
        <v>1</v>
      </c>
      <c r="Z951" s="4" t="str">
        <f t="shared" si="6"/>
        <v>Unique</v>
      </c>
      <c r="AA951" s="4" t="str">
        <f t="shared" si="7"/>
        <v>Valid</v>
      </c>
    </row>
    <row r="952">
      <c r="A952" s="3" t="s">
        <v>2160</v>
      </c>
      <c r="B952" s="3">
        <v>6.8</v>
      </c>
      <c r="C952" s="3" t="s">
        <v>2161</v>
      </c>
      <c r="D952" s="3">
        <v>0.0</v>
      </c>
      <c r="E952" s="3">
        <v>6.0</v>
      </c>
      <c r="F952" s="4"/>
      <c r="G952" s="3">
        <v>0.0</v>
      </c>
      <c r="H952" s="3">
        <v>711.0</v>
      </c>
      <c r="I952" s="3" t="s">
        <v>110</v>
      </c>
      <c r="J952" s="3">
        <v>0.0</v>
      </c>
      <c r="K952" s="3">
        <v>0.0</v>
      </c>
      <c r="L952" s="3">
        <v>0.0</v>
      </c>
      <c r="M952" s="3" t="s">
        <v>224</v>
      </c>
      <c r="N952" s="3">
        <v>18.3</v>
      </c>
      <c r="O952" s="3">
        <v>17.6</v>
      </c>
      <c r="P952" s="3">
        <v>-100.965</v>
      </c>
      <c r="Q952" s="3" t="s">
        <v>1007</v>
      </c>
      <c r="R952" s="3" t="s">
        <v>233</v>
      </c>
      <c r="S952" s="3" t="s">
        <v>234</v>
      </c>
      <c r="T952" s="16">
        <f t="shared" si="1"/>
        <v>35261.89097</v>
      </c>
      <c r="U952" s="4" t="b">
        <f t="shared" si="2"/>
        <v>1</v>
      </c>
      <c r="V952" s="4" t="b">
        <f t="shared" si="3"/>
        <v>0</v>
      </c>
      <c r="W952" s="4" t="str">
        <f t="shared" si="8"/>
        <v>Distance/Location</v>
      </c>
      <c r="X952" s="4" t="str">
        <f t="shared" si="4"/>
        <v>mwb</v>
      </c>
      <c r="Y952" s="4">
        <f t="shared" si="5"/>
        <v>1</v>
      </c>
      <c r="Z952" s="4" t="str">
        <f t="shared" si="6"/>
        <v>Unique</v>
      </c>
      <c r="AA952" s="4" t="str">
        <f t="shared" si="7"/>
        <v>Valid</v>
      </c>
    </row>
    <row r="953">
      <c r="A953" s="3" t="s">
        <v>2162</v>
      </c>
      <c r="B953" s="3">
        <v>7.9</v>
      </c>
      <c r="C953" s="3" t="s">
        <v>2163</v>
      </c>
      <c r="D953" s="3">
        <v>0.0</v>
      </c>
      <c r="E953" s="3">
        <v>4.0</v>
      </c>
      <c r="F953" s="4"/>
      <c r="G953" s="3">
        <v>0.0</v>
      </c>
      <c r="H953" s="3">
        <v>960.0</v>
      </c>
      <c r="I953" s="3" t="s">
        <v>110</v>
      </c>
      <c r="J953" s="3">
        <v>0.0</v>
      </c>
      <c r="K953" s="3">
        <v>0.0</v>
      </c>
      <c r="L953" s="3">
        <v>0.0</v>
      </c>
      <c r="M953" s="3" t="s">
        <v>204</v>
      </c>
      <c r="N953" s="3">
        <v>587.3</v>
      </c>
      <c r="O953" s="3">
        <v>-7.137</v>
      </c>
      <c r="P953" s="3">
        <v>122.589</v>
      </c>
      <c r="Q953" s="3" t="s">
        <v>674</v>
      </c>
      <c r="R953" s="4"/>
      <c r="S953" s="3" t="s">
        <v>153</v>
      </c>
      <c r="T953" s="16">
        <f t="shared" si="1"/>
        <v>35233.47361</v>
      </c>
      <c r="U953" s="4" t="b">
        <f t="shared" si="2"/>
        <v>1</v>
      </c>
      <c r="V953" s="4" t="b">
        <f t="shared" si="3"/>
        <v>0</v>
      </c>
      <c r="W953" s="4" t="str">
        <f t="shared" si="8"/>
        <v>Distance/Location</v>
      </c>
      <c r="X953" s="4" t="str">
        <f t="shared" si="4"/>
        <v>mwc</v>
      </c>
      <c r="Y953" s="4">
        <f t="shared" si="5"/>
        <v>1</v>
      </c>
      <c r="Z953" s="4" t="str">
        <f t="shared" si="6"/>
        <v>Unique</v>
      </c>
      <c r="AA953" s="4" t="str">
        <f t="shared" si="7"/>
        <v>Valid</v>
      </c>
    </row>
    <row r="954">
      <c r="A954" s="3" t="s">
        <v>2164</v>
      </c>
      <c r="B954" s="3">
        <v>7.1</v>
      </c>
      <c r="C954" s="17">
        <v>35375.76527777778</v>
      </c>
      <c r="D954" s="3">
        <v>0.0</v>
      </c>
      <c r="E954" s="3">
        <v>6.0</v>
      </c>
      <c r="F954" s="4"/>
      <c r="G954" s="3">
        <v>0.0</v>
      </c>
      <c r="H954" s="3">
        <v>776.0</v>
      </c>
      <c r="I954" s="3" t="s">
        <v>110</v>
      </c>
      <c r="J954" s="3">
        <v>0.0</v>
      </c>
      <c r="K954" s="3">
        <v>0.0</v>
      </c>
      <c r="L954" s="3">
        <v>0.0</v>
      </c>
      <c r="M954" s="3" t="s">
        <v>204</v>
      </c>
      <c r="N954" s="3">
        <v>33.0</v>
      </c>
      <c r="O954" s="3">
        <v>12.614</v>
      </c>
      <c r="P954" s="3">
        <v>125.154</v>
      </c>
      <c r="Q954" s="3" t="s">
        <v>2165</v>
      </c>
      <c r="R954" s="4"/>
      <c r="S954" s="3" t="s">
        <v>258</v>
      </c>
      <c r="T954" s="16">
        <f t="shared" si="1"/>
        <v>35227.76528</v>
      </c>
      <c r="U954" s="4" t="b">
        <f t="shared" si="2"/>
        <v>1</v>
      </c>
      <c r="V954" s="4" t="b">
        <f t="shared" si="3"/>
        <v>1</v>
      </c>
      <c r="W954" s="4" t="str">
        <f t="shared" si="8"/>
        <v>Distance/Location</v>
      </c>
      <c r="X954" s="4" t="str">
        <f t="shared" si="4"/>
        <v>mwc</v>
      </c>
      <c r="Y954" s="4">
        <f t="shared" si="5"/>
        <v>1</v>
      </c>
      <c r="Z954" s="4" t="str">
        <f t="shared" si="6"/>
        <v>Unique</v>
      </c>
      <c r="AA954" s="4" t="str">
        <f t="shared" si="7"/>
        <v>Valid</v>
      </c>
    </row>
    <row r="955">
      <c r="A955" s="3" t="s">
        <v>2166</v>
      </c>
      <c r="B955" s="3">
        <v>7.3</v>
      </c>
      <c r="C955" s="17">
        <v>35344.64166666667</v>
      </c>
      <c r="D955" s="3">
        <v>0.0</v>
      </c>
      <c r="E955" s="3">
        <v>7.0</v>
      </c>
      <c r="F955" s="4"/>
      <c r="G955" s="3">
        <v>0.0</v>
      </c>
      <c r="H955" s="3">
        <v>820.0</v>
      </c>
      <c r="I955" s="3" t="s">
        <v>110</v>
      </c>
      <c r="J955" s="3">
        <v>0.0</v>
      </c>
      <c r="K955" s="3">
        <v>0.0</v>
      </c>
      <c r="L955" s="3">
        <v>0.0</v>
      </c>
      <c r="M955" s="3" t="s">
        <v>204</v>
      </c>
      <c r="N955" s="3">
        <v>26.3</v>
      </c>
      <c r="O955" s="3">
        <v>51.478</v>
      </c>
      <c r="P955" s="3">
        <v>-176.847</v>
      </c>
      <c r="Q955" s="3" t="s">
        <v>620</v>
      </c>
      <c r="R955" s="3" t="s">
        <v>233</v>
      </c>
      <c r="S955" s="3" t="s">
        <v>318</v>
      </c>
      <c r="T955" s="16">
        <f t="shared" si="1"/>
        <v>35226.64167</v>
      </c>
      <c r="U955" s="4" t="b">
        <f t="shared" si="2"/>
        <v>1</v>
      </c>
      <c r="V955" s="4" t="b">
        <f t="shared" si="3"/>
        <v>1</v>
      </c>
      <c r="W955" s="4" t="str">
        <f t="shared" si="8"/>
        <v>Distance/Location</v>
      </c>
      <c r="X955" s="4" t="str">
        <f t="shared" si="4"/>
        <v>mwc</v>
      </c>
      <c r="Y955" s="4">
        <f t="shared" si="5"/>
        <v>1</v>
      </c>
      <c r="Z955" s="4" t="str">
        <f t="shared" si="6"/>
        <v>Unique</v>
      </c>
      <c r="AA955" s="4" t="str">
        <f t="shared" si="7"/>
        <v>Valid</v>
      </c>
    </row>
    <row r="956">
      <c r="A956" s="3" t="s">
        <v>2167</v>
      </c>
      <c r="B956" s="3">
        <v>7.9</v>
      </c>
      <c r="C956" s="17">
        <v>35344.16875</v>
      </c>
      <c r="D956" s="3">
        <v>0.0</v>
      </c>
      <c r="E956" s="3">
        <v>7.0</v>
      </c>
      <c r="F956" s="4"/>
      <c r="G956" s="3">
        <v>0.0</v>
      </c>
      <c r="H956" s="3">
        <v>960.0</v>
      </c>
      <c r="I956" s="3" t="s">
        <v>110</v>
      </c>
      <c r="J956" s="3">
        <v>0.0</v>
      </c>
      <c r="K956" s="3">
        <v>0.0</v>
      </c>
      <c r="L956" s="3">
        <v>0.0</v>
      </c>
      <c r="M956" s="3" t="s">
        <v>204</v>
      </c>
      <c r="N956" s="3">
        <v>33.0</v>
      </c>
      <c r="O956" s="3">
        <v>51.564</v>
      </c>
      <c r="P956" s="3">
        <v>-177.632</v>
      </c>
      <c r="Q956" s="3" t="s">
        <v>620</v>
      </c>
      <c r="R956" s="3" t="s">
        <v>233</v>
      </c>
      <c r="S956" s="3" t="s">
        <v>318</v>
      </c>
      <c r="T956" s="16">
        <f t="shared" si="1"/>
        <v>35226.16875</v>
      </c>
      <c r="U956" s="4" t="b">
        <f t="shared" si="2"/>
        <v>1</v>
      </c>
      <c r="V956" s="4" t="b">
        <f t="shared" si="3"/>
        <v>1</v>
      </c>
      <c r="W956" s="4" t="str">
        <f t="shared" si="8"/>
        <v>Distance/Location</v>
      </c>
      <c r="X956" s="4" t="str">
        <f t="shared" si="4"/>
        <v>mwc</v>
      </c>
      <c r="Y956" s="4">
        <f t="shared" si="5"/>
        <v>1</v>
      </c>
      <c r="Z956" s="4" t="str">
        <f t="shared" si="6"/>
        <v>Unique</v>
      </c>
      <c r="AA956" s="4" t="str">
        <f t="shared" si="7"/>
        <v>Valid</v>
      </c>
    </row>
    <row r="957">
      <c r="A957" s="3" t="s">
        <v>2168</v>
      </c>
      <c r="B957" s="3">
        <v>6.7</v>
      </c>
      <c r="C957" s="17">
        <v>35344.044444444444</v>
      </c>
      <c r="D957" s="3">
        <v>0.0</v>
      </c>
      <c r="E957" s="3">
        <v>4.0</v>
      </c>
      <c r="F957" s="4"/>
      <c r="G957" s="3">
        <v>0.0</v>
      </c>
      <c r="H957" s="3">
        <v>691.0</v>
      </c>
      <c r="I957" s="3" t="s">
        <v>110</v>
      </c>
      <c r="J957" s="3">
        <v>0.0</v>
      </c>
      <c r="K957" s="3">
        <v>0.0</v>
      </c>
      <c r="L957" s="3">
        <v>0.0</v>
      </c>
      <c r="M957" s="3" t="s">
        <v>204</v>
      </c>
      <c r="N957" s="3">
        <v>200.1</v>
      </c>
      <c r="O957" s="3">
        <v>-13.481</v>
      </c>
      <c r="P957" s="3">
        <v>167.13</v>
      </c>
      <c r="Q957" s="3" t="s">
        <v>112</v>
      </c>
      <c r="R957" s="4"/>
      <c r="S957" s="3" t="s">
        <v>113</v>
      </c>
      <c r="T957" s="16">
        <f t="shared" si="1"/>
        <v>35226.04444</v>
      </c>
      <c r="U957" s="4" t="b">
        <f t="shared" si="2"/>
        <v>1</v>
      </c>
      <c r="V957" s="4" t="b">
        <f t="shared" si="3"/>
        <v>1</v>
      </c>
      <c r="W957" s="4" t="str">
        <f t="shared" si="8"/>
        <v>Distance/Location</v>
      </c>
      <c r="X957" s="4" t="str">
        <f t="shared" si="4"/>
        <v>mwc</v>
      </c>
      <c r="Y957" s="4">
        <f t="shared" si="5"/>
        <v>1</v>
      </c>
      <c r="Z957" s="4" t="str">
        <f t="shared" si="6"/>
        <v>Unique</v>
      </c>
      <c r="AA957" s="4" t="str">
        <f t="shared" si="7"/>
        <v>Valid</v>
      </c>
    </row>
    <row r="958">
      <c r="A958" s="3" t="s">
        <v>2169</v>
      </c>
      <c r="B958" s="3">
        <v>7.2</v>
      </c>
      <c r="C958" s="3" t="s">
        <v>2170</v>
      </c>
      <c r="D958" s="3">
        <v>0.0</v>
      </c>
      <c r="E958" s="3">
        <v>6.0</v>
      </c>
      <c r="F958" s="4"/>
      <c r="G958" s="3">
        <v>0.0</v>
      </c>
      <c r="H958" s="3">
        <v>798.0</v>
      </c>
      <c r="I958" s="3" t="s">
        <v>110</v>
      </c>
      <c r="J958" s="3">
        <v>0.0</v>
      </c>
      <c r="K958" s="3">
        <v>0.0</v>
      </c>
      <c r="L958" s="3">
        <v>0.0</v>
      </c>
      <c r="M958" s="3" t="s">
        <v>204</v>
      </c>
      <c r="N958" s="3">
        <v>44.0</v>
      </c>
      <c r="O958" s="3">
        <v>-6.518</v>
      </c>
      <c r="P958" s="3">
        <v>154.999</v>
      </c>
      <c r="Q958" s="3" t="s">
        <v>728</v>
      </c>
      <c r="R958" s="4"/>
      <c r="S958" s="3" t="s">
        <v>168</v>
      </c>
      <c r="T958" s="16">
        <f t="shared" si="1"/>
        <v>35184.61111</v>
      </c>
      <c r="U958" s="4" t="b">
        <f t="shared" si="2"/>
        <v>1</v>
      </c>
      <c r="V958" s="4" t="b">
        <f t="shared" si="3"/>
        <v>0</v>
      </c>
      <c r="W958" s="4" t="str">
        <f t="shared" si="8"/>
        <v>Distance/Location</v>
      </c>
      <c r="X958" s="4" t="str">
        <f t="shared" si="4"/>
        <v>mwc</v>
      </c>
      <c r="Y958" s="4">
        <f t="shared" si="5"/>
        <v>1</v>
      </c>
      <c r="Z958" s="4" t="str">
        <f t="shared" si="6"/>
        <v>Unique</v>
      </c>
      <c r="AA958" s="4" t="str">
        <f t="shared" si="7"/>
        <v>Valid</v>
      </c>
    </row>
    <row r="959">
      <c r="A959" s="3" t="s">
        <v>2171</v>
      </c>
      <c r="B959" s="3">
        <v>6.6</v>
      </c>
      <c r="C959" s="3" t="s">
        <v>2172</v>
      </c>
      <c r="D959" s="3">
        <v>0.0</v>
      </c>
      <c r="E959" s="3">
        <v>7.0</v>
      </c>
      <c r="F959" s="4"/>
      <c r="G959" s="3">
        <v>0.0</v>
      </c>
      <c r="H959" s="3">
        <v>670.0</v>
      </c>
      <c r="I959" s="3" t="s">
        <v>110</v>
      </c>
      <c r="J959" s="3">
        <v>0.0</v>
      </c>
      <c r="K959" s="3">
        <v>0.0</v>
      </c>
      <c r="L959" s="3">
        <v>0.0</v>
      </c>
      <c r="M959" s="3" t="s">
        <v>224</v>
      </c>
      <c r="N959" s="3">
        <v>49.5</v>
      </c>
      <c r="O959" s="3">
        <v>-23.944</v>
      </c>
      <c r="P959" s="3">
        <v>-70.093</v>
      </c>
      <c r="Q959" s="3" t="s">
        <v>1468</v>
      </c>
      <c r="R959" s="3" t="s">
        <v>121</v>
      </c>
      <c r="S959" s="3" t="s">
        <v>414</v>
      </c>
      <c r="T959" s="16">
        <f t="shared" si="1"/>
        <v>35174.01319</v>
      </c>
      <c r="U959" s="4" t="b">
        <f t="shared" si="2"/>
        <v>1</v>
      </c>
      <c r="V959" s="4" t="b">
        <f t="shared" si="3"/>
        <v>0</v>
      </c>
      <c r="W959" s="4" t="str">
        <f t="shared" si="8"/>
        <v>Distance/Location</v>
      </c>
      <c r="X959" s="4" t="str">
        <f t="shared" si="4"/>
        <v>mwb</v>
      </c>
      <c r="Y959" s="4">
        <f t="shared" si="5"/>
        <v>1</v>
      </c>
      <c r="Z959" s="4" t="str">
        <f t="shared" si="6"/>
        <v>Unique</v>
      </c>
      <c r="AA959" s="4" t="str">
        <f t="shared" si="7"/>
        <v>Valid</v>
      </c>
    </row>
    <row r="960">
      <c r="A960" s="3" t="s">
        <v>2173</v>
      </c>
      <c r="B960" s="3">
        <v>6.7</v>
      </c>
      <c r="C960" s="3" t="s">
        <v>2174</v>
      </c>
      <c r="D960" s="3">
        <v>0.0</v>
      </c>
      <c r="E960" s="3">
        <v>5.0</v>
      </c>
      <c r="F960" s="4"/>
      <c r="G960" s="3">
        <v>0.0</v>
      </c>
      <c r="H960" s="3">
        <v>691.0</v>
      </c>
      <c r="I960" s="3" t="s">
        <v>110</v>
      </c>
      <c r="J960" s="3">
        <v>0.0</v>
      </c>
      <c r="K960" s="3">
        <v>0.0</v>
      </c>
      <c r="L960" s="3">
        <v>0.0</v>
      </c>
      <c r="M960" s="3" t="s">
        <v>204</v>
      </c>
      <c r="N960" s="3">
        <v>164.4</v>
      </c>
      <c r="O960" s="3">
        <v>-14.705</v>
      </c>
      <c r="P960" s="3">
        <v>167.297</v>
      </c>
      <c r="Q960" s="3" t="s">
        <v>185</v>
      </c>
      <c r="R960" s="4"/>
      <c r="S960" s="3" t="s">
        <v>113</v>
      </c>
      <c r="T960" s="16">
        <f t="shared" si="1"/>
        <v>35141.61667</v>
      </c>
      <c r="U960" s="4" t="b">
        <f t="shared" si="2"/>
        <v>1</v>
      </c>
      <c r="V960" s="4" t="b">
        <f t="shared" si="3"/>
        <v>0</v>
      </c>
      <c r="W960" s="4" t="str">
        <f t="shared" si="8"/>
        <v>Distance/Location</v>
      </c>
      <c r="X960" s="4" t="str">
        <f t="shared" si="4"/>
        <v>mwc</v>
      </c>
      <c r="Y960" s="4">
        <f t="shared" si="5"/>
        <v>1</v>
      </c>
      <c r="Z960" s="4" t="str">
        <f t="shared" si="6"/>
        <v>Unique</v>
      </c>
      <c r="AA960" s="4" t="str">
        <f t="shared" si="7"/>
        <v>Valid</v>
      </c>
    </row>
    <row r="961">
      <c r="A961" s="3" t="s">
        <v>2175</v>
      </c>
      <c r="B961" s="3">
        <v>6.7</v>
      </c>
      <c r="C961" s="17">
        <v>35127.69236111111</v>
      </c>
      <c r="D961" s="3">
        <v>0.0</v>
      </c>
      <c r="E961" s="3">
        <v>6.0</v>
      </c>
      <c r="F961" s="4"/>
      <c r="G961" s="3">
        <v>0.0</v>
      </c>
      <c r="H961" s="3">
        <v>691.0</v>
      </c>
      <c r="I961" s="3" t="s">
        <v>110</v>
      </c>
      <c r="J961" s="3">
        <v>0.0</v>
      </c>
      <c r="K961" s="3">
        <v>0.0</v>
      </c>
      <c r="L961" s="3">
        <v>0.0</v>
      </c>
      <c r="M961" s="3" t="s">
        <v>204</v>
      </c>
      <c r="N961" s="3">
        <v>33.0</v>
      </c>
      <c r="O961" s="3">
        <v>11.905</v>
      </c>
      <c r="P961" s="3">
        <v>-86.772</v>
      </c>
      <c r="Q961" s="3" t="s">
        <v>2176</v>
      </c>
      <c r="R961" s="4"/>
      <c r="S961" s="3" t="s">
        <v>1015</v>
      </c>
      <c r="T961" s="16">
        <f t="shared" si="1"/>
        <v>35127.69236</v>
      </c>
      <c r="U961" s="4" t="b">
        <f t="shared" si="2"/>
        <v>1</v>
      </c>
      <c r="V961" s="4" t="b">
        <f t="shared" si="3"/>
        <v>1</v>
      </c>
      <c r="W961" s="4" t="str">
        <f t="shared" si="8"/>
        <v>Distance/Location</v>
      </c>
      <c r="X961" s="4" t="str">
        <f t="shared" si="4"/>
        <v>mwc</v>
      </c>
      <c r="Y961" s="4">
        <f t="shared" si="5"/>
        <v>1</v>
      </c>
      <c r="Z961" s="4" t="str">
        <f t="shared" si="6"/>
        <v>Unique</v>
      </c>
      <c r="AA961" s="4" t="str">
        <f t="shared" si="7"/>
        <v>Valid</v>
      </c>
    </row>
    <row r="962">
      <c r="A962" s="3" t="s">
        <v>2177</v>
      </c>
      <c r="B962" s="3">
        <v>6.6</v>
      </c>
      <c r="C962" s="17">
        <v>35127.62152777778</v>
      </c>
      <c r="D962" s="3">
        <v>0.0</v>
      </c>
      <c r="E962" s="3">
        <v>6.0</v>
      </c>
      <c r="F962" s="4"/>
      <c r="G962" s="3">
        <v>0.0</v>
      </c>
      <c r="H962" s="3">
        <v>670.0</v>
      </c>
      <c r="I962" s="3" t="s">
        <v>110</v>
      </c>
      <c r="J962" s="3">
        <v>0.0</v>
      </c>
      <c r="K962" s="3">
        <v>0.0</v>
      </c>
      <c r="L962" s="3">
        <v>0.0</v>
      </c>
      <c r="M962" s="3" t="s">
        <v>204</v>
      </c>
      <c r="N962" s="3">
        <v>33.0</v>
      </c>
      <c r="O962" s="3">
        <v>11.657</v>
      </c>
      <c r="P962" s="3">
        <v>-86.856</v>
      </c>
      <c r="Q962" s="3" t="s">
        <v>271</v>
      </c>
      <c r="R962" s="4"/>
      <c r="S962" s="4"/>
      <c r="T962" s="16">
        <f t="shared" si="1"/>
        <v>35127.62153</v>
      </c>
      <c r="U962" s="4" t="b">
        <f t="shared" si="2"/>
        <v>1</v>
      </c>
      <c r="V962" s="4" t="b">
        <f t="shared" si="3"/>
        <v>1</v>
      </c>
      <c r="W962" s="4" t="str">
        <f t="shared" si="8"/>
        <v>Distance/Location</v>
      </c>
      <c r="X962" s="4" t="str">
        <f t="shared" si="4"/>
        <v>mwc</v>
      </c>
      <c r="Y962" s="4">
        <f t="shared" si="5"/>
        <v>1</v>
      </c>
      <c r="Z962" s="4" t="str">
        <f t="shared" si="6"/>
        <v>Unique</v>
      </c>
      <c r="AA962" s="4" t="str">
        <f t="shared" si="7"/>
        <v>Valid</v>
      </c>
    </row>
    <row r="963">
      <c r="A963" s="3" t="s">
        <v>2178</v>
      </c>
      <c r="B963" s="3">
        <v>7.1</v>
      </c>
      <c r="C963" s="3" t="s">
        <v>2179</v>
      </c>
      <c r="D963" s="3">
        <v>0.0</v>
      </c>
      <c r="E963" s="3">
        <v>7.0</v>
      </c>
      <c r="F963" s="4"/>
      <c r="G963" s="3">
        <v>0.0</v>
      </c>
      <c r="H963" s="3">
        <v>776.0</v>
      </c>
      <c r="I963" s="3" t="s">
        <v>110</v>
      </c>
      <c r="J963" s="3">
        <v>0.0</v>
      </c>
      <c r="K963" s="3">
        <v>0.0</v>
      </c>
      <c r="L963" s="3">
        <v>0.0</v>
      </c>
      <c r="M963" s="3" t="s">
        <v>514</v>
      </c>
      <c r="N963" s="3">
        <v>21.1</v>
      </c>
      <c r="O963" s="3">
        <v>15.978</v>
      </c>
      <c r="P963" s="3">
        <v>-98.07</v>
      </c>
      <c r="Q963" s="3" t="s">
        <v>2180</v>
      </c>
      <c r="R963" s="3" t="s">
        <v>233</v>
      </c>
      <c r="S963" s="3" t="s">
        <v>234</v>
      </c>
      <c r="T963" s="16">
        <f t="shared" si="1"/>
        <v>35120.13056</v>
      </c>
      <c r="U963" s="4" t="b">
        <f t="shared" si="2"/>
        <v>1</v>
      </c>
      <c r="V963" s="4" t="b">
        <f t="shared" si="3"/>
        <v>0</v>
      </c>
      <c r="W963" s="4" t="str">
        <f t="shared" si="8"/>
        <v>Distance/Location</v>
      </c>
      <c r="X963" s="4" t="str">
        <f t="shared" si="4"/>
        <v>mw</v>
      </c>
      <c r="Y963" s="4">
        <f t="shared" si="5"/>
        <v>1</v>
      </c>
      <c r="Z963" s="4" t="str">
        <f t="shared" si="6"/>
        <v>Unique</v>
      </c>
      <c r="AA963" s="4" t="str">
        <f t="shared" si="7"/>
        <v>Valid</v>
      </c>
    </row>
    <row r="964">
      <c r="A964" s="3" t="s">
        <v>2181</v>
      </c>
      <c r="B964" s="3">
        <v>7.5</v>
      </c>
      <c r="C964" s="3" t="s">
        <v>2182</v>
      </c>
      <c r="D964" s="3">
        <v>0.0</v>
      </c>
      <c r="E964" s="3">
        <v>6.0</v>
      </c>
      <c r="F964" s="4"/>
      <c r="G964" s="3">
        <v>0.0</v>
      </c>
      <c r="H964" s="3">
        <v>865.0</v>
      </c>
      <c r="I964" s="3" t="s">
        <v>110</v>
      </c>
      <c r="J964" s="3">
        <v>0.0</v>
      </c>
      <c r="K964" s="3">
        <v>0.0</v>
      </c>
      <c r="L964" s="3">
        <v>0.0</v>
      </c>
      <c r="M964" s="3" t="s">
        <v>514</v>
      </c>
      <c r="N964" s="3">
        <v>10.0</v>
      </c>
      <c r="O964" s="3">
        <v>-9.593</v>
      </c>
      <c r="P964" s="3">
        <v>-79.587</v>
      </c>
      <c r="Q964" s="3" t="s">
        <v>2183</v>
      </c>
      <c r="R964" s="4"/>
      <c r="S964" s="3" t="s">
        <v>265</v>
      </c>
      <c r="T964" s="16">
        <f t="shared" si="1"/>
        <v>35116.53542</v>
      </c>
      <c r="U964" s="4" t="b">
        <f t="shared" si="2"/>
        <v>1</v>
      </c>
      <c r="V964" s="4" t="b">
        <f t="shared" si="3"/>
        <v>0</v>
      </c>
      <c r="W964" s="4" t="str">
        <f t="shared" si="8"/>
        <v>Distance/Location</v>
      </c>
      <c r="X964" s="4" t="str">
        <f t="shared" si="4"/>
        <v>mw</v>
      </c>
      <c r="Y964" s="4">
        <f t="shared" si="5"/>
        <v>1</v>
      </c>
      <c r="Z964" s="4" t="str">
        <f t="shared" si="6"/>
        <v>Unique</v>
      </c>
      <c r="AA964" s="4" t="str">
        <f t="shared" si="7"/>
        <v>Valid</v>
      </c>
    </row>
    <row r="965">
      <c r="A965" s="3" t="s">
        <v>2184</v>
      </c>
      <c r="B965" s="3">
        <v>6.5</v>
      </c>
      <c r="C965" s="3" t="s">
        <v>2185</v>
      </c>
      <c r="D965" s="3">
        <v>0.0</v>
      </c>
      <c r="E965" s="3">
        <v>6.0</v>
      </c>
      <c r="F965" s="4"/>
      <c r="G965" s="3">
        <v>0.0</v>
      </c>
      <c r="H965" s="3">
        <v>650.0</v>
      </c>
      <c r="I965" s="3" t="s">
        <v>110</v>
      </c>
      <c r="J965" s="3">
        <v>0.0</v>
      </c>
      <c r="K965" s="3">
        <v>0.0</v>
      </c>
      <c r="L965" s="3">
        <v>0.0</v>
      </c>
      <c r="M965" s="3" t="s">
        <v>514</v>
      </c>
      <c r="N965" s="3">
        <v>31.9</v>
      </c>
      <c r="O965" s="3">
        <v>-0.917</v>
      </c>
      <c r="P965" s="3">
        <v>136.225</v>
      </c>
      <c r="Q965" s="3" t="s">
        <v>1320</v>
      </c>
      <c r="R965" s="4"/>
      <c r="S965" s="3" t="s">
        <v>153</v>
      </c>
      <c r="T965" s="16">
        <f t="shared" si="1"/>
        <v>35112.84583</v>
      </c>
      <c r="U965" s="4" t="b">
        <f t="shared" si="2"/>
        <v>1</v>
      </c>
      <c r="V965" s="4" t="b">
        <f t="shared" si="3"/>
        <v>0</v>
      </c>
      <c r="W965" s="4" t="str">
        <f t="shared" si="8"/>
        <v>Distance/Location</v>
      </c>
      <c r="X965" s="4" t="str">
        <f t="shared" si="4"/>
        <v>mw</v>
      </c>
      <c r="Y965" s="4">
        <f t="shared" si="5"/>
        <v>1</v>
      </c>
      <c r="Z965" s="4" t="str">
        <f t="shared" si="6"/>
        <v>Unique</v>
      </c>
      <c r="AA965" s="4" t="str">
        <f t="shared" si="7"/>
        <v>Valid</v>
      </c>
    </row>
    <row r="966">
      <c r="A966" s="3" t="s">
        <v>2186</v>
      </c>
      <c r="B966" s="3">
        <v>6.5</v>
      </c>
      <c r="C966" s="3" t="s">
        <v>2187</v>
      </c>
      <c r="D966" s="3">
        <v>0.0</v>
      </c>
      <c r="E966" s="3">
        <v>6.0</v>
      </c>
      <c r="F966" s="4"/>
      <c r="G966" s="3">
        <v>0.0</v>
      </c>
      <c r="H966" s="3">
        <v>650.0</v>
      </c>
      <c r="I966" s="3" t="s">
        <v>110</v>
      </c>
      <c r="J966" s="3">
        <v>0.0</v>
      </c>
      <c r="K966" s="3">
        <v>0.0</v>
      </c>
      <c r="L966" s="3">
        <v>0.0</v>
      </c>
      <c r="M966" s="3" t="s">
        <v>514</v>
      </c>
      <c r="N966" s="3">
        <v>19.2</v>
      </c>
      <c r="O966" s="3">
        <v>-0.567</v>
      </c>
      <c r="P966" s="3">
        <v>135.84</v>
      </c>
      <c r="Q966" s="3" t="s">
        <v>2188</v>
      </c>
      <c r="R966" s="4"/>
      <c r="S966" s="3" t="s">
        <v>153</v>
      </c>
      <c r="T966" s="16">
        <f t="shared" si="1"/>
        <v>35112.59792</v>
      </c>
      <c r="U966" s="4" t="b">
        <f t="shared" si="2"/>
        <v>1</v>
      </c>
      <c r="V966" s="4" t="b">
        <f t="shared" si="3"/>
        <v>0</v>
      </c>
      <c r="W966" s="4" t="str">
        <f t="shared" si="8"/>
        <v>Distance/Location</v>
      </c>
      <c r="X966" s="4" t="str">
        <f t="shared" si="4"/>
        <v>mw</v>
      </c>
      <c r="Y966" s="4">
        <f t="shared" si="5"/>
        <v>1</v>
      </c>
      <c r="Z966" s="4" t="str">
        <f t="shared" si="6"/>
        <v>Unique</v>
      </c>
      <c r="AA966" s="4" t="str">
        <f t="shared" si="7"/>
        <v>Valid</v>
      </c>
    </row>
    <row r="967">
      <c r="A967" s="3" t="s">
        <v>2189</v>
      </c>
      <c r="B967" s="3">
        <v>8.09</v>
      </c>
      <c r="C967" s="3" t="s">
        <v>2190</v>
      </c>
      <c r="D967" s="3">
        <v>0.0</v>
      </c>
      <c r="E967" s="3">
        <v>8.0</v>
      </c>
      <c r="F967" s="4"/>
      <c r="G967" s="3">
        <v>0.0</v>
      </c>
      <c r="H967" s="3">
        <v>1007.0</v>
      </c>
      <c r="I967" s="3" t="s">
        <v>1196</v>
      </c>
      <c r="J967" s="3">
        <v>0.0</v>
      </c>
      <c r="K967" s="3">
        <v>0.0</v>
      </c>
      <c r="L967" s="3">
        <v>0.0</v>
      </c>
      <c r="M967" s="3" t="s">
        <v>111</v>
      </c>
      <c r="N967" s="3">
        <v>33.0</v>
      </c>
      <c r="O967" s="3">
        <v>-0.891</v>
      </c>
      <c r="P967" s="3">
        <v>136.952</v>
      </c>
      <c r="Q967" s="3" t="s">
        <v>1320</v>
      </c>
      <c r="R967" s="4"/>
      <c r="S967" s="4"/>
      <c r="T967" s="16">
        <f t="shared" si="1"/>
        <v>35112.24931</v>
      </c>
      <c r="U967" s="4" t="b">
        <f t="shared" si="2"/>
        <v>1</v>
      </c>
      <c r="V967" s="4" t="b">
        <f t="shared" si="3"/>
        <v>0</v>
      </c>
      <c r="W967" s="4" t="str">
        <f t="shared" si="8"/>
        <v>Distance/Location</v>
      </c>
      <c r="X967" s="4" t="str">
        <f t="shared" si="4"/>
        <v>mww</v>
      </c>
      <c r="Y967" s="4">
        <f t="shared" si="5"/>
        <v>1</v>
      </c>
      <c r="Z967" s="4" t="str">
        <f t="shared" si="6"/>
        <v>Unique</v>
      </c>
      <c r="AA967" s="4" t="str">
        <f t="shared" si="7"/>
        <v>Valid</v>
      </c>
    </row>
    <row r="968">
      <c r="A968" s="3" t="s">
        <v>2191</v>
      </c>
      <c r="B968" s="3">
        <v>6.7</v>
      </c>
      <c r="C968" s="3" t="s">
        <v>2192</v>
      </c>
      <c r="D968" s="3">
        <v>0.0</v>
      </c>
      <c r="E968" s="3">
        <v>4.0</v>
      </c>
      <c r="F968" s="4"/>
      <c r="G968" s="3">
        <v>0.0</v>
      </c>
      <c r="H968" s="3">
        <v>691.0</v>
      </c>
      <c r="I968" s="3" t="s">
        <v>110</v>
      </c>
      <c r="J968" s="3">
        <v>0.0</v>
      </c>
      <c r="K968" s="3">
        <v>0.0</v>
      </c>
      <c r="L968" s="3">
        <v>0.0</v>
      </c>
      <c r="M968" s="3" t="s">
        <v>514</v>
      </c>
      <c r="N968" s="3">
        <v>40.8</v>
      </c>
      <c r="O968" s="3">
        <v>37.353</v>
      </c>
      <c r="P968" s="3">
        <v>142.38</v>
      </c>
      <c r="Q968" s="3" t="s">
        <v>282</v>
      </c>
      <c r="R968" s="4"/>
      <c r="S968" s="4"/>
      <c r="T968" s="16">
        <f t="shared" si="1"/>
        <v>35111.64028</v>
      </c>
      <c r="U968" s="4" t="b">
        <f t="shared" si="2"/>
        <v>1</v>
      </c>
      <c r="V968" s="4" t="b">
        <f t="shared" si="3"/>
        <v>0</v>
      </c>
      <c r="W968" s="4" t="str">
        <f t="shared" si="8"/>
        <v>Distance/Location</v>
      </c>
      <c r="X968" s="4" t="str">
        <f t="shared" si="4"/>
        <v>mw</v>
      </c>
      <c r="Y968" s="4">
        <f t="shared" si="5"/>
        <v>1</v>
      </c>
      <c r="Z968" s="4" t="str">
        <f t="shared" si="6"/>
        <v>Unique</v>
      </c>
      <c r="AA968" s="4" t="str">
        <f t="shared" si="7"/>
        <v>Valid</v>
      </c>
    </row>
    <row r="969">
      <c r="A969" s="3" t="s">
        <v>2193</v>
      </c>
      <c r="B969" s="3">
        <v>7.2</v>
      </c>
      <c r="C969" s="17">
        <v>35248.9</v>
      </c>
      <c r="D969" s="3">
        <v>0.0</v>
      </c>
      <c r="E969" s="3">
        <v>6.0</v>
      </c>
      <c r="F969" s="4"/>
      <c r="G969" s="3">
        <v>0.0</v>
      </c>
      <c r="H969" s="3">
        <v>798.0</v>
      </c>
      <c r="I969" s="3" t="s">
        <v>110</v>
      </c>
      <c r="J969" s="3">
        <v>0.0</v>
      </c>
      <c r="K969" s="3">
        <v>0.0</v>
      </c>
      <c r="L969" s="3">
        <v>0.0</v>
      </c>
      <c r="M969" s="3" t="s">
        <v>514</v>
      </c>
      <c r="N969" s="3">
        <v>42.6</v>
      </c>
      <c r="O969" s="3">
        <v>45.324</v>
      </c>
      <c r="P969" s="3">
        <v>149.892</v>
      </c>
      <c r="Q969" s="3" t="s">
        <v>463</v>
      </c>
      <c r="R969" s="4"/>
      <c r="S969" s="4"/>
      <c r="T969" s="16">
        <f t="shared" si="1"/>
        <v>35102.9</v>
      </c>
      <c r="U969" s="4" t="b">
        <f t="shared" si="2"/>
        <v>1</v>
      </c>
      <c r="V969" s="4" t="b">
        <f t="shared" si="3"/>
        <v>1</v>
      </c>
      <c r="W969" s="4" t="str">
        <f t="shared" si="8"/>
        <v>Distance/Location</v>
      </c>
      <c r="X969" s="4" t="str">
        <f t="shared" si="4"/>
        <v>mw</v>
      </c>
      <c r="Y969" s="4">
        <f t="shared" si="5"/>
        <v>1</v>
      </c>
      <c r="Z969" s="4" t="str">
        <f t="shared" si="6"/>
        <v>Unique</v>
      </c>
      <c r="AA969" s="4" t="str">
        <f t="shared" si="7"/>
        <v>Valid</v>
      </c>
    </row>
    <row r="970">
      <c r="A970" s="3" t="s">
        <v>2194</v>
      </c>
      <c r="B970" s="3">
        <v>6.6</v>
      </c>
      <c r="C970" s="17">
        <v>35126.46805555555</v>
      </c>
      <c r="D970" s="3">
        <v>0.0</v>
      </c>
      <c r="E970" s="3">
        <v>10.0</v>
      </c>
      <c r="F970" s="4"/>
      <c r="G970" s="3">
        <v>0.0</v>
      </c>
      <c r="H970" s="3">
        <v>670.0</v>
      </c>
      <c r="I970" s="3" t="s">
        <v>110</v>
      </c>
      <c r="J970" s="3">
        <v>0.0</v>
      </c>
      <c r="K970" s="3">
        <v>0.0</v>
      </c>
      <c r="L970" s="3">
        <v>0.0</v>
      </c>
      <c r="M970" s="3" t="s">
        <v>514</v>
      </c>
      <c r="N970" s="3">
        <v>11.1</v>
      </c>
      <c r="O970" s="3">
        <v>27.291</v>
      </c>
      <c r="P970" s="3">
        <v>100.276</v>
      </c>
      <c r="Q970" s="3" t="s">
        <v>2195</v>
      </c>
      <c r="R970" s="3" t="s">
        <v>164</v>
      </c>
      <c r="S970" s="3" t="s">
        <v>251</v>
      </c>
      <c r="T970" s="16">
        <f t="shared" si="1"/>
        <v>35098.46806</v>
      </c>
      <c r="U970" s="4" t="b">
        <f t="shared" si="2"/>
        <v>1</v>
      </c>
      <c r="V970" s="4" t="b">
        <f t="shared" si="3"/>
        <v>1</v>
      </c>
      <c r="W970" s="4" t="str">
        <f t="shared" si="8"/>
        <v>Distance/Location</v>
      </c>
      <c r="X970" s="4" t="str">
        <f t="shared" si="4"/>
        <v>mw</v>
      </c>
      <c r="Y970" s="4">
        <f t="shared" si="5"/>
        <v>1</v>
      </c>
      <c r="Z970" s="4" t="str">
        <f t="shared" si="6"/>
        <v>Unique</v>
      </c>
      <c r="AA970" s="4" t="str">
        <f t="shared" si="7"/>
        <v>Valid</v>
      </c>
    </row>
    <row r="971">
      <c r="A971" s="3" t="s">
        <v>2196</v>
      </c>
      <c r="B971" s="3">
        <v>6.6</v>
      </c>
      <c r="C971" s="17">
        <v>35065.41458333333</v>
      </c>
      <c r="D971" s="3">
        <v>0.0</v>
      </c>
      <c r="E971" s="3">
        <v>7.0</v>
      </c>
      <c r="F971" s="4"/>
      <c r="G971" s="3">
        <v>0.0</v>
      </c>
      <c r="H971" s="3">
        <v>670.0</v>
      </c>
      <c r="I971" s="3" t="s">
        <v>110</v>
      </c>
      <c r="J971" s="3">
        <v>0.0</v>
      </c>
      <c r="K971" s="3">
        <v>0.0</v>
      </c>
      <c r="L971" s="3">
        <v>0.0</v>
      </c>
      <c r="M971" s="3" t="s">
        <v>1261</v>
      </c>
      <c r="N971" s="3">
        <v>33.0</v>
      </c>
      <c r="O971" s="3">
        <v>53.826</v>
      </c>
      <c r="P971" s="3">
        <v>159.586</v>
      </c>
      <c r="Q971" s="3" t="s">
        <v>2197</v>
      </c>
      <c r="R971" s="3" t="s">
        <v>164</v>
      </c>
      <c r="S971" s="3" t="s">
        <v>464</v>
      </c>
      <c r="T971" s="16">
        <f t="shared" si="1"/>
        <v>35065.41458</v>
      </c>
      <c r="U971" s="4" t="b">
        <f t="shared" si="2"/>
        <v>1</v>
      </c>
      <c r="V971" s="4" t="b">
        <f t="shared" si="3"/>
        <v>1</v>
      </c>
      <c r="W971" s="4" t="str">
        <f t="shared" si="8"/>
        <v>Distance/Location</v>
      </c>
      <c r="X971" s="4" t="str">
        <f t="shared" si="4"/>
        <v>ms</v>
      </c>
      <c r="Y971" s="4">
        <f t="shared" si="5"/>
        <v>1</v>
      </c>
      <c r="Z971" s="4" t="str">
        <f t="shared" si="6"/>
        <v>Unique</v>
      </c>
      <c r="AA971" s="4" t="str">
        <f t="shared" si="7"/>
        <v>Valid</v>
      </c>
    </row>
    <row r="972">
      <c r="A972" s="3" t="s">
        <v>2198</v>
      </c>
      <c r="B972" s="3">
        <v>7.9</v>
      </c>
      <c r="C972" s="17">
        <v>35065.336805555555</v>
      </c>
      <c r="D972" s="3">
        <v>0.0</v>
      </c>
      <c r="E972" s="3">
        <v>8.0</v>
      </c>
      <c r="F972" s="4"/>
      <c r="G972" s="3">
        <v>0.0</v>
      </c>
      <c r="H972" s="3">
        <v>960.0</v>
      </c>
      <c r="I972" s="3" t="s">
        <v>110</v>
      </c>
      <c r="J972" s="3">
        <v>0.0</v>
      </c>
      <c r="K972" s="3">
        <v>0.0</v>
      </c>
      <c r="L972" s="3">
        <v>0.0</v>
      </c>
      <c r="M972" s="3" t="s">
        <v>514</v>
      </c>
      <c r="N972" s="3">
        <v>24.0</v>
      </c>
      <c r="O972" s="3">
        <v>0.729</v>
      </c>
      <c r="P972" s="3">
        <v>119.931</v>
      </c>
      <c r="Q972" s="3" t="s">
        <v>590</v>
      </c>
      <c r="R972" s="4"/>
      <c r="S972" s="3" t="s">
        <v>153</v>
      </c>
      <c r="T972" s="16">
        <f t="shared" si="1"/>
        <v>35065.33681</v>
      </c>
      <c r="U972" s="4" t="b">
        <f t="shared" si="2"/>
        <v>1</v>
      </c>
      <c r="V972" s="4" t="b">
        <f t="shared" si="3"/>
        <v>1</v>
      </c>
      <c r="W972" s="4" t="str">
        <f t="shared" si="8"/>
        <v>Distance/Location</v>
      </c>
      <c r="X972" s="4" t="str">
        <f t="shared" si="4"/>
        <v>mw</v>
      </c>
      <c r="Y972" s="4">
        <f t="shared" si="5"/>
        <v>1</v>
      </c>
      <c r="Z972" s="4" t="str">
        <f t="shared" si="6"/>
        <v>Unique</v>
      </c>
      <c r="AA972" s="4" t="str">
        <f t="shared" si="7"/>
        <v>Valid</v>
      </c>
    </row>
    <row r="973">
      <c r="A973" s="3" t="s">
        <v>2199</v>
      </c>
      <c r="B973" s="3">
        <v>7.1</v>
      </c>
      <c r="C973" s="3" t="s">
        <v>2200</v>
      </c>
      <c r="D973" s="3">
        <v>0.0</v>
      </c>
      <c r="E973" s="3">
        <v>6.0</v>
      </c>
      <c r="F973" s="4"/>
      <c r="G973" s="3">
        <v>0.0</v>
      </c>
      <c r="H973" s="3">
        <v>776.0</v>
      </c>
      <c r="I973" s="3" t="s">
        <v>110</v>
      </c>
      <c r="J973" s="3">
        <v>0.0</v>
      </c>
      <c r="K973" s="3">
        <v>0.0</v>
      </c>
      <c r="L973" s="3">
        <v>0.0</v>
      </c>
      <c r="M973" s="3" t="s">
        <v>514</v>
      </c>
      <c r="N973" s="3">
        <v>141.9</v>
      </c>
      <c r="O973" s="3">
        <v>-6.903</v>
      </c>
      <c r="P973" s="3">
        <v>129.151</v>
      </c>
      <c r="Q973" s="3" t="s">
        <v>307</v>
      </c>
      <c r="R973" s="4"/>
      <c r="S973" s="3" t="s">
        <v>153</v>
      </c>
      <c r="T973" s="16">
        <f t="shared" si="1"/>
        <v>35058.19653</v>
      </c>
      <c r="U973" s="4" t="b">
        <f t="shared" si="2"/>
        <v>1</v>
      </c>
      <c r="V973" s="4" t="b">
        <f t="shared" si="3"/>
        <v>0</v>
      </c>
      <c r="W973" s="4" t="str">
        <f t="shared" si="8"/>
        <v>Distance/Location</v>
      </c>
      <c r="X973" s="4" t="str">
        <f t="shared" si="4"/>
        <v>mw</v>
      </c>
      <c r="Y973" s="4">
        <f t="shared" si="5"/>
        <v>1</v>
      </c>
      <c r="Z973" s="4" t="str">
        <f t="shared" si="6"/>
        <v>Unique</v>
      </c>
      <c r="AA973" s="4" t="str">
        <f t="shared" si="7"/>
        <v>Valid</v>
      </c>
    </row>
    <row r="974">
      <c r="A974" s="3" t="s">
        <v>2201</v>
      </c>
      <c r="B974" s="3">
        <v>6.5</v>
      </c>
      <c r="C974" s="3" t="s">
        <v>2202</v>
      </c>
      <c r="D974" s="3">
        <v>0.0</v>
      </c>
      <c r="E974" s="3">
        <v>6.0</v>
      </c>
      <c r="F974" s="4"/>
      <c r="G974" s="3">
        <v>0.0</v>
      </c>
      <c r="H974" s="3">
        <v>650.0</v>
      </c>
      <c r="I974" s="3" t="s">
        <v>110</v>
      </c>
      <c r="J974" s="3">
        <v>0.0</v>
      </c>
      <c r="K974" s="3">
        <v>0.0</v>
      </c>
      <c r="L974" s="3">
        <v>0.0</v>
      </c>
      <c r="M974" s="3" t="s">
        <v>224</v>
      </c>
      <c r="N974" s="3">
        <v>63.4</v>
      </c>
      <c r="O974" s="3">
        <v>-3.703</v>
      </c>
      <c r="P974" s="3">
        <v>140.233</v>
      </c>
      <c r="Q974" s="3" t="s">
        <v>892</v>
      </c>
      <c r="R974" s="4"/>
      <c r="S974" s="3" t="s">
        <v>153</v>
      </c>
      <c r="T974" s="16">
        <f t="shared" si="1"/>
        <v>35052.97778</v>
      </c>
      <c r="U974" s="4" t="b">
        <f t="shared" si="2"/>
        <v>1</v>
      </c>
      <c r="V974" s="4" t="b">
        <f t="shared" si="3"/>
        <v>0</v>
      </c>
      <c r="W974" s="4" t="str">
        <f t="shared" si="8"/>
        <v>Distance/Location</v>
      </c>
      <c r="X974" s="4" t="str">
        <f t="shared" si="4"/>
        <v>mwb</v>
      </c>
      <c r="Y974" s="4">
        <f t="shared" si="5"/>
        <v>1</v>
      </c>
      <c r="Z974" s="4" t="str">
        <f t="shared" si="6"/>
        <v>Unique</v>
      </c>
      <c r="AA974" s="4" t="str">
        <f t="shared" si="7"/>
        <v>Valid</v>
      </c>
    </row>
    <row r="975">
      <c r="A975" s="3" t="s">
        <v>2203</v>
      </c>
      <c r="B975" s="3">
        <v>7.9</v>
      </c>
      <c r="C975" s="17">
        <v>34770.75069444445</v>
      </c>
      <c r="D975" s="3">
        <v>0.0</v>
      </c>
      <c r="E975" s="3">
        <v>6.0</v>
      </c>
      <c r="F975" s="4"/>
      <c r="G975" s="3">
        <v>0.0</v>
      </c>
      <c r="H975" s="3">
        <v>960.0</v>
      </c>
      <c r="I975" s="3" t="s">
        <v>110</v>
      </c>
      <c r="J975" s="3">
        <v>0.0</v>
      </c>
      <c r="K975" s="3">
        <v>0.0</v>
      </c>
      <c r="L975" s="3">
        <v>0.0</v>
      </c>
      <c r="M975" s="3" t="s">
        <v>514</v>
      </c>
      <c r="N975" s="3">
        <v>33.0</v>
      </c>
      <c r="O975" s="3">
        <v>44.663</v>
      </c>
      <c r="P975" s="3">
        <v>149.3</v>
      </c>
      <c r="Q975" s="3" t="s">
        <v>463</v>
      </c>
      <c r="R975" s="4"/>
      <c r="S975" s="4"/>
      <c r="T975" s="16">
        <f t="shared" si="1"/>
        <v>35036.75069</v>
      </c>
      <c r="U975" s="4" t="b">
        <f t="shared" si="2"/>
        <v>1</v>
      </c>
      <c r="V975" s="4" t="b">
        <f t="shared" si="3"/>
        <v>1</v>
      </c>
      <c r="W975" s="4" t="str">
        <f t="shared" si="8"/>
        <v>Distance/Location</v>
      </c>
      <c r="X975" s="4" t="str">
        <f t="shared" si="4"/>
        <v>mw</v>
      </c>
      <c r="Y975" s="4">
        <f t="shared" si="5"/>
        <v>1</v>
      </c>
      <c r="Z975" s="4" t="str">
        <f t="shared" si="6"/>
        <v>Unique</v>
      </c>
      <c r="AA975" s="4" t="str">
        <f t="shared" si="7"/>
        <v>Valid</v>
      </c>
    </row>
    <row r="976">
      <c r="A976" s="3" t="s">
        <v>2204</v>
      </c>
      <c r="B976" s="3">
        <v>7.2</v>
      </c>
      <c r="C976" s="3" t="s">
        <v>2205</v>
      </c>
      <c r="D976" s="3">
        <v>0.0</v>
      </c>
      <c r="E976" s="3">
        <v>9.0</v>
      </c>
      <c r="F976" s="4"/>
      <c r="G976" s="3">
        <v>0.0</v>
      </c>
      <c r="H976" s="3">
        <v>798.0</v>
      </c>
      <c r="I976" s="3" t="s">
        <v>110</v>
      </c>
      <c r="J976" s="3">
        <v>0.0</v>
      </c>
      <c r="K976" s="3">
        <v>0.0</v>
      </c>
      <c r="L976" s="3">
        <v>0.0</v>
      </c>
      <c r="M976" s="3" t="s">
        <v>514</v>
      </c>
      <c r="N976" s="3">
        <v>10.0</v>
      </c>
      <c r="O976" s="3">
        <v>28.826</v>
      </c>
      <c r="P976" s="3">
        <v>34.799</v>
      </c>
      <c r="Q976" s="3" t="s">
        <v>2206</v>
      </c>
      <c r="R976" s="3" t="s">
        <v>164</v>
      </c>
      <c r="S976" s="3" t="s">
        <v>2207</v>
      </c>
      <c r="T976" s="16">
        <f t="shared" si="1"/>
        <v>35025.17708</v>
      </c>
      <c r="U976" s="4" t="b">
        <f t="shared" si="2"/>
        <v>1</v>
      </c>
      <c r="V976" s="4" t="b">
        <f t="shared" si="3"/>
        <v>0</v>
      </c>
      <c r="W976" s="4" t="str">
        <f t="shared" si="8"/>
        <v>Distance/Location</v>
      </c>
      <c r="X976" s="4" t="str">
        <f t="shared" si="4"/>
        <v>mw</v>
      </c>
      <c r="Y976" s="4">
        <f t="shared" si="5"/>
        <v>1</v>
      </c>
      <c r="Z976" s="4" t="str">
        <f t="shared" si="6"/>
        <v>Unique</v>
      </c>
      <c r="AA976" s="4" t="str">
        <f t="shared" si="7"/>
        <v>Valid</v>
      </c>
    </row>
    <row r="977">
      <c r="A977" s="3" t="s">
        <v>2208</v>
      </c>
      <c r="B977" s="3">
        <v>6.7</v>
      </c>
      <c r="C977" s="17">
        <v>34710.024305555555</v>
      </c>
      <c r="D977" s="3">
        <v>0.0</v>
      </c>
      <c r="E977" s="3">
        <v>7.0</v>
      </c>
      <c r="F977" s="4"/>
      <c r="G977" s="3">
        <v>0.0</v>
      </c>
      <c r="H977" s="3">
        <v>691.0</v>
      </c>
      <c r="I977" s="3" t="s">
        <v>110</v>
      </c>
      <c r="J977" s="3">
        <v>0.0</v>
      </c>
      <c r="K977" s="3">
        <v>0.0</v>
      </c>
      <c r="L977" s="3">
        <v>0.0</v>
      </c>
      <c r="M977" s="3" t="s">
        <v>514</v>
      </c>
      <c r="N977" s="3">
        <v>19.9</v>
      </c>
      <c r="O977" s="3">
        <v>-28.906</v>
      </c>
      <c r="P977" s="3">
        <v>-71.417</v>
      </c>
      <c r="Q977" s="3" t="s">
        <v>412</v>
      </c>
      <c r="R977" s="4"/>
      <c r="S977" s="3" t="s">
        <v>414</v>
      </c>
      <c r="T977" s="16">
        <f t="shared" si="1"/>
        <v>35004.02431</v>
      </c>
      <c r="U977" s="4" t="b">
        <f t="shared" si="2"/>
        <v>1</v>
      </c>
      <c r="V977" s="4" t="b">
        <f t="shared" si="3"/>
        <v>1</v>
      </c>
      <c r="W977" s="4" t="str">
        <f t="shared" si="8"/>
        <v>Distance/Location</v>
      </c>
      <c r="X977" s="4" t="str">
        <f t="shared" si="4"/>
        <v>mw</v>
      </c>
      <c r="Y977" s="4">
        <f t="shared" si="5"/>
        <v>1</v>
      </c>
      <c r="Z977" s="4" t="str">
        <f t="shared" si="6"/>
        <v>Unique</v>
      </c>
      <c r="AA977" s="4" t="str">
        <f t="shared" si="7"/>
        <v>Valid</v>
      </c>
    </row>
    <row r="978">
      <c r="A978" s="3" t="s">
        <v>2209</v>
      </c>
      <c r="B978" s="3">
        <v>7.2</v>
      </c>
      <c r="C978" s="3" t="s">
        <v>2210</v>
      </c>
      <c r="D978" s="3">
        <v>0.0</v>
      </c>
      <c r="E978" s="3">
        <v>6.0</v>
      </c>
      <c r="F978" s="4"/>
      <c r="G978" s="3">
        <v>0.0</v>
      </c>
      <c r="H978" s="3">
        <v>798.0</v>
      </c>
      <c r="I978" s="3" t="s">
        <v>110</v>
      </c>
      <c r="J978" s="3">
        <v>0.0</v>
      </c>
      <c r="K978" s="3">
        <v>0.0</v>
      </c>
      <c r="L978" s="3">
        <v>0.0</v>
      </c>
      <c r="M978" s="3" t="s">
        <v>514</v>
      </c>
      <c r="N978" s="3">
        <v>159.3</v>
      </c>
      <c r="O978" s="3">
        <v>16.84</v>
      </c>
      <c r="P978" s="3">
        <v>-93.469</v>
      </c>
      <c r="Q978" s="3" t="s">
        <v>2211</v>
      </c>
      <c r="R978" s="4"/>
      <c r="S978" s="3" t="s">
        <v>234</v>
      </c>
      <c r="T978" s="16">
        <f t="shared" si="1"/>
        <v>34993.10972</v>
      </c>
      <c r="U978" s="4" t="b">
        <f t="shared" si="2"/>
        <v>1</v>
      </c>
      <c r="V978" s="4" t="b">
        <f t="shared" si="3"/>
        <v>0</v>
      </c>
      <c r="W978" s="4" t="str">
        <f t="shared" si="8"/>
        <v>Distance/Location</v>
      </c>
      <c r="X978" s="4" t="str">
        <f t="shared" si="4"/>
        <v>mw</v>
      </c>
      <c r="Y978" s="4">
        <f t="shared" si="5"/>
        <v>1</v>
      </c>
      <c r="Z978" s="4" t="str">
        <f t="shared" si="6"/>
        <v>Unique</v>
      </c>
      <c r="AA978" s="4" t="str">
        <f t="shared" si="7"/>
        <v>Valid</v>
      </c>
    </row>
    <row r="979">
      <c r="A979" s="3" t="s">
        <v>2212</v>
      </c>
      <c r="B979" s="3">
        <v>6.8</v>
      </c>
      <c r="C979" s="3" t="s">
        <v>2213</v>
      </c>
      <c r="D979" s="3">
        <v>0.0</v>
      </c>
      <c r="E979" s="3">
        <v>6.0</v>
      </c>
      <c r="F979" s="4"/>
      <c r="G979" s="3">
        <v>0.0</v>
      </c>
      <c r="H979" s="3">
        <v>711.0</v>
      </c>
      <c r="I979" s="3" t="s">
        <v>110</v>
      </c>
      <c r="J979" s="3">
        <v>0.0</v>
      </c>
      <c r="K979" s="3">
        <v>0.0</v>
      </c>
      <c r="L979" s="3">
        <v>0.0</v>
      </c>
      <c r="M979" s="3" t="s">
        <v>514</v>
      </c>
      <c r="N979" s="3">
        <v>19.7</v>
      </c>
      <c r="O979" s="3">
        <v>28.094</v>
      </c>
      <c r="P979" s="3">
        <v>130.148</v>
      </c>
      <c r="Q979" s="3" t="s">
        <v>441</v>
      </c>
      <c r="R979" s="4"/>
      <c r="S979" s="4"/>
      <c r="T979" s="16">
        <f t="shared" si="1"/>
        <v>34991.11181</v>
      </c>
      <c r="U979" s="4" t="b">
        <f t="shared" si="2"/>
        <v>1</v>
      </c>
      <c r="V979" s="4" t="b">
        <f t="shared" si="3"/>
        <v>0</v>
      </c>
      <c r="W979" s="4" t="str">
        <f t="shared" si="8"/>
        <v>Distance/Location</v>
      </c>
      <c r="X979" s="4" t="str">
        <f t="shared" si="4"/>
        <v>mw</v>
      </c>
      <c r="Y979" s="4">
        <f t="shared" si="5"/>
        <v>1</v>
      </c>
      <c r="Z979" s="4" t="str">
        <f t="shared" si="6"/>
        <v>Unique</v>
      </c>
      <c r="AA979" s="4" t="str">
        <f t="shared" si="7"/>
        <v>Valid</v>
      </c>
    </row>
    <row r="980">
      <c r="A980" s="3" t="s">
        <v>2214</v>
      </c>
      <c r="B980" s="3">
        <v>7.1</v>
      </c>
      <c r="C980" s="3" t="s">
        <v>2215</v>
      </c>
      <c r="D980" s="3">
        <v>0.0</v>
      </c>
      <c r="E980" s="3">
        <v>6.0</v>
      </c>
      <c r="F980" s="4"/>
      <c r="G980" s="3">
        <v>0.0</v>
      </c>
      <c r="H980" s="3">
        <v>776.0</v>
      </c>
      <c r="I980" s="3" t="s">
        <v>110</v>
      </c>
      <c r="J980" s="3">
        <v>0.0</v>
      </c>
      <c r="K980" s="3">
        <v>0.0</v>
      </c>
      <c r="L980" s="3">
        <v>0.0</v>
      </c>
      <c r="M980" s="3" t="s">
        <v>514</v>
      </c>
      <c r="N980" s="3">
        <v>28.4</v>
      </c>
      <c r="O980" s="3">
        <v>27.929</v>
      </c>
      <c r="P980" s="3">
        <v>130.175</v>
      </c>
      <c r="Q980" s="3" t="s">
        <v>441</v>
      </c>
      <c r="R980" s="4"/>
      <c r="S980" s="4"/>
      <c r="T980" s="16">
        <f t="shared" si="1"/>
        <v>34990.44236</v>
      </c>
      <c r="U980" s="4" t="b">
        <f t="shared" si="2"/>
        <v>1</v>
      </c>
      <c r="V980" s="4" t="b">
        <f t="shared" si="3"/>
        <v>0</v>
      </c>
      <c r="W980" s="4" t="str">
        <f t="shared" si="8"/>
        <v>Distance/Location</v>
      </c>
      <c r="X980" s="4" t="str">
        <f t="shared" si="4"/>
        <v>mw</v>
      </c>
      <c r="Y980" s="4">
        <f t="shared" si="5"/>
        <v>1</v>
      </c>
      <c r="Z980" s="4" t="str">
        <f t="shared" si="6"/>
        <v>Unique</v>
      </c>
      <c r="AA980" s="4" t="str">
        <f t="shared" si="7"/>
        <v>Valid</v>
      </c>
    </row>
    <row r="981">
      <c r="A981" s="3" t="s">
        <v>2216</v>
      </c>
      <c r="B981" s="3">
        <v>8.0</v>
      </c>
      <c r="C981" s="17">
        <v>34952.649305555555</v>
      </c>
      <c r="D981" s="3">
        <v>0.0</v>
      </c>
      <c r="E981" s="3">
        <v>8.0</v>
      </c>
      <c r="F981" s="4"/>
      <c r="G981" s="3">
        <v>0.0</v>
      </c>
      <c r="H981" s="3">
        <v>985.0</v>
      </c>
      <c r="I981" s="3" t="s">
        <v>110</v>
      </c>
      <c r="J981" s="3">
        <v>0.0</v>
      </c>
      <c r="K981" s="3">
        <v>0.0</v>
      </c>
      <c r="L981" s="3">
        <v>0.0</v>
      </c>
      <c r="M981" s="3" t="s">
        <v>514</v>
      </c>
      <c r="N981" s="3">
        <v>33.0</v>
      </c>
      <c r="O981" s="3">
        <v>19.055</v>
      </c>
      <c r="P981" s="3">
        <v>-104.205</v>
      </c>
      <c r="Q981" s="3" t="s">
        <v>2217</v>
      </c>
      <c r="R981" s="3" t="s">
        <v>233</v>
      </c>
      <c r="S981" s="3" t="s">
        <v>234</v>
      </c>
      <c r="T981" s="16">
        <f t="shared" si="1"/>
        <v>34981.64931</v>
      </c>
      <c r="U981" s="4" t="b">
        <f t="shared" si="2"/>
        <v>1</v>
      </c>
      <c r="V981" s="4" t="b">
        <f t="shared" si="3"/>
        <v>1</v>
      </c>
      <c r="W981" s="4" t="str">
        <f t="shared" si="8"/>
        <v>Distance/Location</v>
      </c>
      <c r="X981" s="4" t="str">
        <f t="shared" si="4"/>
        <v>mw</v>
      </c>
      <c r="Y981" s="4">
        <f t="shared" si="5"/>
        <v>1</v>
      </c>
      <c r="Z981" s="4" t="str">
        <f t="shared" si="6"/>
        <v>Unique</v>
      </c>
      <c r="AA981" s="4" t="str">
        <f t="shared" si="7"/>
        <v>Valid</v>
      </c>
    </row>
    <row r="982">
      <c r="A982" s="3" t="s">
        <v>2218</v>
      </c>
      <c r="B982" s="3">
        <v>6.8</v>
      </c>
      <c r="C982" s="17">
        <v>34860.75625</v>
      </c>
      <c r="D982" s="3">
        <v>0.0</v>
      </c>
      <c r="E982" s="3">
        <v>7.0</v>
      </c>
      <c r="F982" s="4"/>
      <c r="G982" s="3">
        <v>0.0</v>
      </c>
      <c r="H982" s="3">
        <v>711.0</v>
      </c>
      <c r="I982" s="3" t="s">
        <v>110</v>
      </c>
      <c r="J982" s="3">
        <v>0.0</v>
      </c>
      <c r="K982" s="3">
        <v>0.0</v>
      </c>
      <c r="L982" s="3">
        <v>0.0</v>
      </c>
      <c r="M982" s="3" t="s">
        <v>514</v>
      </c>
      <c r="N982" s="3">
        <v>33.0</v>
      </c>
      <c r="O982" s="3">
        <v>-2.045</v>
      </c>
      <c r="P982" s="3">
        <v>101.436</v>
      </c>
      <c r="Q982" s="3" t="s">
        <v>791</v>
      </c>
      <c r="R982" s="4"/>
      <c r="S982" s="3" t="s">
        <v>153</v>
      </c>
      <c r="T982" s="16">
        <f t="shared" si="1"/>
        <v>34978.75625</v>
      </c>
      <c r="U982" s="4" t="b">
        <f t="shared" si="2"/>
        <v>1</v>
      </c>
      <c r="V982" s="4" t="b">
        <f t="shared" si="3"/>
        <v>1</v>
      </c>
      <c r="W982" s="4" t="str">
        <f t="shared" si="8"/>
        <v>Distance/Location</v>
      </c>
      <c r="X982" s="4" t="str">
        <f t="shared" si="4"/>
        <v>mw</v>
      </c>
      <c r="Y982" s="4">
        <f t="shared" si="5"/>
        <v>1</v>
      </c>
      <c r="Z982" s="4" t="str">
        <f t="shared" si="6"/>
        <v>Unique</v>
      </c>
      <c r="AA982" s="4" t="str">
        <f t="shared" si="7"/>
        <v>Valid</v>
      </c>
    </row>
    <row r="983">
      <c r="A983" s="3" t="s">
        <v>2219</v>
      </c>
      <c r="B983" s="3">
        <v>6.5</v>
      </c>
      <c r="C983" s="17">
        <v>34768.53055555555</v>
      </c>
      <c r="D983" s="3">
        <v>0.0</v>
      </c>
      <c r="E983" s="3">
        <v>7.0</v>
      </c>
      <c r="F983" s="4"/>
      <c r="G983" s="3">
        <v>0.0</v>
      </c>
      <c r="H983" s="3">
        <v>650.0</v>
      </c>
      <c r="I983" s="3" t="s">
        <v>110</v>
      </c>
      <c r="J983" s="3">
        <v>0.0</v>
      </c>
      <c r="K983" s="3">
        <v>0.0</v>
      </c>
      <c r="L983" s="3">
        <v>0.0</v>
      </c>
      <c r="M983" s="3" t="s">
        <v>514</v>
      </c>
      <c r="N983" s="3">
        <v>16.7</v>
      </c>
      <c r="O983" s="3">
        <v>-2.778</v>
      </c>
      <c r="P983" s="3">
        <v>-77.851</v>
      </c>
      <c r="Q983" s="3" t="s">
        <v>2220</v>
      </c>
      <c r="R983" s="3" t="s">
        <v>121</v>
      </c>
      <c r="S983" s="3" t="s">
        <v>179</v>
      </c>
      <c r="T983" s="16">
        <f t="shared" si="1"/>
        <v>34975.53056</v>
      </c>
      <c r="U983" s="4" t="b">
        <f t="shared" si="2"/>
        <v>1</v>
      </c>
      <c r="V983" s="4" t="b">
        <f t="shared" si="3"/>
        <v>1</v>
      </c>
      <c r="W983" s="4" t="str">
        <f t="shared" si="8"/>
        <v>Distance/Location</v>
      </c>
      <c r="X983" s="4" t="str">
        <f t="shared" si="4"/>
        <v>mw</v>
      </c>
      <c r="Y983" s="4">
        <f t="shared" si="5"/>
        <v>1</v>
      </c>
      <c r="Z983" s="4" t="str">
        <f t="shared" si="6"/>
        <v>Unique</v>
      </c>
      <c r="AA983" s="4" t="str">
        <f t="shared" si="7"/>
        <v>Valid</v>
      </c>
    </row>
    <row r="984">
      <c r="A984" s="3" t="s">
        <v>2221</v>
      </c>
      <c r="B984" s="3">
        <v>7.0</v>
      </c>
      <c r="C984" s="17">
        <v>34768.07708333333</v>
      </c>
      <c r="D984" s="3">
        <v>0.0</v>
      </c>
      <c r="E984" s="3">
        <v>7.0</v>
      </c>
      <c r="F984" s="4"/>
      <c r="G984" s="3">
        <v>0.0</v>
      </c>
      <c r="H984" s="3">
        <v>754.0</v>
      </c>
      <c r="I984" s="3" t="s">
        <v>110</v>
      </c>
      <c r="J984" s="3">
        <v>0.0</v>
      </c>
      <c r="K984" s="3">
        <v>0.0</v>
      </c>
      <c r="L984" s="3">
        <v>0.0</v>
      </c>
      <c r="M984" s="3" t="s">
        <v>514</v>
      </c>
      <c r="N984" s="3">
        <v>24.4</v>
      </c>
      <c r="O984" s="3">
        <v>-2.75</v>
      </c>
      <c r="P984" s="3">
        <v>-77.881</v>
      </c>
      <c r="Q984" s="3" t="s">
        <v>2220</v>
      </c>
      <c r="R984" s="3" t="s">
        <v>121</v>
      </c>
      <c r="S984" s="3" t="s">
        <v>179</v>
      </c>
      <c r="T984" s="16">
        <f t="shared" si="1"/>
        <v>34975.07708</v>
      </c>
      <c r="U984" s="4" t="b">
        <f t="shared" si="2"/>
        <v>1</v>
      </c>
      <c r="V984" s="4" t="b">
        <f t="shared" si="3"/>
        <v>1</v>
      </c>
      <c r="W984" s="4" t="str">
        <f t="shared" si="8"/>
        <v>Distance/Location</v>
      </c>
      <c r="X984" s="4" t="str">
        <f t="shared" si="4"/>
        <v>mw</v>
      </c>
      <c r="Y984" s="4">
        <f t="shared" si="5"/>
        <v>1</v>
      </c>
      <c r="Z984" s="4" t="str">
        <f t="shared" si="6"/>
        <v>Unique</v>
      </c>
      <c r="AA984" s="4" t="str">
        <f t="shared" si="7"/>
        <v>Valid</v>
      </c>
    </row>
    <row r="985">
      <c r="A985" s="3" t="s">
        <v>2222</v>
      </c>
      <c r="B985" s="3">
        <v>6.5</v>
      </c>
      <c r="C985" s="3" t="s">
        <v>2223</v>
      </c>
      <c r="D985" s="3">
        <v>0.0</v>
      </c>
      <c r="E985" s="3">
        <v>5.0</v>
      </c>
      <c r="F985" s="4"/>
      <c r="G985" s="3">
        <v>0.0</v>
      </c>
      <c r="H985" s="3">
        <v>650.0</v>
      </c>
      <c r="I985" s="3" t="s">
        <v>110</v>
      </c>
      <c r="J985" s="3">
        <v>0.0</v>
      </c>
      <c r="K985" s="3">
        <v>0.0</v>
      </c>
      <c r="L985" s="3">
        <v>0.0</v>
      </c>
      <c r="M985" s="3" t="s">
        <v>224</v>
      </c>
      <c r="N985" s="3">
        <v>59.9</v>
      </c>
      <c r="O985" s="3">
        <v>-10.68</v>
      </c>
      <c r="P985" s="3">
        <v>-78.581</v>
      </c>
      <c r="Q985" s="3" t="s">
        <v>2224</v>
      </c>
      <c r="R985" s="4"/>
      <c r="S985" s="3" t="s">
        <v>265</v>
      </c>
      <c r="T985" s="16">
        <f t="shared" si="1"/>
        <v>34965.93819</v>
      </c>
      <c r="U985" s="4" t="b">
        <f t="shared" si="2"/>
        <v>1</v>
      </c>
      <c r="V985" s="4" t="b">
        <f t="shared" si="3"/>
        <v>0</v>
      </c>
      <c r="W985" s="4" t="str">
        <f t="shared" si="8"/>
        <v>Distance/Location</v>
      </c>
      <c r="X985" s="4" t="str">
        <f t="shared" si="4"/>
        <v>mwb</v>
      </c>
      <c r="Y985" s="4">
        <f t="shared" si="5"/>
        <v>1</v>
      </c>
      <c r="Z985" s="4" t="str">
        <f t="shared" si="6"/>
        <v>Unique</v>
      </c>
      <c r="AA985" s="4" t="str">
        <f t="shared" si="7"/>
        <v>Valid</v>
      </c>
    </row>
    <row r="986">
      <c r="A986" s="3" t="s">
        <v>2225</v>
      </c>
      <c r="B986" s="3">
        <v>7.4</v>
      </c>
      <c r="C986" s="3" t="s">
        <v>2226</v>
      </c>
      <c r="D986" s="3">
        <v>0.0</v>
      </c>
      <c r="E986" s="3">
        <v>7.0</v>
      </c>
      <c r="F986" s="4"/>
      <c r="G986" s="3">
        <v>0.0</v>
      </c>
      <c r="H986" s="3">
        <v>842.0</v>
      </c>
      <c r="I986" s="3" t="s">
        <v>110</v>
      </c>
      <c r="J986" s="3">
        <v>0.0</v>
      </c>
      <c r="K986" s="3">
        <v>0.0</v>
      </c>
      <c r="L986" s="3">
        <v>0.0</v>
      </c>
      <c r="M986" s="3" t="s">
        <v>224</v>
      </c>
      <c r="N986" s="3">
        <v>23.0</v>
      </c>
      <c r="O986" s="3">
        <v>16.779</v>
      </c>
      <c r="P986" s="3">
        <v>-98.597</v>
      </c>
      <c r="Q986" s="3" t="s">
        <v>2227</v>
      </c>
      <c r="R986" s="3" t="s">
        <v>233</v>
      </c>
      <c r="S986" s="3" t="s">
        <v>234</v>
      </c>
      <c r="T986" s="16">
        <f t="shared" si="1"/>
        <v>34956.58611</v>
      </c>
      <c r="U986" s="4" t="b">
        <f t="shared" si="2"/>
        <v>1</v>
      </c>
      <c r="V986" s="4" t="b">
        <f t="shared" si="3"/>
        <v>0</v>
      </c>
      <c r="W986" s="4" t="str">
        <f t="shared" si="8"/>
        <v>Distance/Location</v>
      </c>
      <c r="X986" s="4" t="str">
        <f t="shared" si="4"/>
        <v>mwb</v>
      </c>
      <c r="Y986" s="4">
        <f t="shared" si="5"/>
        <v>1</v>
      </c>
      <c r="Z986" s="4" t="str">
        <f t="shared" si="6"/>
        <v>Unique</v>
      </c>
      <c r="AA986" s="4" t="str">
        <f t="shared" si="7"/>
        <v>Valid</v>
      </c>
    </row>
    <row r="987">
      <c r="A987" s="3" t="s">
        <v>2228</v>
      </c>
      <c r="B987" s="3">
        <v>6.6</v>
      </c>
      <c r="C987" s="3" t="s">
        <v>2229</v>
      </c>
      <c r="D987" s="3">
        <v>0.0</v>
      </c>
      <c r="E987" s="3">
        <v>5.0</v>
      </c>
      <c r="F987" s="4"/>
      <c r="G987" s="3">
        <v>0.0</v>
      </c>
      <c r="H987" s="3">
        <v>670.0</v>
      </c>
      <c r="I987" s="3" t="s">
        <v>110</v>
      </c>
      <c r="J987" s="3">
        <v>0.0</v>
      </c>
      <c r="K987" s="3">
        <v>0.0</v>
      </c>
      <c r="L987" s="3">
        <v>0.0</v>
      </c>
      <c r="M987" s="3" t="s">
        <v>224</v>
      </c>
      <c r="N987" s="3">
        <v>12.2</v>
      </c>
      <c r="O987" s="3">
        <v>26.092</v>
      </c>
      <c r="P987" s="3">
        <v>-110.284</v>
      </c>
      <c r="Q987" s="3" t="s">
        <v>1052</v>
      </c>
      <c r="R987" s="4"/>
      <c r="S987" s="4"/>
      <c r="T987" s="16">
        <f t="shared" si="1"/>
        <v>34939.44861</v>
      </c>
      <c r="U987" s="4" t="b">
        <f t="shared" si="2"/>
        <v>1</v>
      </c>
      <c r="V987" s="4" t="b">
        <f t="shared" si="3"/>
        <v>0</v>
      </c>
      <c r="W987" s="4" t="str">
        <f t="shared" si="8"/>
        <v>Distance/Location</v>
      </c>
      <c r="X987" s="4" t="str">
        <f t="shared" si="4"/>
        <v>mwb</v>
      </c>
      <c r="Y987" s="4">
        <f t="shared" si="5"/>
        <v>1</v>
      </c>
      <c r="Z987" s="4" t="str">
        <f t="shared" si="6"/>
        <v>Unique</v>
      </c>
      <c r="AA987" s="4" t="str">
        <f t="shared" si="7"/>
        <v>Valid</v>
      </c>
    </row>
    <row r="988">
      <c r="A988" s="3" t="s">
        <v>2230</v>
      </c>
      <c r="B988" s="3">
        <v>6.6</v>
      </c>
      <c r="C988" s="3" t="s">
        <v>2231</v>
      </c>
      <c r="D988" s="3">
        <v>0.0</v>
      </c>
      <c r="E988" s="3">
        <v>6.0</v>
      </c>
      <c r="F988" s="4"/>
      <c r="G988" s="3">
        <v>0.0</v>
      </c>
      <c r="H988" s="3">
        <v>670.0</v>
      </c>
      <c r="I988" s="3" t="s">
        <v>110</v>
      </c>
      <c r="J988" s="3">
        <v>0.0</v>
      </c>
      <c r="K988" s="3">
        <v>0.0</v>
      </c>
      <c r="L988" s="3">
        <v>0.0</v>
      </c>
      <c r="M988" s="3" t="s">
        <v>514</v>
      </c>
      <c r="N988" s="3">
        <v>119.6</v>
      </c>
      <c r="O988" s="3">
        <v>5.139</v>
      </c>
      <c r="P988" s="3">
        <v>-75.577</v>
      </c>
      <c r="Q988" s="3" t="s">
        <v>2232</v>
      </c>
      <c r="R988" s="3" t="s">
        <v>121</v>
      </c>
      <c r="S988" s="3" t="s">
        <v>140</v>
      </c>
      <c r="T988" s="16">
        <f t="shared" si="1"/>
        <v>34930.90486</v>
      </c>
      <c r="U988" s="4" t="b">
        <f t="shared" si="2"/>
        <v>1</v>
      </c>
      <c r="V988" s="4" t="b">
        <f t="shared" si="3"/>
        <v>0</v>
      </c>
      <c r="W988" s="4" t="str">
        <f t="shared" si="8"/>
        <v>Distance/Location</v>
      </c>
      <c r="X988" s="4" t="str">
        <f t="shared" si="4"/>
        <v>mw</v>
      </c>
      <c r="Y988" s="4">
        <f t="shared" si="5"/>
        <v>1</v>
      </c>
      <c r="Z988" s="4" t="str">
        <f t="shared" si="6"/>
        <v>Unique</v>
      </c>
      <c r="AA988" s="4" t="str">
        <f t="shared" si="7"/>
        <v>Valid</v>
      </c>
    </row>
    <row r="989">
      <c r="A989" s="3" t="s">
        <v>2233</v>
      </c>
      <c r="B989" s="3">
        <v>7.2</v>
      </c>
      <c r="C989" s="3" t="s">
        <v>2234</v>
      </c>
      <c r="D989" s="3">
        <v>0.0</v>
      </c>
      <c r="E989" s="3">
        <v>6.0</v>
      </c>
      <c r="F989" s="4"/>
      <c r="G989" s="3">
        <v>0.0</v>
      </c>
      <c r="H989" s="3">
        <v>798.0</v>
      </c>
      <c r="I989" s="3" t="s">
        <v>110</v>
      </c>
      <c r="J989" s="3">
        <v>0.0</v>
      </c>
      <c r="K989" s="3">
        <v>0.0</v>
      </c>
      <c r="L989" s="3">
        <v>0.0</v>
      </c>
      <c r="M989" s="3" t="s">
        <v>514</v>
      </c>
      <c r="N989" s="3">
        <v>33.0</v>
      </c>
      <c r="O989" s="3">
        <v>-5.771</v>
      </c>
      <c r="P989" s="3">
        <v>154.347</v>
      </c>
      <c r="Q989" s="3" t="s">
        <v>728</v>
      </c>
      <c r="R989" s="4"/>
      <c r="S989" s="4"/>
      <c r="T989" s="16">
        <f t="shared" si="1"/>
        <v>34927.96528</v>
      </c>
      <c r="U989" s="4" t="b">
        <f t="shared" si="2"/>
        <v>1</v>
      </c>
      <c r="V989" s="4" t="b">
        <f t="shared" si="3"/>
        <v>0</v>
      </c>
      <c r="W989" s="4" t="str">
        <f t="shared" si="8"/>
        <v>Distance/Location</v>
      </c>
      <c r="X989" s="4" t="str">
        <f t="shared" si="4"/>
        <v>mw</v>
      </c>
      <c r="Y989" s="4">
        <f t="shared" si="5"/>
        <v>1</v>
      </c>
      <c r="Z989" s="4" t="str">
        <f t="shared" si="6"/>
        <v>Unique</v>
      </c>
      <c r="AA989" s="4" t="str">
        <f t="shared" si="7"/>
        <v>Valid</v>
      </c>
    </row>
    <row r="990">
      <c r="A990" s="3" t="s">
        <v>2235</v>
      </c>
      <c r="B990" s="3">
        <v>6.6</v>
      </c>
      <c r="C990" s="3" t="s">
        <v>2236</v>
      </c>
      <c r="D990" s="3">
        <v>0.0</v>
      </c>
      <c r="E990" s="3">
        <v>4.0</v>
      </c>
      <c r="F990" s="4"/>
      <c r="G990" s="3">
        <v>0.0</v>
      </c>
      <c r="H990" s="3">
        <v>670.0</v>
      </c>
      <c r="I990" s="3" t="s">
        <v>110</v>
      </c>
      <c r="J990" s="3">
        <v>0.0</v>
      </c>
      <c r="K990" s="3">
        <v>0.0</v>
      </c>
      <c r="L990" s="3">
        <v>0.0</v>
      </c>
      <c r="M990" s="3" t="s">
        <v>514</v>
      </c>
      <c r="N990" s="3">
        <v>18.7</v>
      </c>
      <c r="O990" s="3">
        <v>-5.429</v>
      </c>
      <c r="P990" s="3">
        <v>153.773</v>
      </c>
      <c r="Q990" s="3" t="s">
        <v>633</v>
      </c>
      <c r="R990" s="4"/>
      <c r="S990" s="4"/>
      <c r="T990" s="16">
        <f t="shared" si="1"/>
        <v>34927.68333</v>
      </c>
      <c r="U990" s="4" t="b">
        <f t="shared" si="2"/>
        <v>1</v>
      </c>
      <c r="V990" s="4" t="b">
        <f t="shared" si="3"/>
        <v>0</v>
      </c>
      <c r="W990" s="4" t="str">
        <f t="shared" si="8"/>
        <v>Distance/Location</v>
      </c>
      <c r="X990" s="4" t="str">
        <f t="shared" si="4"/>
        <v>mw</v>
      </c>
      <c r="Y990" s="4">
        <f t="shared" si="5"/>
        <v>1</v>
      </c>
      <c r="Z990" s="4" t="str">
        <f t="shared" si="6"/>
        <v>Unique</v>
      </c>
      <c r="AA990" s="4" t="str">
        <f t="shared" si="7"/>
        <v>Valid</v>
      </c>
    </row>
    <row r="991">
      <c r="A991" s="3" t="s">
        <v>2237</v>
      </c>
      <c r="B991" s="3">
        <v>7.7</v>
      </c>
      <c r="C991" s="3" t="s">
        <v>2238</v>
      </c>
      <c r="D991" s="3">
        <v>0.0</v>
      </c>
      <c r="E991" s="3">
        <v>6.0</v>
      </c>
      <c r="F991" s="4"/>
      <c r="G991" s="3">
        <v>0.0</v>
      </c>
      <c r="H991" s="3">
        <v>912.0</v>
      </c>
      <c r="I991" s="3" t="s">
        <v>110</v>
      </c>
      <c r="J991" s="3">
        <v>0.0</v>
      </c>
      <c r="K991" s="3">
        <v>0.0</v>
      </c>
      <c r="L991" s="3">
        <v>0.0</v>
      </c>
      <c r="M991" s="3" t="s">
        <v>514</v>
      </c>
      <c r="N991" s="3">
        <v>30.1</v>
      </c>
      <c r="O991" s="3">
        <v>-5.799</v>
      </c>
      <c r="P991" s="3">
        <v>154.178</v>
      </c>
      <c r="Q991" s="3" t="s">
        <v>728</v>
      </c>
      <c r="R991" s="4"/>
      <c r="S991" s="4"/>
      <c r="T991" s="16">
        <f t="shared" si="1"/>
        <v>34927.43542</v>
      </c>
      <c r="U991" s="4" t="b">
        <f t="shared" si="2"/>
        <v>1</v>
      </c>
      <c r="V991" s="4" t="b">
        <f t="shared" si="3"/>
        <v>0</v>
      </c>
      <c r="W991" s="4" t="str">
        <f t="shared" si="8"/>
        <v>Distance/Location</v>
      </c>
      <c r="X991" s="4" t="str">
        <f t="shared" si="4"/>
        <v>mw</v>
      </c>
      <c r="Y991" s="4">
        <f t="shared" si="5"/>
        <v>1</v>
      </c>
      <c r="Z991" s="4" t="str">
        <f t="shared" si="6"/>
        <v>Unique</v>
      </c>
      <c r="AA991" s="4" t="str">
        <f t="shared" si="7"/>
        <v>Valid</v>
      </c>
    </row>
    <row r="992">
      <c r="A992" s="3" t="s">
        <v>2239</v>
      </c>
      <c r="B992" s="3">
        <v>6.7</v>
      </c>
      <c r="C992" s="3" t="s">
        <v>2240</v>
      </c>
      <c r="D992" s="3">
        <v>0.0</v>
      </c>
      <c r="E992" s="3">
        <v>6.0</v>
      </c>
      <c r="F992" s="4"/>
      <c r="G992" s="3">
        <v>0.0</v>
      </c>
      <c r="H992" s="3">
        <v>691.0</v>
      </c>
      <c r="I992" s="3" t="s">
        <v>110</v>
      </c>
      <c r="J992" s="3">
        <v>0.0</v>
      </c>
      <c r="K992" s="3">
        <v>0.0</v>
      </c>
      <c r="L992" s="3">
        <v>0.0</v>
      </c>
      <c r="M992" s="3" t="s">
        <v>514</v>
      </c>
      <c r="N992" s="3">
        <v>127.9</v>
      </c>
      <c r="O992" s="3">
        <v>-4.836</v>
      </c>
      <c r="P992" s="3">
        <v>151.515</v>
      </c>
      <c r="Q992" s="3" t="s">
        <v>633</v>
      </c>
      <c r="R992" s="4"/>
      <c r="S992" s="3" t="s">
        <v>168</v>
      </c>
      <c r="T992" s="16">
        <f t="shared" si="1"/>
        <v>34925.19236</v>
      </c>
      <c r="U992" s="4" t="b">
        <f t="shared" si="2"/>
        <v>1</v>
      </c>
      <c r="V992" s="4" t="b">
        <f t="shared" si="3"/>
        <v>0</v>
      </c>
      <c r="W992" s="4" t="str">
        <f t="shared" si="8"/>
        <v>Distance/Location</v>
      </c>
      <c r="X992" s="4" t="str">
        <f t="shared" si="4"/>
        <v>mw</v>
      </c>
      <c r="Y992" s="4">
        <f t="shared" si="5"/>
        <v>1</v>
      </c>
      <c r="Z992" s="4" t="str">
        <f t="shared" si="6"/>
        <v>Unique</v>
      </c>
      <c r="AA992" s="4" t="str">
        <f t="shared" si="7"/>
        <v>Valid</v>
      </c>
    </row>
    <row r="993">
      <c r="A993" s="3" t="s">
        <v>2241</v>
      </c>
      <c r="B993" s="3">
        <v>8.0</v>
      </c>
      <c r="C993" s="3" t="s">
        <v>2242</v>
      </c>
      <c r="D993" s="3">
        <v>0.0</v>
      </c>
      <c r="E993" s="3">
        <v>8.0</v>
      </c>
      <c r="F993" s="4"/>
      <c r="G993" s="3">
        <v>0.0</v>
      </c>
      <c r="H993" s="3">
        <v>985.0</v>
      </c>
      <c r="I993" s="3" t="s">
        <v>110</v>
      </c>
      <c r="J993" s="3">
        <v>0.0</v>
      </c>
      <c r="K993" s="3">
        <v>0.0</v>
      </c>
      <c r="L993" s="3">
        <v>0.0</v>
      </c>
      <c r="M993" s="3" t="s">
        <v>514</v>
      </c>
      <c r="N993" s="3">
        <v>45.6</v>
      </c>
      <c r="O993" s="3">
        <v>-23.34</v>
      </c>
      <c r="P993" s="3">
        <v>-70.294</v>
      </c>
      <c r="Q993" s="3" t="s">
        <v>1468</v>
      </c>
      <c r="R993" s="3" t="s">
        <v>121</v>
      </c>
      <c r="S993" s="3" t="s">
        <v>414</v>
      </c>
      <c r="T993" s="16">
        <f t="shared" si="1"/>
        <v>34910.21597</v>
      </c>
      <c r="U993" s="4" t="b">
        <f t="shared" si="2"/>
        <v>1</v>
      </c>
      <c r="V993" s="4" t="b">
        <f t="shared" si="3"/>
        <v>0</v>
      </c>
      <c r="W993" s="4" t="str">
        <f t="shared" si="8"/>
        <v>Distance/Location</v>
      </c>
      <c r="X993" s="4" t="str">
        <f t="shared" si="4"/>
        <v>mw</v>
      </c>
      <c r="Y993" s="4">
        <f t="shared" si="5"/>
        <v>1</v>
      </c>
      <c r="Z993" s="4" t="str">
        <f t="shared" si="6"/>
        <v>Unique</v>
      </c>
      <c r="AA993" s="4" t="str">
        <f t="shared" si="7"/>
        <v>Valid</v>
      </c>
    </row>
    <row r="994">
      <c r="A994" s="3" t="s">
        <v>2243</v>
      </c>
      <c r="B994" s="3">
        <v>6.8</v>
      </c>
      <c r="C994" s="17">
        <v>35010.90694444445</v>
      </c>
      <c r="D994" s="3">
        <v>0.0</v>
      </c>
      <c r="E994" s="3">
        <v>8.0</v>
      </c>
      <c r="F994" s="4"/>
      <c r="G994" s="3">
        <v>0.0</v>
      </c>
      <c r="H994" s="3">
        <v>711.0</v>
      </c>
      <c r="I994" s="3" t="s">
        <v>110</v>
      </c>
      <c r="J994" s="3">
        <v>0.0</v>
      </c>
      <c r="K994" s="3">
        <v>0.0</v>
      </c>
      <c r="L994" s="3">
        <v>0.0</v>
      </c>
      <c r="M994" s="3" t="s">
        <v>514</v>
      </c>
      <c r="N994" s="3">
        <v>12.5</v>
      </c>
      <c r="O994" s="3">
        <v>21.966</v>
      </c>
      <c r="P994" s="3">
        <v>99.196</v>
      </c>
      <c r="Q994" s="3" t="s">
        <v>2244</v>
      </c>
      <c r="R994" s="3" t="s">
        <v>164</v>
      </c>
      <c r="S994" s="3" t="s">
        <v>785</v>
      </c>
      <c r="T994" s="16">
        <f t="shared" si="1"/>
        <v>34891.90694</v>
      </c>
      <c r="U994" s="4" t="b">
        <f t="shared" si="2"/>
        <v>1</v>
      </c>
      <c r="V994" s="4" t="b">
        <f t="shared" si="3"/>
        <v>1</v>
      </c>
      <c r="W994" s="4" t="str">
        <f t="shared" si="8"/>
        <v>Distance/Location</v>
      </c>
      <c r="X994" s="4" t="str">
        <f t="shared" si="4"/>
        <v>mw</v>
      </c>
      <c r="Y994" s="4">
        <f t="shared" si="5"/>
        <v>1</v>
      </c>
      <c r="Z994" s="4" t="str">
        <f t="shared" si="6"/>
        <v>Unique</v>
      </c>
      <c r="AA994" s="4" t="str">
        <f t="shared" si="7"/>
        <v>Valid</v>
      </c>
    </row>
    <row r="995">
      <c r="A995" s="3" t="s">
        <v>2245</v>
      </c>
      <c r="B995" s="3">
        <v>6.6</v>
      </c>
      <c r="C995" s="3" t="s">
        <v>2246</v>
      </c>
      <c r="D995" s="3">
        <v>0.0</v>
      </c>
      <c r="E995" s="3">
        <v>5.0</v>
      </c>
      <c r="F995" s="4"/>
      <c r="G995" s="3">
        <v>0.0</v>
      </c>
      <c r="H995" s="3">
        <v>670.0</v>
      </c>
      <c r="I995" s="3" t="s">
        <v>110</v>
      </c>
      <c r="J995" s="3">
        <v>0.0</v>
      </c>
      <c r="K995" s="3">
        <v>0.0</v>
      </c>
      <c r="L995" s="3">
        <v>0.0</v>
      </c>
      <c r="M995" s="3" t="s">
        <v>514</v>
      </c>
      <c r="N995" s="3">
        <v>139.4</v>
      </c>
      <c r="O995" s="3">
        <v>-19.544</v>
      </c>
      <c r="P995" s="3">
        <v>169.287</v>
      </c>
      <c r="Q995" s="3" t="s">
        <v>246</v>
      </c>
      <c r="R995" s="4"/>
      <c r="S995" s="3" t="s">
        <v>113</v>
      </c>
      <c r="T995" s="16">
        <f t="shared" si="1"/>
        <v>34879.51667</v>
      </c>
      <c r="U995" s="4" t="b">
        <f t="shared" si="2"/>
        <v>1</v>
      </c>
      <c r="V995" s="4" t="b">
        <f t="shared" si="3"/>
        <v>0</v>
      </c>
      <c r="W995" s="4" t="str">
        <f t="shared" si="8"/>
        <v>Distance/Location</v>
      </c>
      <c r="X995" s="4" t="str">
        <f t="shared" si="4"/>
        <v>mw</v>
      </c>
      <c r="Y995" s="4">
        <f t="shared" si="5"/>
        <v>1</v>
      </c>
      <c r="Z995" s="4" t="str">
        <f t="shared" si="6"/>
        <v>Unique</v>
      </c>
      <c r="AA995" s="4" t="str">
        <f t="shared" si="7"/>
        <v>Valid</v>
      </c>
    </row>
    <row r="996">
      <c r="A996" s="3" t="s">
        <v>2247</v>
      </c>
      <c r="B996" s="3">
        <v>6.5</v>
      </c>
      <c r="C996" s="3" t="s">
        <v>2248</v>
      </c>
      <c r="D996" s="3">
        <v>0.0</v>
      </c>
      <c r="E996" s="3">
        <v>7.0</v>
      </c>
      <c r="F996" s="4"/>
      <c r="G996" s="3">
        <v>0.0</v>
      </c>
      <c r="H996" s="3">
        <v>650.0</v>
      </c>
      <c r="I996" s="3" t="s">
        <v>110</v>
      </c>
      <c r="J996" s="3">
        <v>0.0</v>
      </c>
      <c r="K996" s="3">
        <v>0.0</v>
      </c>
      <c r="L996" s="3">
        <v>0.0</v>
      </c>
      <c r="M996" s="3" t="s">
        <v>514</v>
      </c>
      <c r="N996" s="3">
        <v>14.2</v>
      </c>
      <c r="O996" s="3">
        <v>38.401</v>
      </c>
      <c r="P996" s="3">
        <v>22.283</v>
      </c>
      <c r="Q996" s="3" t="s">
        <v>2249</v>
      </c>
      <c r="R996" s="3" t="s">
        <v>404</v>
      </c>
      <c r="S996" s="3" t="s">
        <v>405</v>
      </c>
      <c r="T996" s="16">
        <f t="shared" si="1"/>
        <v>34865.01042</v>
      </c>
      <c r="U996" s="4" t="b">
        <f t="shared" si="2"/>
        <v>1</v>
      </c>
      <c r="V996" s="4" t="b">
        <f t="shared" si="3"/>
        <v>0</v>
      </c>
      <c r="W996" s="4" t="str">
        <f t="shared" si="8"/>
        <v>Distance/Location</v>
      </c>
      <c r="X996" s="4" t="str">
        <f t="shared" si="4"/>
        <v>mw</v>
      </c>
      <c r="Y996" s="4">
        <f t="shared" si="5"/>
        <v>1</v>
      </c>
      <c r="Z996" s="4" t="str">
        <f t="shared" si="6"/>
        <v>Unique</v>
      </c>
      <c r="AA996" s="4" t="str">
        <f t="shared" si="7"/>
        <v>Valid</v>
      </c>
    </row>
    <row r="997">
      <c r="A997" s="3" t="s">
        <v>2250</v>
      </c>
      <c r="B997" s="3">
        <v>7.1</v>
      </c>
      <c r="C997" s="3" t="s">
        <v>2251</v>
      </c>
      <c r="D997" s="3">
        <v>0.0</v>
      </c>
      <c r="E997" s="3">
        <v>9.0</v>
      </c>
      <c r="F997" s="4"/>
      <c r="G997" s="3">
        <v>0.0</v>
      </c>
      <c r="H997" s="3">
        <v>776.0</v>
      </c>
      <c r="I997" s="3" t="s">
        <v>110</v>
      </c>
      <c r="J997" s="3">
        <v>0.0</v>
      </c>
      <c r="K997" s="3">
        <v>0.0</v>
      </c>
      <c r="L997" s="3">
        <v>0.0</v>
      </c>
      <c r="M997" s="3" t="s">
        <v>224</v>
      </c>
      <c r="N997" s="3">
        <v>11.0</v>
      </c>
      <c r="O997" s="3">
        <v>52.629</v>
      </c>
      <c r="P997" s="3">
        <v>142.827</v>
      </c>
      <c r="Q997" s="3" t="s">
        <v>2252</v>
      </c>
      <c r="R997" s="3" t="s">
        <v>164</v>
      </c>
      <c r="S997" s="3" t="s">
        <v>464</v>
      </c>
      <c r="T997" s="16">
        <f t="shared" si="1"/>
        <v>34846.54375</v>
      </c>
      <c r="U997" s="4" t="b">
        <f t="shared" si="2"/>
        <v>1</v>
      </c>
      <c r="V997" s="4" t="b">
        <f t="shared" si="3"/>
        <v>0</v>
      </c>
      <c r="W997" s="4" t="str">
        <f t="shared" si="8"/>
        <v>Distance/Location</v>
      </c>
      <c r="X997" s="4" t="str">
        <f t="shared" si="4"/>
        <v>mwb</v>
      </c>
      <c r="Y997" s="4">
        <f t="shared" si="5"/>
        <v>1</v>
      </c>
      <c r="Z997" s="4" t="str">
        <f t="shared" si="6"/>
        <v>Unique</v>
      </c>
      <c r="AA997" s="4" t="str">
        <f t="shared" si="7"/>
        <v>Valid</v>
      </c>
    </row>
    <row r="998">
      <c r="A998" s="3" t="s">
        <v>2253</v>
      </c>
      <c r="B998" s="3">
        <v>7.7</v>
      </c>
      <c r="C998" s="3" t="s">
        <v>2254</v>
      </c>
      <c r="D998" s="3">
        <v>0.0</v>
      </c>
      <c r="E998" s="3">
        <v>4.0</v>
      </c>
      <c r="F998" s="4"/>
      <c r="G998" s="3">
        <v>0.0</v>
      </c>
      <c r="H998" s="3">
        <v>912.0</v>
      </c>
      <c r="I998" s="3" t="s">
        <v>110</v>
      </c>
      <c r="J998" s="3">
        <v>0.0</v>
      </c>
      <c r="K998" s="3">
        <v>0.0</v>
      </c>
      <c r="L998" s="3">
        <v>0.0</v>
      </c>
      <c r="M998" s="3" t="s">
        <v>514</v>
      </c>
      <c r="N998" s="3">
        <v>20.2</v>
      </c>
      <c r="O998" s="3">
        <v>-23.008</v>
      </c>
      <c r="P998" s="3">
        <v>169.9</v>
      </c>
      <c r="Q998" s="3" t="s">
        <v>2255</v>
      </c>
      <c r="R998" s="4"/>
      <c r="S998" s="4"/>
      <c r="T998" s="16">
        <f t="shared" si="1"/>
        <v>34835.84167</v>
      </c>
      <c r="U998" s="4" t="b">
        <f t="shared" si="2"/>
        <v>1</v>
      </c>
      <c r="V998" s="4" t="b">
        <f t="shared" si="3"/>
        <v>0</v>
      </c>
      <c r="W998" s="4" t="str">
        <f t="shared" si="8"/>
        <v>Distance/Location</v>
      </c>
      <c r="X998" s="4" t="str">
        <f t="shared" si="4"/>
        <v>mw</v>
      </c>
      <c r="Y998" s="4">
        <f t="shared" si="5"/>
        <v>1</v>
      </c>
      <c r="Z998" s="4" t="str">
        <f t="shared" si="6"/>
        <v>Unique</v>
      </c>
      <c r="AA998" s="4" t="str">
        <f t="shared" si="7"/>
        <v>Valid</v>
      </c>
    </row>
    <row r="999">
      <c r="A999" s="3" t="s">
        <v>2256</v>
      </c>
      <c r="B999" s="3">
        <v>6.9</v>
      </c>
      <c r="C999" s="3" t="s">
        <v>2257</v>
      </c>
      <c r="D999" s="3">
        <v>0.0</v>
      </c>
      <c r="E999" s="3">
        <v>6.0</v>
      </c>
      <c r="F999" s="4"/>
      <c r="G999" s="3">
        <v>0.0</v>
      </c>
      <c r="H999" s="3">
        <v>732.0</v>
      </c>
      <c r="I999" s="3" t="s">
        <v>110</v>
      </c>
      <c r="J999" s="3">
        <v>0.0</v>
      </c>
      <c r="K999" s="3">
        <v>0.0</v>
      </c>
      <c r="L999" s="3">
        <v>0.0</v>
      </c>
      <c r="M999" s="3" t="s">
        <v>514</v>
      </c>
      <c r="N999" s="3">
        <v>11.2</v>
      </c>
      <c r="O999" s="3">
        <v>-8.378</v>
      </c>
      <c r="P999" s="3">
        <v>125.127</v>
      </c>
      <c r="Q999" s="3" t="s">
        <v>864</v>
      </c>
      <c r="R999" s="4"/>
      <c r="S999" s="3" t="s">
        <v>153</v>
      </c>
      <c r="T999" s="16">
        <f t="shared" si="1"/>
        <v>34833.48125</v>
      </c>
      <c r="U999" s="4" t="b">
        <f t="shared" si="2"/>
        <v>1</v>
      </c>
      <c r="V999" s="4" t="b">
        <f t="shared" si="3"/>
        <v>0</v>
      </c>
      <c r="W999" s="4" t="str">
        <f t="shared" si="8"/>
        <v>Distance/Location</v>
      </c>
      <c r="X999" s="4" t="str">
        <f t="shared" si="4"/>
        <v>mw</v>
      </c>
      <c r="Y999" s="4">
        <f t="shared" si="5"/>
        <v>1</v>
      </c>
      <c r="Z999" s="4" t="str">
        <f t="shared" si="6"/>
        <v>Unique</v>
      </c>
      <c r="AA999" s="4" t="str">
        <f t="shared" si="7"/>
        <v>Valid</v>
      </c>
    </row>
    <row r="1000">
      <c r="A1000" s="3" t="s">
        <v>2258</v>
      </c>
      <c r="B1000" s="3">
        <v>6.6</v>
      </c>
      <c r="C1000" s="3" t="s">
        <v>2259</v>
      </c>
      <c r="D1000" s="3">
        <v>0.0</v>
      </c>
      <c r="E1000" s="3">
        <v>9.0</v>
      </c>
      <c r="F1000" s="4"/>
      <c r="G1000" s="3">
        <v>0.0</v>
      </c>
      <c r="H1000" s="3">
        <v>670.0</v>
      </c>
      <c r="I1000" s="3" t="s">
        <v>110</v>
      </c>
      <c r="J1000" s="3">
        <v>0.0</v>
      </c>
      <c r="K1000" s="3">
        <v>0.0</v>
      </c>
      <c r="L1000" s="3">
        <v>0.0</v>
      </c>
      <c r="M1000" s="3" t="s">
        <v>514</v>
      </c>
      <c r="N1000" s="3">
        <v>14.0</v>
      </c>
      <c r="O1000" s="3">
        <v>40.149</v>
      </c>
      <c r="P1000" s="3">
        <v>21.695</v>
      </c>
      <c r="Q1000" s="3" t="s">
        <v>2260</v>
      </c>
      <c r="R1000" s="3" t="s">
        <v>404</v>
      </c>
      <c r="S1000" s="3" t="s">
        <v>405</v>
      </c>
      <c r="T1000" s="16">
        <f t="shared" si="1"/>
        <v>34832.36597</v>
      </c>
      <c r="U1000" s="4" t="b">
        <f t="shared" si="2"/>
        <v>1</v>
      </c>
      <c r="V1000" s="4" t="b">
        <f t="shared" si="3"/>
        <v>0</v>
      </c>
      <c r="W1000" s="4" t="str">
        <f t="shared" si="8"/>
        <v>Distance/Location</v>
      </c>
      <c r="X1000" s="4" t="str">
        <f t="shared" si="4"/>
        <v>mw</v>
      </c>
      <c r="Y1000" s="4">
        <f t="shared" si="5"/>
        <v>1</v>
      </c>
      <c r="Z1000" s="4" t="str">
        <f t="shared" si="6"/>
        <v>Unique</v>
      </c>
      <c r="AA1000" s="4" t="str">
        <f t="shared" si="7"/>
        <v>Valid</v>
      </c>
    </row>
    <row r="1001">
      <c r="A1001" s="3" t="s">
        <v>2261</v>
      </c>
      <c r="B1001" s="3">
        <v>7.1</v>
      </c>
      <c r="C1001" s="17">
        <v>34824.16180555556</v>
      </c>
      <c r="D1001" s="3">
        <v>0.0</v>
      </c>
      <c r="E1001" s="3">
        <v>7.0</v>
      </c>
      <c r="F1001" s="4"/>
      <c r="G1001" s="3">
        <v>0.0</v>
      </c>
      <c r="H1001" s="3">
        <v>776.0</v>
      </c>
      <c r="I1001" s="3" t="s">
        <v>110</v>
      </c>
      <c r="J1001" s="3">
        <v>0.0</v>
      </c>
      <c r="K1001" s="3">
        <v>0.0</v>
      </c>
      <c r="L1001" s="3">
        <v>0.0</v>
      </c>
      <c r="M1001" s="3" t="s">
        <v>514</v>
      </c>
      <c r="N1001" s="3">
        <v>16.0</v>
      </c>
      <c r="O1001" s="3">
        <v>12.626</v>
      </c>
      <c r="P1001" s="3">
        <v>125.297</v>
      </c>
      <c r="Q1001" s="3" t="s">
        <v>2262</v>
      </c>
      <c r="R1001" s="4"/>
      <c r="S1001" s="3" t="s">
        <v>258</v>
      </c>
      <c r="T1001" s="16">
        <f t="shared" si="1"/>
        <v>34824.16181</v>
      </c>
      <c r="U1001" s="4" t="b">
        <f t="shared" si="2"/>
        <v>1</v>
      </c>
      <c r="V1001" s="4" t="b">
        <f t="shared" si="3"/>
        <v>1</v>
      </c>
      <c r="W1001" s="4" t="str">
        <f t="shared" si="8"/>
        <v>Distance/Location</v>
      </c>
      <c r="X1001" s="4" t="str">
        <f t="shared" si="4"/>
        <v>mw</v>
      </c>
      <c r="Y1001" s="4">
        <f t="shared" si="5"/>
        <v>1</v>
      </c>
      <c r="Z1001" s="4" t="str">
        <f t="shared" si="6"/>
        <v>Unique</v>
      </c>
      <c r="AA1001" s="4" t="str">
        <f t="shared" si="7"/>
        <v>Valid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3" max="3" width="16.0"/>
    <col customWidth="1" min="6" max="6" width="17.0"/>
    <col customWidth="1" min="17" max="17" width="34.25"/>
    <col customWidth="1" min="18" max="18" width="20.63"/>
    <col customWidth="1" min="19" max="19" width="25.13"/>
    <col customWidth="1" min="24" max="24" width="32.0"/>
    <col customWidth="1" min="27" max="27" width="23.38"/>
  </cols>
  <sheetData>
    <row r="1">
      <c r="A1" s="15" t="s">
        <v>84</v>
      </c>
      <c r="B1" s="15" t="s">
        <v>85</v>
      </c>
      <c r="C1" s="15" t="s">
        <v>86</v>
      </c>
      <c r="D1" s="15" t="s">
        <v>87</v>
      </c>
      <c r="E1" s="15" t="s">
        <v>88</v>
      </c>
      <c r="F1" s="15" t="s">
        <v>2263</v>
      </c>
      <c r="G1" s="15" t="s">
        <v>89</v>
      </c>
      <c r="H1" s="15" t="s">
        <v>90</v>
      </c>
      <c r="I1" s="15" t="s">
        <v>91</v>
      </c>
      <c r="J1" s="15" t="s">
        <v>92</v>
      </c>
      <c r="K1" s="15" t="s">
        <v>93</v>
      </c>
      <c r="L1" s="15" t="s">
        <v>94</v>
      </c>
      <c r="M1" s="15" t="s">
        <v>95</v>
      </c>
      <c r="N1" s="15" t="s">
        <v>96</v>
      </c>
      <c r="O1" s="15" t="s">
        <v>97</v>
      </c>
      <c r="P1" s="15" t="s">
        <v>98</v>
      </c>
      <c r="Q1" s="15" t="s">
        <v>2264</v>
      </c>
      <c r="R1" s="15" t="s">
        <v>2265</v>
      </c>
      <c r="S1" s="15" t="s">
        <v>2266</v>
      </c>
      <c r="T1" s="15" t="s">
        <v>106</v>
      </c>
      <c r="U1" s="15" t="s">
        <v>104</v>
      </c>
      <c r="V1" s="15" t="s">
        <v>105</v>
      </c>
      <c r="W1" s="15" t="s">
        <v>2263</v>
      </c>
      <c r="X1" s="15" t="s">
        <v>2264</v>
      </c>
      <c r="Y1" s="15" t="s">
        <v>2265</v>
      </c>
      <c r="Z1" s="15" t="s">
        <v>2266</v>
      </c>
      <c r="AA1" s="15" t="s">
        <v>103</v>
      </c>
    </row>
    <row r="2">
      <c r="A2" s="3" t="s">
        <v>107</v>
      </c>
      <c r="B2" s="3">
        <v>6.5</v>
      </c>
      <c r="C2" s="19">
        <f>Raw_Data!T2</f>
        <v>45154.53264</v>
      </c>
      <c r="D2" s="3">
        <v>7.0</v>
      </c>
      <c r="E2" s="3">
        <v>4.0</v>
      </c>
      <c r="F2" s="3" t="s">
        <v>109</v>
      </c>
      <c r="G2" s="3">
        <v>0.0</v>
      </c>
      <c r="H2" s="3">
        <v>657.0</v>
      </c>
      <c r="I2" s="3" t="s">
        <v>110</v>
      </c>
      <c r="J2" s="3">
        <v>114.0</v>
      </c>
      <c r="K2" s="3">
        <v>7.177</v>
      </c>
      <c r="L2" s="3">
        <v>25.0</v>
      </c>
      <c r="M2" s="4" t="str">
        <f>Raw_Data!X2</f>
        <v>mww</v>
      </c>
      <c r="N2" s="3">
        <v>192.955</v>
      </c>
      <c r="O2" s="3">
        <v>-13.8814</v>
      </c>
      <c r="P2" s="3">
        <v>167.158</v>
      </c>
      <c r="Q2" s="3" t="s">
        <v>112</v>
      </c>
      <c r="R2" s="4"/>
      <c r="S2" s="3" t="s">
        <v>113</v>
      </c>
      <c r="T2" s="4" t="str">
        <f t="shared" ref="T2:T1001" si="2">IF(ISNUMBER(C2),"Valid","Invalid")</f>
        <v>Valid</v>
      </c>
      <c r="U2" s="4">
        <f t="shared" ref="U2:U1001" si="3">COUNTIFS($A$2:$A$1001,A2,$B$2:$B$1001,B2,$C$2:$C$1001,C2)</f>
        <v>1</v>
      </c>
      <c r="V2" s="4" t="str">
        <f t="shared" ref="V2:V1001" si="4">IF(U2&gt;1,"Duplicate","Unique")</f>
        <v>Unique</v>
      </c>
      <c r="W2" s="4" t="str">
        <f t="shared" ref="W2:W1001" si="5">IF(F2="","Unknown",F2)</f>
        <v>green</v>
      </c>
      <c r="X2" s="4" t="str">
        <f t="shared" ref="X2:Z2" si="1">IF(Q2="","Unknown",Q2)</f>
        <v>Sola, Vanuatu</v>
      </c>
      <c r="Y2" s="4" t="str">
        <f t="shared" si="1"/>
        <v>Unknown</v>
      </c>
      <c r="Z2" s="4" t="str">
        <f t="shared" si="1"/>
        <v>Vanuatu</v>
      </c>
      <c r="AA2" s="4" t="str">
        <f t="shared" ref="AA2:AA1001" si="7">LOWER(TRIM(M2))</f>
        <v>mww</v>
      </c>
    </row>
    <row r="3">
      <c r="A3" s="3" t="s">
        <v>114</v>
      </c>
      <c r="B3" s="3">
        <v>6.5</v>
      </c>
      <c r="C3" s="19">
        <f>Raw_Data!T3</f>
        <v>45126.01528</v>
      </c>
      <c r="D3" s="3">
        <v>8.0</v>
      </c>
      <c r="E3" s="3">
        <v>6.0</v>
      </c>
      <c r="F3" s="3" t="s">
        <v>116</v>
      </c>
      <c r="G3" s="3">
        <v>0.0</v>
      </c>
      <c r="H3" s="3">
        <v>775.0</v>
      </c>
      <c r="I3" s="3" t="s">
        <v>110</v>
      </c>
      <c r="J3" s="3">
        <v>92.0</v>
      </c>
      <c r="K3" s="3">
        <v>0.679</v>
      </c>
      <c r="L3" s="3">
        <v>40.0</v>
      </c>
      <c r="M3" s="4" t="str">
        <f>Raw_Data!X3</f>
        <v>mww</v>
      </c>
      <c r="N3" s="3">
        <v>69.727</v>
      </c>
      <c r="O3" s="3">
        <v>12.814</v>
      </c>
      <c r="P3" s="3">
        <v>-88.1265</v>
      </c>
      <c r="Q3" s="3" t="s">
        <v>117</v>
      </c>
      <c r="R3" s="4"/>
      <c r="S3" s="4"/>
      <c r="T3" s="4" t="str">
        <f t="shared" si="2"/>
        <v>Valid</v>
      </c>
      <c r="U3" s="4">
        <f t="shared" si="3"/>
        <v>1</v>
      </c>
      <c r="V3" s="4" t="str">
        <f t="shared" si="4"/>
        <v>Unique</v>
      </c>
      <c r="W3" s="4" t="str">
        <f t="shared" si="5"/>
        <v>yellow</v>
      </c>
      <c r="X3" s="4" t="str">
        <f t="shared" ref="X3:Z3" si="6">IF(Q3="","Unknown",Q3)</f>
        <v>Intipucá, El Salvador</v>
      </c>
      <c r="Y3" s="4" t="str">
        <f t="shared" si="6"/>
        <v>Unknown</v>
      </c>
      <c r="Z3" s="4" t="str">
        <f t="shared" si="6"/>
        <v>Unknown</v>
      </c>
      <c r="AA3" s="4" t="str">
        <f t="shared" si="7"/>
        <v>mww</v>
      </c>
    </row>
    <row r="4">
      <c r="A4" s="3" t="s">
        <v>118</v>
      </c>
      <c r="B4" s="3">
        <v>6.6</v>
      </c>
      <c r="C4" s="19">
        <f>Raw_Data!T4</f>
        <v>45124.12847</v>
      </c>
      <c r="D4" s="3">
        <v>7.0</v>
      </c>
      <c r="E4" s="3">
        <v>5.0</v>
      </c>
      <c r="F4" s="3" t="s">
        <v>109</v>
      </c>
      <c r="G4" s="3">
        <v>0.0</v>
      </c>
      <c r="H4" s="3">
        <v>899.0</v>
      </c>
      <c r="I4" s="3" t="s">
        <v>110</v>
      </c>
      <c r="J4" s="3">
        <v>70.0</v>
      </c>
      <c r="K4" s="3">
        <v>1.634</v>
      </c>
      <c r="L4" s="3">
        <v>28.0</v>
      </c>
      <c r="M4" s="4" t="str">
        <f>Raw_Data!X4</f>
        <v>mww</v>
      </c>
      <c r="N4" s="3">
        <v>171.371</v>
      </c>
      <c r="O4" s="3">
        <v>-38.1911</v>
      </c>
      <c r="P4" s="3">
        <v>-70.3731</v>
      </c>
      <c r="Q4" s="3" t="s">
        <v>120</v>
      </c>
      <c r="R4" s="3" t="s">
        <v>121</v>
      </c>
      <c r="S4" s="3" t="s">
        <v>122</v>
      </c>
      <c r="T4" s="4" t="str">
        <f t="shared" si="2"/>
        <v>Valid</v>
      </c>
      <c r="U4" s="4">
        <f t="shared" si="3"/>
        <v>1</v>
      </c>
      <c r="V4" s="4" t="str">
        <f t="shared" si="4"/>
        <v>Unique</v>
      </c>
      <c r="W4" s="4" t="str">
        <f t="shared" si="5"/>
        <v>green</v>
      </c>
      <c r="X4" s="4" t="str">
        <f t="shared" ref="X4:Z4" si="8">IF(Q4="","Unknown",Q4)</f>
        <v>Loncopué, Argentina</v>
      </c>
      <c r="Y4" s="4" t="str">
        <f t="shared" si="8"/>
        <v>South America</v>
      </c>
      <c r="Z4" s="4" t="str">
        <f t="shared" si="8"/>
        <v>Argentina</v>
      </c>
      <c r="AA4" s="4" t="str">
        <f t="shared" si="7"/>
        <v>mww</v>
      </c>
    </row>
    <row r="5">
      <c r="A5" s="3" t="s">
        <v>123</v>
      </c>
      <c r="B5" s="3">
        <v>7.2</v>
      </c>
      <c r="C5" s="19">
        <f>Raw_Data!T5</f>
        <v>45123.28333</v>
      </c>
      <c r="D5" s="3">
        <v>6.0</v>
      </c>
      <c r="E5" s="3">
        <v>6.0</v>
      </c>
      <c r="F5" s="3" t="s">
        <v>109</v>
      </c>
      <c r="G5" s="3">
        <v>1.0</v>
      </c>
      <c r="H5" s="3">
        <v>860.0</v>
      </c>
      <c r="I5" s="3" t="s">
        <v>110</v>
      </c>
      <c r="J5" s="3">
        <v>173.0</v>
      </c>
      <c r="K5" s="3">
        <v>0.907</v>
      </c>
      <c r="L5" s="3">
        <v>36.0</v>
      </c>
      <c r="M5" s="4" t="str">
        <f>Raw_Data!X5</f>
        <v>mww</v>
      </c>
      <c r="N5" s="3">
        <v>32.571</v>
      </c>
      <c r="O5" s="3">
        <v>54.3844</v>
      </c>
      <c r="P5" s="3">
        <v>-160.699</v>
      </c>
      <c r="Q5" s="3" t="s">
        <v>125</v>
      </c>
      <c r="R5" s="4"/>
      <c r="S5" s="4"/>
      <c r="T5" s="4" t="str">
        <f t="shared" si="2"/>
        <v>Valid</v>
      </c>
      <c r="U5" s="4">
        <f t="shared" si="3"/>
        <v>1</v>
      </c>
      <c r="V5" s="4" t="str">
        <f t="shared" si="4"/>
        <v>Unique</v>
      </c>
      <c r="W5" s="4" t="str">
        <f t="shared" si="5"/>
        <v>green</v>
      </c>
      <c r="X5" s="4" t="str">
        <f t="shared" ref="X5:Z5" si="9">IF(Q5="","Unknown",Q5)</f>
        <v>Sand Point, Alaska</v>
      </c>
      <c r="Y5" s="4" t="str">
        <f t="shared" si="9"/>
        <v>Unknown</v>
      </c>
      <c r="Z5" s="4" t="str">
        <f t="shared" si="9"/>
        <v>Unknown</v>
      </c>
      <c r="AA5" s="4" t="str">
        <f t="shared" si="7"/>
        <v>mww</v>
      </c>
    </row>
    <row r="6">
      <c r="A6" s="3" t="s">
        <v>126</v>
      </c>
      <c r="B6" s="3">
        <v>7.3</v>
      </c>
      <c r="C6" s="19">
        <f>Raw_Data!T6</f>
        <v>45123.28333</v>
      </c>
      <c r="D6" s="3">
        <v>0.0</v>
      </c>
      <c r="E6" s="3">
        <v>5.0</v>
      </c>
      <c r="F6" s="4"/>
      <c r="G6" s="3">
        <v>1.0</v>
      </c>
      <c r="H6" s="3">
        <v>820.0</v>
      </c>
      <c r="I6" s="3" t="s">
        <v>127</v>
      </c>
      <c r="J6" s="3">
        <v>79.0</v>
      </c>
      <c r="K6" s="3">
        <v>0.879451</v>
      </c>
      <c r="L6" s="3">
        <v>172.8</v>
      </c>
      <c r="M6" s="4" t="str">
        <f>Raw_Data!X6</f>
        <v>mi</v>
      </c>
      <c r="N6" s="3">
        <v>21.0</v>
      </c>
      <c r="O6" s="3">
        <v>54.49</v>
      </c>
      <c r="P6" s="3">
        <v>-160.796</v>
      </c>
      <c r="Q6" s="3" t="s">
        <v>129</v>
      </c>
      <c r="R6" s="4"/>
      <c r="S6" s="4"/>
      <c r="T6" s="4" t="str">
        <f t="shared" si="2"/>
        <v>Valid</v>
      </c>
      <c r="U6" s="4">
        <f t="shared" si="3"/>
        <v>1</v>
      </c>
      <c r="V6" s="4" t="str">
        <f t="shared" si="4"/>
        <v>Unique</v>
      </c>
      <c r="W6" s="4" t="str">
        <f t="shared" si="5"/>
        <v>Unknown</v>
      </c>
      <c r="X6" s="4" t="str">
        <f t="shared" ref="X6:Z6" si="10">IF(Q6="","Unknown",Q6)</f>
        <v>Alaska Peninsula</v>
      </c>
      <c r="Y6" s="4" t="str">
        <f t="shared" si="10"/>
        <v>Unknown</v>
      </c>
      <c r="Z6" s="4" t="str">
        <f t="shared" si="10"/>
        <v>Unknown</v>
      </c>
      <c r="AA6" s="4" t="str">
        <f t="shared" si="7"/>
        <v>mi</v>
      </c>
    </row>
    <row r="7">
      <c r="A7" s="3" t="s">
        <v>130</v>
      </c>
      <c r="B7" s="3">
        <v>6.6</v>
      </c>
      <c r="C7" s="19">
        <f>Raw_Data!T7</f>
        <v>45117.85278</v>
      </c>
      <c r="D7" s="3">
        <v>5.0</v>
      </c>
      <c r="E7" s="3">
        <v>4.0</v>
      </c>
      <c r="F7" s="3" t="s">
        <v>109</v>
      </c>
      <c r="G7" s="3">
        <v>1.0</v>
      </c>
      <c r="H7" s="3">
        <v>802.0</v>
      </c>
      <c r="I7" s="3" t="s">
        <v>110</v>
      </c>
      <c r="J7" s="3">
        <v>95.0</v>
      </c>
      <c r="K7" s="3">
        <v>2.454</v>
      </c>
      <c r="L7" s="3">
        <v>37.0</v>
      </c>
      <c r="M7" s="4" t="str">
        <f>Raw_Data!X7</f>
        <v>mww</v>
      </c>
      <c r="N7" s="3">
        <v>10.0</v>
      </c>
      <c r="O7" s="3">
        <v>20.0196</v>
      </c>
      <c r="P7" s="3">
        <v>-61.0955</v>
      </c>
      <c r="Q7" s="3" t="s">
        <v>131</v>
      </c>
      <c r="R7" s="4"/>
      <c r="S7" s="4"/>
      <c r="T7" s="4" t="str">
        <f t="shared" si="2"/>
        <v>Valid</v>
      </c>
      <c r="U7" s="4">
        <f t="shared" si="3"/>
        <v>1</v>
      </c>
      <c r="V7" s="4" t="str">
        <f t="shared" si="4"/>
        <v>Unique</v>
      </c>
      <c r="W7" s="4" t="str">
        <f t="shared" si="5"/>
        <v>green</v>
      </c>
      <c r="X7" s="4" t="str">
        <f t="shared" ref="X7:Z7" si="11">IF(Q7="","Unknown",Q7)</f>
        <v>Codrington, Antigua and Barbuda</v>
      </c>
      <c r="Y7" s="4" t="str">
        <f t="shared" si="11"/>
        <v>Unknown</v>
      </c>
      <c r="Z7" s="4" t="str">
        <f t="shared" si="11"/>
        <v>Unknown</v>
      </c>
      <c r="AA7" s="4" t="str">
        <f t="shared" si="7"/>
        <v>mww</v>
      </c>
    </row>
    <row r="8">
      <c r="A8" s="3" t="s">
        <v>132</v>
      </c>
      <c r="B8" s="3">
        <v>6.9</v>
      </c>
      <c r="C8" s="19">
        <f>Raw_Data!T8</f>
        <v>45109.43542</v>
      </c>
      <c r="D8" s="3">
        <v>4.0</v>
      </c>
      <c r="E8" s="3">
        <v>4.0</v>
      </c>
      <c r="F8" s="3" t="s">
        <v>109</v>
      </c>
      <c r="G8" s="3">
        <v>1.0</v>
      </c>
      <c r="H8" s="3">
        <v>741.0</v>
      </c>
      <c r="I8" s="3" t="s">
        <v>110</v>
      </c>
      <c r="J8" s="3">
        <v>136.0</v>
      </c>
      <c r="K8" s="3">
        <v>1.179</v>
      </c>
      <c r="L8" s="3">
        <v>23.0</v>
      </c>
      <c r="M8" s="4" t="str">
        <f>Raw_Data!X8</f>
        <v>mww</v>
      </c>
      <c r="N8" s="3">
        <v>229.0</v>
      </c>
      <c r="O8" s="3">
        <v>-17.853</v>
      </c>
      <c r="P8" s="3">
        <v>-174.937</v>
      </c>
      <c r="Q8" s="3" t="s">
        <v>133</v>
      </c>
      <c r="R8" s="4"/>
      <c r="S8" s="4"/>
      <c r="T8" s="4" t="str">
        <f t="shared" si="2"/>
        <v>Valid</v>
      </c>
      <c r="U8" s="4">
        <f t="shared" si="3"/>
        <v>1</v>
      </c>
      <c r="V8" s="4" t="str">
        <f t="shared" si="4"/>
        <v>Unique</v>
      </c>
      <c r="W8" s="4" t="str">
        <f t="shared" si="5"/>
        <v>green</v>
      </c>
      <c r="X8" s="4" t="str">
        <f t="shared" ref="X8:Z8" si="12">IF(Q8="","Unknown",Q8)</f>
        <v>Tonga</v>
      </c>
      <c r="Y8" s="4" t="str">
        <f t="shared" si="12"/>
        <v>Unknown</v>
      </c>
      <c r="Z8" s="4" t="str">
        <f t="shared" si="12"/>
        <v>Unknown</v>
      </c>
      <c r="AA8" s="4" t="str">
        <f t="shared" si="7"/>
        <v>mww</v>
      </c>
    </row>
    <row r="9">
      <c r="A9" s="3" t="s">
        <v>134</v>
      </c>
      <c r="B9" s="3">
        <v>7.2</v>
      </c>
      <c r="C9" s="19">
        <f>Raw_Data!T9</f>
        <v>45092.75417</v>
      </c>
      <c r="D9" s="3">
        <v>8.0</v>
      </c>
      <c r="E9" s="3">
        <v>6.0</v>
      </c>
      <c r="F9" s="3" t="s">
        <v>109</v>
      </c>
      <c r="G9" s="3">
        <v>1.0</v>
      </c>
      <c r="H9" s="3">
        <v>804.0</v>
      </c>
      <c r="I9" s="3" t="s">
        <v>110</v>
      </c>
      <c r="J9" s="3">
        <v>85.0</v>
      </c>
      <c r="K9" s="3">
        <v>2.59</v>
      </c>
      <c r="L9" s="3">
        <v>24.0</v>
      </c>
      <c r="M9" s="4" t="str">
        <f>Raw_Data!X9</f>
        <v>mww</v>
      </c>
      <c r="N9" s="3">
        <v>167.404</v>
      </c>
      <c r="O9" s="3">
        <v>-22.9824</v>
      </c>
      <c r="P9" s="3">
        <v>-177.208</v>
      </c>
      <c r="Q9" s="3" t="s">
        <v>136</v>
      </c>
      <c r="R9" s="4"/>
      <c r="S9" s="4"/>
      <c r="T9" s="4" t="str">
        <f t="shared" si="2"/>
        <v>Valid</v>
      </c>
      <c r="U9" s="4">
        <f t="shared" si="3"/>
        <v>1</v>
      </c>
      <c r="V9" s="4" t="str">
        <f t="shared" si="4"/>
        <v>Unique</v>
      </c>
      <c r="W9" s="4" t="str">
        <f t="shared" si="5"/>
        <v>green</v>
      </c>
      <c r="X9" s="4" t="str">
        <f t="shared" ref="X9:Z9" si="13">IF(Q9="","Unknown",Q9)</f>
        <v>the Fiji Islands</v>
      </c>
      <c r="Y9" s="4" t="str">
        <f t="shared" si="13"/>
        <v>Unknown</v>
      </c>
      <c r="Z9" s="4" t="str">
        <f t="shared" si="13"/>
        <v>Unknown</v>
      </c>
      <c r="AA9" s="4" t="str">
        <f t="shared" si="7"/>
        <v>mww</v>
      </c>
    </row>
    <row r="10">
      <c r="A10" s="3" t="s">
        <v>137</v>
      </c>
      <c r="B10" s="3">
        <v>6.6</v>
      </c>
      <c r="C10" s="19">
        <f>Raw_Data!T10</f>
        <v>45071.12847</v>
      </c>
      <c r="D10" s="3">
        <v>6.0</v>
      </c>
      <c r="E10" s="3">
        <v>6.0</v>
      </c>
      <c r="F10" s="3" t="s">
        <v>109</v>
      </c>
      <c r="G10" s="3">
        <v>1.0</v>
      </c>
      <c r="H10" s="3">
        <v>733.0</v>
      </c>
      <c r="I10" s="3" t="s">
        <v>110</v>
      </c>
      <c r="J10" s="3">
        <v>50.0</v>
      </c>
      <c r="K10" s="3">
        <v>2.163</v>
      </c>
      <c r="L10" s="3">
        <v>129.0</v>
      </c>
      <c r="M10" s="4" t="str">
        <f>Raw_Data!X10</f>
        <v>mww</v>
      </c>
      <c r="N10" s="3">
        <v>10.0</v>
      </c>
      <c r="O10" s="3">
        <v>8.8894</v>
      </c>
      <c r="P10" s="3">
        <v>-77.1231</v>
      </c>
      <c r="Q10" s="3" t="s">
        <v>139</v>
      </c>
      <c r="R10" s="4"/>
      <c r="S10" s="3" t="s">
        <v>140</v>
      </c>
      <c r="T10" s="4" t="str">
        <f t="shared" si="2"/>
        <v>Valid</v>
      </c>
      <c r="U10" s="4">
        <f t="shared" si="3"/>
        <v>1</v>
      </c>
      <c r="V10" s="4" t="str">
        <f t="shared" si="4"/>
        <v>Unique</v>
      </c>
      <c r="W10" s="4" t="str">
        <f t="shared" si="5"/>
        <v>green</v>
      </c>
      <c r="X10" s="4" t="str">
        <f t="shared" ref="X10:Z10" si="14">IF(Q10="","Unknown",Q10)</f>
        <v>Panama-Colombia border region</v>
      </c>
      <c r="Y10" s="4" t="str">
        <f t="shared" si="14"/>
        <v>Unknown</v>
      </c>
      <c r="Z10" s="4" t="str">
        <f t="shared" si="14"/>
        <v>Colombia</v>
      </c>
      <c r="AA10" s="4" t="str">
        <f t="shared" si="7"/>
        <v>mww</v>
      </c>
    </row>
    <row r="11">
      <c r="A11" s="3" t="s">
        <v>141</v>
      </c>
      <c r="B11" s="3">
        <v>7.1</v>
      </c>
      <c r="C11" s="19">
        <f>Raw_Data!T11</f>
        <v>45066.07708</v>
      </c>
      <c r="D11" s="3">
        <v>3.0</v>
      </c>
      <c r="E11" s="3">
        <v>4.0</v>
      </c>
      <c r="F11" s="3" t="s">
        <v>109</v>
      </c>
      <c r="G11" s="3">
        <v>1.0</v>
      </c>
      <c r="H11" s="3">
        <v>777.0</v>
      </c>
      <c r="I11" s="3" t="s">
        <v>110</v>
      </c>
      <c r="J11" s="3">
        <v>98.0</v>
      </c>
      <c r="K11" s="3">
        <v>2.812</v>
      </c>
      <c r="L11" s="3">
        <v>56.0</v>
      </c>
      <c r="M11" s="4" t="str">
        <f>Raw_Data!X11</f>
        <v>mww</v>
      </c>
      <c r="N11" s="3">
        <v>35.981</v>
      </c>
      <c r="O11" s="3">
        <v>-23.0622</v>
      </c>
      <c r="P11" s="3">
        <v>170.456</v>
      </c>
      <c r="Q11" s="3" t="s">
        <v>143</v>
      </c>
      <c r="R11" s="4"/>
      <c r="S11" s="4"/>
      <c r="T11" s="4" t="str">
        <f t="shared" si="2"/>
        <v>Valid</v>
      </c>
      <c r="U11" s="4">
        <f t="shared" si="3"/>
        <v>1</v>
      </c>
      <c r="V11" s="4" t="str">
        <f t="shared" si="4"/>
        <v>Unique</v>
      </c>
      <c r="W11" s="4" t="str">
        <f t="shared" si="5"/>
        <v>green</v>
      </c>
      <c r="X11" s="4" t="str">
        <f t="shared" ref="X11:Z11" si="15">IF(Q11="","Unknown",Q11)</f>
        <v>the Loyalty Islands</v>
      </c>
      <c r="Y11" s="4" t="str">
        <f t="shared" si="15"/>
        <v>Unknown</v>
      </c>
      <c r="Z11" s="4" t="str">
        <f t="shared" si="15"/>
        <v>Unknown</v>
      </c>
      <c r="AA11" s="4" t="str">
        <f t="shared" si="7"/>
        <v>mww</v>
      </c>
    </row>
    <row r="12">
      <c r="A12" s="3" t="s">
        <v>144</v>
      </c>
      <c r="B12" s="3">
        <v>7.7</v>
      </c>
      <c r="C12" s="19">
        <f>Raw_Data!T12</f>
        <v>45065.12292</v>
      </c>
      <c r="D12" s="3">
        <v>5.0</v>
      </c>
      <c r="E12" s="3">
        <v>4.0</v>
      </c>
      <c r="F12" s="3" t="s">
        <v>109</v>
      </c>
      <c r="G12" s="3">
        <v>1.0</v>
      </c>
      <c r="H12" s="3">
        <v>927.0</v>
      </c>
      <c r="I12" s="3" t="s">
        <v>110</v>
      </c>
      <c r="J12" s="3">
        <v>277.0</v>
      </c>
      <c r="K12" s="3">
        <v>3.111</v>
      </c>
      <c r="L12" s="3">
        <v>15.0</v>
      </c>
      <c r="M12" s="4" t="str">
        <f>Raw_Data!X12</f>
        <v>mww</v>
      </c>
      <c r="N12" s="3">
        <v>18.027</v>
      </c>
      <c r="O12" s="3">
        <v>-23.2286</v>
      </c>
      <c r="P12" s="3">
        <v>170.694</v>
      </c>
      <c r="Q12" s="3" t="s">
        <v>143</v>
      </c>
      <c r="R12" s="4"/>
      <c r="S12" s="4"/>
      <c r="T12" s="4" t="str">
        <f t="shared" si="2"/>
        <v>Valid</v>
      </c>
      <c r="U12" s="4">
        <f t="shared" si="3"/>
        <v>1</v>
      </c>
      <c r="V12" s="4" t="str">
        <f t="shared" si="4"/>
        <v>Unique</v>
      </c>
      <c r="W12" s="4" t="str">
        <f t="shared" si="5"/>
        <v>green</v>
      </c>
      <c r="X12" s="4" t="str">
        <f t="shared" ref="X12:Z12" si="16">IF(Q12="","Unknown",Q12)</f>
        <v>the Loyalty Islands</v>
      </c>
      <c r="Y12" s="4" t="str">
        <f t="shared" si="16"/>
        <v>Unknown</v>
      </c>
      <c r="Z12" s="4" t="str">
        <f t="shared" si="16"/>
        <v>Unknown</v>
      </c>
      <c r="AA12" s="4" t="str">
        <f t="shared" si="7"/>
        <v>mww</v>
      </c>
    </row>
    <row r="13">
      <c r="A13" s="3" t="s">
        <v>146</v>
      </c>
      <c r="B13" s="3">
        <v>7.6</v>
      </c>
      <c r="C13" s="19">
        <f>Raw_Data!T13</f>
        <v>45056.66806</v>
      </c>
      <c r="D13" s="3">
        <v>8.0</v>
      </c>
      <c r="E13" s="3">
        <v>6.0</v>
      </c>
      <c r="F13" s="3" t="s">
        <v>109</v>
      </c>
      <c r="G13" s="3">
        <v>1.0</v>
      </c>
      <c r="H13" s="3">
        <v>907.0</v>
      </c>
      <c r="I13" s="3" t="s">
        <v>110</v>
      </c>
      <c r="J13" s="3">
        <v>111.0</v>
      </c>
      <c r="K13" s="3">
        <v>3.631</v>
      </c>
      <c r="L13" s="3">
        <v>17.0</v>
      </c>
      <c r="M13" s="4" t="str">
        <f>Raw_Data!X13</f>
        <v>mww</v>
      </c>
      <c r="N13" s="3">
        <v>210.097</v>
      </c>
      <c r="O13" s="3">
        <v>-15.6002</v>
      </c>
      <c r="P13" s="3">
        <v>-174.608</v>
      </c>
      <c r="Q13" s="3" t="s">
        <v>147</v>
      </c>
      <c r="R13" s="4"/>
      <c r="S13" s="4"/>
      <c r="T13" s="4" t="str">
        <f t="shared" si="2"/>
        <v>Valid</v>
      </c>
      <c r="U13" s="4">
        <f t="shared" si="3"/>
        <v>1</v>
      </c>
      <c r="V13" s="4" t="str">
        <f t="shared" si="4"/>
        <v>Unique</v>
      </c>
      <c r="W13" s="4" t="str">
        <f t="shared" si="5"/>
        <v>green</v>
      </c>
      <c r="X13" s="4" t="str">
        <f t="shared" ref="X13:Z13" si="17">IF(Q13="","Unknown",Q13)</f>
        <v>Hihifo, Tonga</v>
      </c>
      <c r="Y13" s="4" t="str">
        <f t="shared" si="17"/>
        <v>Unknown</v>
      </c>
      <c r="Z13" s="4" t="str">
        <f t="shared" si="17"/>
        <v>Unknown</v>
      </c>
      <c r="AA13" s="4" t="str">
        <f t="shared" si="7"/>
        <v>mww</v>
      </c>
    </row>
    <row r="14">
      <c r="A14" s="3" t="s">
        <v>148</v>
      </c>
      <c r="B14" s="3">
        <v>6.6</v>
      </c>
      <c r="C14" s="19">
        <f>Raw_Data!T14</f>
        <v>45044.13403</v>
      </c>
      <c r="D14" s="3">
        <v>0.0</v>
      </c>
      <c r="E14" s="3">
        <v>2.0</v>
      </c>
      <c r="F14" s="3" t="s">
        <v>109</v>
      </c>
      <c r="G14" s="3">
        <v>0.0</v>
      </c>
      <c r="H14" s="3">
        <v>670.0</v>
      </c>
      <c r="I14" s="3" t="s">
        <v>110</v>
      </c>
      <c r="J14" s="3">
        <v>52.0</v>
      </c>
      <c r="K14" s="3">
        <v>5.123</v>
      </c>
      <c r="L14" s="3">
        <v>50.0</v>
      </c>
      <c r="M14" s="4" t="str">
        <f>Raw_Data!X14</f>
        <v>mww</v>
      </c>
      <c r="N14" s="3">
        <v>598.467</v>
      </c>
      <c r="O14" s="3">
        <v>-25.2657</v>
      </c>
      <c r="P14" s="3">
        <v>178.424</v>
      </c>
      <c r="Q14" s="3" t="s">
        <v>136</v>
      </c>
      <c r="R14" s="4"/>
      <c r="S14" s="4"/>
      <c r="T14" s="4" t="str">
        <f t="shared" si="2"/>
        <v>Valid</v>
      </c>
      <c r="U14" s="4">
        <f t="shared" si="3"/>
        <v>1</v>
      </c>
      <c r="V14" s="4" t="str">
        <f t="shared" si="4"/>
        <v>Unique</v>
      </c>
      <c r="W14" s="4" t="str">
        <f t="shared" si="5"/>
        <v>green</v>
      </c>
      <c r="X14" s="4" t="str">
        <f t="shared" ref="X14:Z14" si="18">IF(Q14="","Unknown",Q14)</f>
        <v>the Fiji Islands</v>
      </c>
      <c r="Y14" s="4" t="str">
        <f t="shared" si="18"/>
        <v>Unknown</v>
      </c>
      <c r="Z14" s="4" t="str">
        <f t="shared" si="18"/>
        <v>Unknown</v>
      </c>
      <c r="AA14" s="4" t="str">
        <f t="shared" si="7"/>
        <v>mww</v>
      </c>
    </row>
    <row r="15">
      <c r="A15" s="3" t="s">
        <v>150</v>
      </c>
      <c r="B15" s="3">
        <v>7.1</v>
      </c>
      <c r="C15" s="19">
        <f>Raw_Data!T15</f>
        <v>45040.83333</v>
      </c>
      <c r="D15" s="3">
        <v>9.0</v>
      </c>
      <c r="E15" s="3">
        <v>7.0</v>
      </c>
      <c r="F15" s="3" t="s">
        <v>109</v>
      </c>
      <c r="G15" s="3">
        <v>0.0</v>
      </c>
      <c r="H15" s="3">
        <v>838.0</v>
      </c>
      <c r="I15" s="3" t="s">
        <v>110</v>
      </c>
      <c r="J15" s="3">
        <v>70.0</v>
      </c>
      <c r="K15" s="3">
        <v>2.282</v>
      </c>
      <c r="L15" s="3">
        <v>58.0</v>
      </c>
      <c r="M15" s="4" t="str">
        <f>Raw_Data!X15</f>
        <v>mww</v>
      </c>
      <c r="N15" s="3">
        <v>15.462</v>
      </c>
      <c r="O15" s="3">
        <v>-0.781</v>
      </c>
      <c r="P15" s="3">
        <v>98.5339</v>
      </c>
      <c r="Q15" s="3" t="s">
        <v>152</v>
      </c>
      <c r="R15" s="4"/>
      <c r="S15" s="3" t="s">
        <v>153</v>
      </c>
      <c r="T15" s="4" t="str">
        <f t="shared" si="2"/>
        <v>Valid</v>
      </c>
      <c r="U15" s="4">
        <f t="shared" si="3"/>
        <v>1</v>
      </c>
      <c r="V15" s="4" t="str">
        <f t="shared" si="4"/>
        <v>Unique</v>
      </c>
      <c r="W15" s="4" t="str">
        <f t="shared" si="5"/>
        <v>green</v>
      </c>
      <c r="X15" s="4" t="str">
        <f t="shared" ref="X15:Z15" si="19">IF(Q15="","Unknown",Q15)</f>
        <v>Teluk Dalam, Indonesia</v>
      </c>
      <c r="Y15" s="4" t="str">
        <f t="shared" si="19"/>
        <v>Unknown</v>
      </c>
      <c r="Z15" s="4" t="str">
        <f t="shared" si="19"/>
        <v>Indonesia</v>
      </c>
      <c r="AA15" s="4" t="str">
        <f t="shared" si="7"/>
        <v>mww</v>
      </c>
    </row>
    <row r="16">
      <c r="A16" s="3" t="s">
        <v>154</v>
      </c>
      <c r="B16" s="3">
        <v>7.1</v>
      </c>
      <c r="C16" s="19">
        <f>Raw_Data!T16</f>
        <v>45040.02847</v>
      </c>
      <c r="D16" s="3">
        <v>8.0</v>
      </c>
      <c r="E16" s="3">
        <v>7.0</v>
      </c>
      <c r="F16" s="3" t="s">
        <v>109</v>
      </c>
      <c r="G16" s="3">
        <v>1.0</v>
      </c>
      <c r="H16" s="3">
        <v>777.0</v>
      </c>
      <c r="I16" s="3" t="s">
        <v>110</v>
      </c>
      <c r="J16" s="3">
        <v>126.0</v>
      </c>
      <c r="K16" s="3">
        <v>0.708</v>
      </c>
      <c r="L16" s="3">
        <v>23.0</v>
      </c>
      <c r="M16" s="4" t="str">
        <f>Raw_Data!X16</f>
        <v>mww</v>
      </c>
      <c r="N16" s="3">
        <v>43.063</v>
      </c>
      <c r="O16" s="3">
        <v>-30.0249</v>
      </c>
      <c r="P16" s="3">
        <v>-177.897</v>
      </c>
      <c r="Q16" s="3" t="s">
        <v>156</v>
      </c>
      <c r="R16" s="4"/>
      <c r="S16" s="4"/>
      <c r="T16" s="4" t="str">
        <f t="shared" si="2"/>
        <v>Valid</v>
      </c>
      <c r="U16" s="4">
        <f t="shared" si="3"/>
        <v>1</v>
      </c>
      <c r="V16" s="4" t="str">
        <f t="shared" si="4"/>
        <v>Unique</v>
      </c>
      <c r="W16" s="4" t="str">
        <f t="shared" si="5"/>
        <v>green</v>
      </c>
      <c r="X16" s="4" t="str">
        <f t="shared" ref="X16:Z16" si="20">IF(Q16="","Unknown",Q16)</f>
        <v>Kermadec Islands, New Zealand</v>
      </c>
      <c r="Y16" s="4" t="str">
        <f t="shared" si="20"/>
        <v>Unknown</v>
      </c>
      <c r="Z16" s="4" t="str">
        <f t="shared" si="20"/>
        <v>Unknown</v>
      </c>
      <c r="AA16" s="4" t="str">
        <f t="shared" si="7"/>
        <v>mww</v>
      </c>
    </row>
    <row r="17">
      <c r="A17" s="3" t="s">
        <v>157</v>
      </c>
      <c r="B17" s="3">
        <v>6.7</v>
      </c>
      <c r="C17" s="19">
        <f>Raw_Data!T17</f>
        <v>45034.18819</v>
      </c>
      <c r="D17" s="3">
        <v>0.0</v>
      </c>
      <c r="E17" s="3">
        <v>3.0</v>
      </c>
      <c r="F17" s="3" t="s">
        <v>109</v>
      </c>
      <c r="G17" s="3">
        <v>1.0</v>
      </c>
      <c r="H17" s="3">
        <v>691.0</v>
      </c>
      <c r="I17" s="3" t="s">
        <v>110</v>
      </c>
      <c r="J17" s="3">
        <v>166.0</v>
      </c>
      <c r="K17" s="3">
        <v>4.719</v>
      </c>
      <c r="L17" s="3">
        <v>10.0</v>
      </c>
      <c r="M17" s="4" t="str">
        <f>Raw_Data!X17</f>
        <v>mww</v>
      </c>
      <c r="N17" s="3">
        <v>595.854</v>
      </c>
      <c r="O17" s="3">
        <v>-22.2844</v>
      </c>
      <c r="P17" s="3">
        <v>179.391</v>
      </c>
      <c r="Q17" s="3" t="s">
        <v>136</v>
      </c>
      <c r="R17" s="4"/>
      <c r="S17" s="4"/>
      <c r="T17" s="4" t="str">
        <f t="shared" si="2"/>
        <v>Valid</v>
      </c>
      <c r="U17" s="4">
        <f t="shared" si="3"/>
        <v>1</v>
      </c>
      <c r="V17" s="4" t="str">
        <f t="shared" si="4"/>
        <v>Unique</v>
      </c>
      <c r="W17" s="4" t="str">
        <f t="shared" si="5"/>
        <v>green</v>
      </c>
      <c r="X17" s="4" t="str">
        <f t="shared" ref="X17:Z17" si="21">IF(Q17="","Unknown",Q17)</f>
        <v>the Fiji Islands</v>
      </c>
      <c r="Y17" s="4" t="str">
        <f t="shared" si="21"/>
        <v>Unknown</v>
      </c>
      <c r="Z17" s="4" t="str">
        <f t="shared" si="21"/>
        <v>Unknown</v>
      </c>
      <c r="AA17" s="4" t="str">
        <f t="shared" si="7"/>
        <v>mww</v>
      </c>
    </row>
    <row r="18">
      <c r="A18" s="3" t="s">
        <v>159</v>
      </c>
      <c r="B18" s="3">
        <v>7.0</v>
      </c>
      <c r="C18" s="19">
        <f>Raw_Data!T18</f>
        <v>45030.41319</v>
      </c>
      <c r="D18" s="3">
        <v>5.0</v>
      </c>
      <c r="E18" s="3">
        <v>3.0</v>
      </c>
      <c r="F18" s="3" t="s">
        <v>109</v>
      </c>
      <c r="G18" s="3">
        <v>0.0</v>
      </c>
      <c r="H18" s="3">
        <v>818.0</v>
      </c>
      <c r="I18" s="3" t="s">
        <v>110</v>
      </c>
      <c r="J18" s="3">
        <v>131.0</v>
      </c>
      <c r="K18" s="3">
        <v>1.881</v>
      </c>
      <c r="L18" s="3">
        <v>31.0</v>
      </c>
      <c r="M18" s="4" t="str">
        <f>Raw_Data!X18</f>
        <v>mww</v>
      </c>
      <c r="N18" s="3">
        <v>594.028</v>
      </c>
      <c r="O18" s="3">
        <v>-6.0255</v>
      </c>
      <c r="P18" s="3">
        <v>112.033</v>
      </c>
      <c r="Q18" s="3" t="s">
        <v>161</v>
      </c>
      <c r="R18" s="4"/>
      <c r="S18" s="3" t="s">
        <v>153</v>
      </c>
      <c r="T18" s="4" t="str">
        <f t="shared" si="2"/>
        <v>Valid</v>
      </c>
      <c r="U18" s="4">
        <f t="shared" si="3"/>
        <v>1</v>
      </c>
      <c r="V18" s="4" t="str">
        <f t="shared" si="4"/>
        <v>Unique</v>
      </c>
      <c r="W18" s="4" t="str">
        <f t="shared" si="5"/>
        <v>green</v>
      </c>
      <c r="X18" s="4" t="str">
        <f t="shared" ref="X18:Z18" si="22">IF(Q18="","Unknown",Q18)</f>
        <v>Tuban, Indonesia</v>
      </c>
      <c r="Y18" s="4" t="str">
        <f t="shared" si="22"/>
        <v>Unknown</v>
      </c>
      <c r="Z18" s="4" t="str">
        <f t="shared" si="22"/>
        <v>Indonesia</v>
      </c>
      <c r="AA18" s="4" t="str">
        <f t="shared" si="7"/>
        <v>mww</v>
      </c>
    </row>
    <row r="19">
      <c r="A19" s="3" t="s">
        <v>162</v>
      </c>
      <c r="B19" s="3">
        <v>6.5</v>
      </c>
      <c r="C19" s="19">
        <f>Raw_Data!T19</f>
        <v>45019.12917</v>
      </c>
      <c r="D19" s="3">
        <v>7.0</v>
      </c>
      <c r="E19" s="3">
        <v>6.0</v>
      </c>
      <c r="F19" s="3" t="s">
        <v>116</v>
      </c>
      <c r="G19" s="3">
        <v>1.0</v>
      </c>
      <c r="H19" s="3">
        <v>655.0</v>
      </c>
      <c r="I19" s="3" t="s">
        <v>110</v>
      </c>
      <c r="J19" s="3">
        <v>104.0</v>
      </c>
      <c r="K19" s="3">
        <v>0.266</v>
      </c>
      <c r="L19" s="3">
        <v>30.0</v>
      </c>
      <c r="M19" s="4" t="str">
        <f>Raw_Data!X19</f>
        <v>mww</v>
      </c>
      <c r="N19" s="3">
        <v>105.631</v>
      </c>
      <c r="O19" s="3">
        <v>52.7772</v>
      </c>
      <c r="P19" s="3">
        <v>158.484</v>
      </c>
      <c r="Q19" s="3" t="s">
        <v>163</v>
      </c>
      <c r="R19" s="3" t="s">
        <v>164</v>
      </c>
      <c r="S19" s="3" t="s">
        <v>165</v>
      </c>
      <c r="T19" s="4" t="str">
        <f t="shared" si="2"/>
        <v>Valid</v>
      </c>
      <c r="U19" s="4">
        <f t="shared" si="3"/>
        <v>1</v>
      </c>
      <c r="V19" s="4" t="str">
        <f t="shared" si="4"/>
        <v>Unique</v>
      </c>
      <c r="W19" s="4" t="str">
        <f t="shared" si="5"/>
        <v>yellow</v>
      </c>
      <c r="X19" s="4" t="str">
        <f t="shared" ref="X19:Z19" si="23">IF(Q19="","Unknown",Q19)</f>
        <v>the Kamchatka Peninsula, Russia</v>
      </c>
      <c r="Y19" s="4" t="str">
        <f t="shared" si="23"/>
        <v>Asia</v>
      </c>
      <c r="Z19" s="4" t="str">
        <f t="shared" si="23"/>
        <v>Russian Federation (the)</v>
      </c>
      <c r="AA19" s="4" t="str">
        <f t="shared" si="7"/>
        <v>mww</v>
      </c>
    </row>
    <row r="20">
      <c r="A20" s="3" t="s">
        <v>166</v>
      </c>
      <c r="B20" s="3">
        <v>7.0</v>
      </c>
      <c r="C20" s="19">
        <f>Raw_Data!T20</f>
        <v>45018.75278</v>
      </c>
      <c r="D20" s="3">
        <v>7.0</v>
      </c>
      <c r="E20" s="3">
        <v>7.0</v>
      </c>
      <c r="F20" s="3" t="s">
        <v>109</v>
      </c>
      <c r="G20" s="3">
        <v>1.0</v>
      </c>
      <c r="H20" s="3">
        <v>781.0</v>
      </c>
      <c r="I20" s="3" t="s">
        <v>110</v>
      </c>
      <c r="J20" s="3">
        <v>105.0</v>
      </c>
      <c r="K20" s="3">
        <v>6.45</v>
      </c>
      <c r="L20" s="3">
        <v>31.0</v>
      </c>
      <c r="M20" s="4" t="str">
        <f>Raw_Data!X20</f>
        <v>mww</v>
      </c>
      <c r="N20" s="3">
        <v>62.603</v>
      </c>
      <c r="O20" s="3">
        <v>-4.2924</v>
      </c>
      <c r="P20" s="3">
        <v>143.155</v>
      </c>
      <c r="Q20" s="3" t="s">
        <v>167</v>
      </c>
      <c r="R20" s="3" t="s">
        <v>164</v>
      </c>
      <c r="S20" s="3" t="s">
        <v>168</v>
      </c>
      <c r="T20" s="4" t="str">
        <f t="shared" si="2"/>
        <v>Valid</v>
      </c>
      <c r="U20" s="4">
        <f t="shared" si="3"/>
        <v>1</v>
      </c>
      <c r="V20" s="4" t="str">
        <f t="shared" si="4"/>
        <v>Unique</v>
      </c>
      <c r="W20" s="4" t="str">
        <f t="shared" si="5"/>
        <v>green</v>
      </c>
      <c r="X20" s="4" t="str">
        <f t="shared" ref="X20:Z20" si="24">IF(Q20="","Unknown",Q20)</f>
        <v>New Guinea, Papua New Guinea</v>
      </c>
      <c r="Y20" s="4" t="str">
        <f t="shared" si="24"/>
        <v>Asia</v>
      </c>
      <c r="Z20" s="4" t="str">
        <f t="shared" si="24"/>
        <v>Papua New Guinea</v>
      </c>
      <c r="AA20" s="4" t="str">
        <f t="shared" si="7"/>
        <v>mww</v>
      </c>
    </row>
    <row r="21">
      <c r="A21" s="3" t="s">
        <v>169</v>
      </c>
      <c r="B21" s="3">
        <v>6.5</v>
      </c>
      <c r="C21" s="19">
        <f>Raw_Data!T21</f>
        <v>45007.66667</v>
      </c>
      <c r="D21" s="3">
        <v>4.0</v>
      </c>
      <c r="E21" s="3">
        <v>4.0</v>
      </c>
      <c r="F21" s="3" t="s">
        <v>109</v>
      </c>
      <c r="G21" s="3">
        <v>0.0</v>
      </c>
      <c r="H21" s="3">
        <v>656.0</v>
      </c>
      <c r="I21" s="3" t="s">
        <v>110</v>
      </c>
      <c r="J21" s="3">
        <v>97.0</v>
      </c>
      <c r="K21" s="3">
        <v>1.622</v>
      </c>
      <c r="L21" s="3">
        <v>33.0</v>
      </c>
      <c r="M21" s="4" t="str">
        <f>Raw_Data!X21</f>
        <v>mww</v>
      </c>
      <c r="N21" s="3">
        <v>209.976</v>
      </c>
      <c r="O21" s="3">
        <v>-23.4797</v>
      </c>
      <c r="P21" s="3">
        <v>-66.5108</v>
      </c>
      <c r="Q21" s="3" t="s">
        <v>171</v>
      </c>
      <c r="R21" s="3" t="s">
        <v>121</v>
      </c>
      <c r="S21" s="3" t="s">
        <v>122</v>
      </c>
      <c r="T21" s="4" t="str">
        <f t="shared" si="2"/>
        <v>Valid</v>
      </c>
      <c r="U21" s="4">
        <f t="shared" si="3"/>
        <v>1</v>
      </c>
      <c r="V21" s="4" t="str">
        <f t="shared" si="4"/>
        <v>Unique</v>
      </c>
      <c r="W21" s="4" t="str">
        <f t="shared" si="5"/>
        <v>green</v>
      </c>
      <c r="X21" s="4" t="str">
        <f t="shared" ref="X21:Z21" si="25">IF(Q21="","Unknown",Q21)</f>
        <v>San Antonio de los Cobres, Argentina</v>
      </c>
      <c r="Y21" s="4" t="str">
        <f t="shared" si="25"/>
        <v>South America</v>
      </c>
      <c r="Z21" s="4" t="str">
        <f t="shared" si="25"/>
        <v>Argentina</v>
      </c>
      <c r="AA21" s="4" t="str">
        <f t="shared" si="7"/>
        <v>mww</v>
      </c>
    </row>
    <row r="22">
      <c r="A22" s="3" t="s">
        <v>172</v>
      </c>
      <c r="B22" s="3">
        <v>6.5</v>
      </c>
      <c r="C22" s="19">
        <f>Raw_Data!T22</f>
        <v>45006.69931</v>
      </c>
      <c r="D22" s="3">
        <v>7.0</v>
      </c>
      <c r="E22" s="3">
        <v>5.0</v>
      </c>
      <c r="F22" s="3" t="s">
        <v>109</v>
      </c>
      <c r="G22" s="3">
        <v>0.0</v>
      </c>
      <c r="H22" s="3">
        <v>1350.0</v>
      </c>
      <c r="I22" s="3" t="s">
        <v>110</v>
      </c>
      <c r="J22" s="3">
        <v>134.0</v>
      </c>
      <c r="K22" s="3">
        <v>2.53</v>
      </c>
      <c r="L22" s="3">
        <v>13.0</v>
      </c>
      <c r="M22" s="4" t="str">
        <f>Raw_Data!X22</f>
        <v>mww</v>
      </c>
      <c r="N22" s="3">
        <v>187.589</v>
      </c>
      <c r="O22" s="3">
        <v>36.5227</v>
      </c>
      <c r="P22" s="3">
        <v>70.9787</v>
      </c>
      <c r="Q22" s="3" t="s">
        <v>174</v>
      </c>
      <c r="R22" s="3" t="s">
        <v>164</v>
      </c>
      <c r="S22" s="3" t="s">
        <v>175</v>
      </c>
      <c r="T22" s="4" t="str">
        <f t="shared" si="2"/>
        <v>Valid</v>
      </c>
      <c r="U22" s="4">
        <f t="shared" si="3"/>
        <v>1</v>
      </c>
      <c r="V22" s="4" t="str">
        <f t="shared" si="4"/>
        <v>Unique</v>
      </c>
      <c r="W22" s="4" t="str">
        <f t="shared" si="5"/>
        <v>green</v>
      </c>
      <c r="X22" s="4" t="str">
        <f t="shared" ref="X22:Z22" si="26">IF(Q22="","Unknown",Q22)</f>
        <v>Jurm, Afghanistan</v>
      </c>
      <c r="Y22" s="4" t="str">
        <f t="shared" si="26"/>
        <v>Asia</v>
      </c>
      <c r="Z22" s="4" t="str">
        <f t="shared" si="26"/>
        <v>Afghanistan</v>
      </c>
      <c r="AA22" s="4" t="str">
        <f t="shared" si="7"/>
        <v>mww</v>
      </c>
    </row>
    <row r="23">
      <c r="A23" s="3" t="s">
        <v>176</v>
      </c>
      <c r="B23" s="3">
        <v>6.8</v>
      </c>
      <c r="C23" s="19">
        <f>Raw_Data!T23</f>
        <v>45003.71667</v>
      </c>
      <c r="D23" s="3">
        <v>9.0</v>
      </c>
      <c r="E23" s="3">
        <v>7.0</v>
      </c>
      <c r="F23" s="3" t="s">
        <v>178</v>
      </c>
      <c r="G23" s="3">
        <v>1.0</v>
      </c>
      <c r="H23" s="3">
        <v>1159.0</v>
      </c>
      <c r="I23" s="3" t="s">
        <v>110</v>
      </c>
      <c r="J23" s="3">
        <v>152.0</v>
      </c>
      <c r="K23" s="3">
        <v>0.709</v>
      </c>
      <c r="L23" s="3">
        <v>28.0</v>
      </c>
      <c r="M23" s="4" t="str">
        <f>Raw_Data!X23</f>
        <v>mww</v>
      </c>
      <c r="N23" s="3">
        <v>65.842</v>
      </c>
      <c r="O23" s="3">
        <v>-2.851</v>
      </c>
      <c r="P23" s="3">
        <v>-79.8001</v>
      </c>
      <c r="Q23" s="3" t="s">
        <v>179</v>
      </c>
      <c r="R23" s="3" t="s">
        <v>121</v>
      </c>
      <c r="S23" s="3" t="s">
        <v>179</v>
      </c>
      <c r="T23" s="4" t="str">
        <f t="shared" si="2"/>
        <v>Valid</v>
      </c>
      <c r="U23" s="4">
        <f t="shared" si="3"/>
        <v>1</v>
      </c>
      <c r="V23" s="4" t="str">
        <f t="shared" si="4"/>
        <v>Unique</v>
      </c>
      <c r="W23" s="4" t="str">
        <f t="shared" si="5"/>
        <v>orange</v>
      </c>
      <c r="X23" s="4" t="str">
        <f t="shared" ref="X23:Z23" si="27">IF(Q23="","Unknown",Q23)</f>
        <v>Ecuador</v>
      </c>
      <c r="Y23" s="4" t="str">
        <f t="shared" si="27"/>
        <v>South America</v>
      </c>
      <c r="Z23" s="4" t="str">
        <f t="shared" si="27"/>
        <v>Ecuador</v>
      </c>
      <c r="AA23" s="4" t="str">
        <f t="shared" si="7"/>
        <v>mww</v>
      </c>
    </row>
    <row r="24">
      <c r="A24" s="3" t="s">
        <v>180</v>
      </c>
      <c r="B24" s="3">
        <v>7.0</v>
      </c>
      <c r="C24" s="19">
        <f>Raw_Data!T24</f>
        <v>45001.03889</v>
      </c>
      <c r="D24" s="3">
        <v>8.0</v>
      </c>
      <c r="E24" s="3">
        <v>5.0</v>
      </c>
      <c r="F24" s="3" t="s">
        <v>109</v>
      </c>
      <c r="G24" s="3">
        <v>1.0</v>
      </c>
      <c r="H24" s="3">
        <v>756.0</v>
      </c>
      <c r="I24" s="3" t="s">
        <v>110</v>
      </c>
      <c r="J24" s="3">
        <v>116.0</v>
      </c>
      <c r="K24" s="3">
        <v>1.789</v>
      </c>
      <c r="L24" s="3">
        <v>22.0</v>
      </c>
      <c r="M24" s="4" t="str">
        <f>Raw_Data!X24</f>
        <v>mww</v>
      </c>
      <c r="N24" s="3">
        <v>22.065</v>
      </c>
      <c r="O24" s="3">
        <v>-30.1147</v>
      </c>
      <c r="P24" s="3">
        <v>-176.112</v>
      </c>
      <c r="Q24" s="3" t="s">
        <v>182</v>
      </c>
      <c r="R24" s="4"/>
      <c r="S24" s="4"/>
      <c r="T24" s="4" t="str">
        <f t="shared" si="2"/>
        <v>Valid</v>
      </c>
      <c r="U24" s="4">
        <f t="shared" si="3"/>
        <v>1</v>
      </c>
      <c r="V24" s="4" t="str">
        <f t="shared" si="4"/>
        <v>Unique</v>
      </c>
      <c r="W24" s="4" t="str">
        <f t="shared" si="5"/>
        <v>green</v>
      </c>
      <c r="X24" s="4" t="str">
        <f t="shared" ref="X24:Z24" si="28">IF(Q24="","Unknown",Q24)</f>
        <v>Kermadec Islands region</v>
      </c>
      <c r="Y24" s="4" t="str">
        <f t="shared" si="28"/>
        <v>Unknown</v>
      </c>
      <c r="Z24" s="4" t="str">
        <f t="shared" si="28"/>
        <v>Unknown</v>
      </c>
      <c r="AA24" s="4" t="str">
        <f t="shared" si="7"/>
        <v>mww</v>
      </c>
    </row>
    <row r="25">
      <c r="A25" s="3" t="s">
        <v>183</v>
      </c>
      <c r="B25" s="3">
        <v>6.9</v>
      </c>
      <c r="C25" s="19">
        <f>Raw_Data!T25</f>
        <v>44989.27847</v>
      </c>
      <c r="D25" s="3">
        <v>5.0</v>
      </c>
      <c r="E25" s="3">
        <v>5.0</v>
      </c>
      <c r="F25" s="3" t="s">
        <v>109</v>
      </c>
      <c r="G25" s="3">
        <v>1.0</v>
      </c>
      <c r="H25" s="3">
        <v>735.0</v>
      </c>
      <c r="I25" s="3" t="s">
        <v>110</v>
      </c>
      <c r="J25" s="3">
        <v>108.0</v>
      </c>
      <c r="K25" s="3">
        <v>0.784</v>
      </c>
      <c r="L25" s="3">
        <v>18.0</v>
      </c>
      <c r="M25" s="4" t="str">
        <f>Raw_Data!X25</f>
        <v>mww</v>
      </c>
      <c r="N25" s="3">
        <v>205.681</v>
      </c>
      <c r="O25" s="3">
        <v>-29.4748</v>
      </c>
      <c r="P25" s="3">
        <v>-178.787</v>
      </c>
      <c r="Q25" s="3" t="s">
        <v>156</v>
      </c>
      <c r="R25" s="4"/>
      <c r="S25" s="4"/>
      <c r="T25" s="4" t="str">
        <f t="shared" si="2"/>
        <v>Valid</v>
      </c>
      <c r="U25" s="4">
        <f t="shared" si="3"/>
        <v>1</v>
      </c>
      <c r="V25" s="4" t="str">
        <f t="shared" si="4"/>
        <v>Unique</v>
      </c>
      <c r="W25" s="4" t="str">
        <f t="shared" si="5"/>
        <v>green</v>
      </c>
      <c r="X25" s="4" t="str">
        <f t="shared" ref="X25:Z25" si="29">IF(Q25="","Unknown",Q25)</f>
        <v>Kermadec Islands, New Zealand</v>
      </c>
      <c r="Y25" s="4" t="str">
        <f t="shared" si="29"/>
        <v>Unknown</v>
      </c>
      <c r="Z25" s="4" t="str">
        <f t="shared" si="29"/>
        <v>Unknown</v>
      </c>
      <c r="AA25" s="4" t="str">
        <f t="shared" si="7"/>
        <v>mww</v>
      </c>
    </row>
    <row r="26">
      <c r="A26" s="3" t="s">
        <v>184</v>
      </c>
      <c r="B26" s="3">
        <v>6.5</v>
      </c>
      <c r="C26" s="19">
        <f>Raw_Data!T26</f>
        <v>44987.75278</v>
      </c>
      <c r="D26" s="3">
        <v>7.0</v>
      </c>
      <c r="E26" s="3">
        <v>6.0</v>
      </c>
      <c r="F26" s="3" t="s">
        <v>109</v>
      </c>
      <c r="G26" s="3">
        <v>1.0</v>
      </c>
      <c r="H26" s="3">
        <v>653.0</v>
      </c>
      <c r="I26" s="3" t="s">
        <v>110</v>
      </c>
      <c r="J26" s="3">
        <v>66.0</v>
      </c>
      <c r="K26" s="3">
        <v>5.483</v>
      </c>
      <c r="L26" s="3">
        <v>45.0</v>
      </c>
      <c r="M26" s="4" t="str">
        <f>Raw_Data!X26</f>
        <v>mww</v>
      </c>
      <c r="N26" s="3">
        <v>10.0</v>
      </c>
      <c r="O26" s="3">
        <v>-15.3597</v>
      </c>
      <c r="P26" s="3">
        <v>166.385</v>
      </c>
      <c r="Q26" s="3" t="s">
        <v>185</v>
      </c>
      <c r="R26" s="4"/>
      <c r="S26" s="4"/>
      <c r="T26" s="4" t="str">
        <f t="shared" si="2"/>
        <v>Valid</v>
      </c>
      <c r="U26" s="4">
        <f t="shared" si="3"/>
        <v>1</v>
      </c>
      <c r="V26" s="4" t="str">
        <f t="shared" si="4"/>
        <v>Unique</v>
      </c>
      <c r="W26" s="4" t="str">
        <f t="shared" si="5"/>
        <v>green</v>
      </c>
      <c r="X26" s="4" t="str">
        <f t="shared" ref="X26:Z26" si="30">IF(Q26="","Unknown",Q26)</f>
        <v>Port-Olry, Vanuatu</v>
      </c>
      <c r="Y26" s="4" t="str">
        <f t="shared" si="30"/>
        <v>Unknown</v>
      </c>
      <c r="Z26" s="4" t="str">
        <f t="shared" si="30"/>
        <v>Unknown</v>
      </c>
      <c r="AA26" s="4" t="str">
        <f t="shared" si="7"/>
        <v>mww</v>
      </c>
    </row>
    <row r="27">
      <c r="A27" s="3" t="s">
        <v>186</v>
      </c>
      <c r="B27" s="3">
        <v>6.5</v>
      </c>
      <c r="C27" s="19">
        <f>Raw_Data!T27</f>
        <v>44986.23333</v>
      </c>
      <c r="D27" s="3">
        <v>4.0</v>
      </c>
      <c r="E27" s="3">
        <v>2.0</v>
      </c>
      <c r="F27" s="3" t="s">
        <v>109</v>
      </c>
      <c r="G27" s="3">
        <v>1.0</v>
      </c>
      <c r="H27" s="3">
        <v>652.0</v>
      </c>
      <c r="I27" s="3" t="s">
        <v>110</v>
      </c>
      <c r="J27" s="3">
        <v>115.0</v>
      </c>
      <c r="K27" s="3">
        <v>2.739</v>
      </c>
      <c r="L27" s="3">
        <v>20.0</v>
      </c>
      <c r="M27" s="4" t="str">
        <f>Raw_Data!X27</f>
        <v>mww</v>
      </c>
      <c r="N27" s="3">
        <v>598.925</v>
      </c>
      <c r="O27" s="3">
        <v>-4.8138</v>
      </c>
      <c r="P27" s="3">
        <v>149.487</v>
      </c>
      <c r="Q27" s="3" t="s">
        <v>187</v>
      </c>
      <c r="R27" s="4"/>
      <c r="S27" s="3" t="s">
        <v>168</v>
      </c>
      <c r="T27" s="4" t="str">
        <f t="shared" si="2"/>
        <v>Valid</v>
      </c>
      <c r="U27" s="4">
        <f t="shared" si="3"/>
        <v>1</v>
      </c>
      <c r="V27" s="4" t="str">
        <f t="shared" si="4"/>
        <v>Unique</v>
      </c>
      <c r="W27" s="4" t="str">
        <f t="shared" si="5"/>
        <v>green</v>
      </c>
      <c r="X27" s="4" t="str">
        <f t="shared" ref="X27:Z27" si="31">IF(Q27="","Unknown",Q27)</f>
        <v>Kimbe, Papua New Guinea</v>
      </c>
      <c r="Y27" s="4" t="str">
        <f t="shared" si="31"/>
        <v>Unknown</v>
      </c>
      <c r="Z27" s="4" t="str">
        <f t="shared" si="31"/>
        <v>Papua New Guinea</v>
      </c>
      <c r="AA27" s="4" t="str">
        <f t="shared" si="7"/>
        <v>mww</v>
      </c>
    </row>
    <row r="28">
      <c r="A28" s="3" t="s">
        <v>188</v>
      </c>
      <c r="B28" s="3">
        <v>6.8</v>
      </c>
      <c r="C28" s="19">
        <f>Raw_Data!T28</f>
        <v>44980.02569</v>
      </c>
      <c r="D28" s="3">
        <v>9.0</v>
      </c>
      <c r="E28" s="3">
        <v>7.0</v>
      </c>
      <c r="F28" s="3" t="s">
        <v>109</v>
      </c>
      <c r="G28" s="3">
        <v>0.0</v>
      </c>
      <c r="H28" s="3">
        <v>737.0</v>
      </c>
      <c r="I28" s="3" t="s">
        <v>110</v>
      </c>
      <c r="J28" s="3">
        <v>128.0</v>
      </c>
      <c r="K28" s="3">
        <v>1.783</v>
      </c>
      <c r="L28" s="3">
        <v>20.0</v>
      </c>
      <c r="M28" s="4" t="str">
        <f>Raw_Data!X28</f>
        <v>mww</v>
      </c>
      <c r="N28" s="3">
        <v>20.522</v>
      </c>
      <c r="O28" s="3">
        <v>38.0726</v>
      </c>
      <c r="P28" s="3">
        <v>73.2077</v>
      </c>
      <c r="Q28" s="3" t="s">
        <v>190</v>
      </c>
      <c r="R28" s="3" t="s">
        <v>164</v>
      </c>
      <c r="S28" s="3" t="s">
        <v>191</v>
      </c>
      <c r="T28" s="4" t="str">
        <f t="shared" si="2"/>
        <v>Valid</v>
      </c>
      <c r="U28" s="4">
        <f t="shared" si="3"/>
        <v>1</v>
      </c>
      <c r="V28" s="4" t="str">
        <f t="shared" si="4"/>
        <v>Unique</v>
      </c>
      <c r="W28" s="4" t="str">
        <f t="shared" si="5"/>
        <v>green</v>
      </c>
      <c r="X28" s="4" t="str">
        <f t="shared" ref="X28:Z28" si="32">IF(Q28="","Unknown",Q28)</f>
        <v>Murghob, Tajikistan</v>
      </c>
      <c r="Y28" s="4" t="str">
        <f t="shared" si="32"/>
        <v>Asia</v>
      </c>
      <c r="Z28" s="4" t="str">
        <f t="shared" si="32"/>
        <v>Tajikistan</v>
      </c>
      <c r="AA28" s="4" t="str">
        <f t="shared" si="7"/>
        <v>mww</v>
      </c>
    </row>
    <row r="29">
      <c r="A29" s="3" t="s">
        <v>192</v>
      </c>
      <c r="B29" s="3">
        <v>7.5</v>
      </c>
      <c r="C29" s="19">
        <f>Raw_Data!T29</f>
        <v>44963.43333</v>
      </c>
      <c r="D29" s="3">
        <v>9.0</v>
      </c>
      <c r="E29" s="3">
        <v>9.0</v>
      </c>
      <c r="F29" s="3" t="s">
        <v>178</v>
      </c>
      <c r="G29" s="3">
        <v>0.0</v>
      </c>
      <c r="H29" s="3">
        <v>1411.0</v>
      </c>
      <c r="I29" s="3" t="s">
        <v>110</v>
      </c>
      <c r="J29" s="3">
        <v>135.0</v>
      </c>
      <c r="K29" s="3">
        <v>0.85</v>
      </c>
      <c r="L29" s="3">
        <v>17.0</v>
      </c>
      <c r="M29" s="4" t="str">
        <f>Raw_Data!X29</f>
        <v>mww</v>
      </c>
      <c r="N29" s="3">
        <v>10.0</v>
      </c>
      <c r="O29" s="3">
        <v>38.0235</v>
      </c>
      <c r="P29" s="3">
        <v>37.203</v>
      </c>
      <c r="Q29" s="3" t="s">
        <v>193</v>
      </c>
      <c r="R29" s="3" t="s">
        <v>164</v>
      </c>
      <c r="S29" s="3" t="s">
        <v>194</v>
      </c>
      <c r="T29" s="4" t="str">
        <f t="shared" si="2"/>
        <v>Valid</v>
      </c>
      <c r="U29" s="4">
        <f t="shared" si="3"/>
        <v>1</v>
      </c>
      <c r="V29" s="4" t="str">
        <f t="shared" si="4"/>
        <v>Unique</v>
      </c>
      <c r="W29" s="4" t="str">
        <f t="shared" si="5"/>
        <v>orange</v>
      </c>
      <c r="X29" s="4" t="str">
        <f t="shared" ref="X29:Z29" si="33">IF(Q29="","Unknown",Q29)</f>
        <v>Ekinözü, Turkey</v>
      </c>
      <c r="Y29" s="4" t="str">
        <f t="shared" si="33"/>
        <v>Asia</v>
      </c>
      <c r="Z29" s="4" t="str">
        <f t="shared" si="33"/>
        <v>Turkiye</v>
      </c>
      <c r="AA29" s="4" t="str">
        <f t="shared" si="7"/>
        <v>mww</v>
      </c>
    </row>
    <row r="30">
      <c r="A30" s="3" t="s">
        <v>195</v>
      </c>
      <c r="B30" s="3">
        <v>6.7</v>
      </c>
      <c r="C30" s="19">
        <f>Raw_Data!T30</f>
        <v>44963.06111</v>
      </c>
      <c r="D30" s="3">
        <v>9.0</v>
      </c>
      <c r="E30" s="3">
        <v>8.0</v>
      </c>
      <c r="F30" s="3" t="s">
        <v>116</v>
      </c>
      <c r="G30" s="3">
        <v>0.0</v>
      </c>
      <c r="H30" s="3">
        <v>800.0</v>
      </c>
      <c r="I30" s="3" t="s">
        <v>110</v>
      </c>
      <c r="J30" s="3">
        <v>108.0</v>
      </c>
      <c r="K30" s="3">
        <v>0.218</v>
      </c>
      <c r="L30" s="3">
        <v>44.0</v>
      </c>
      <c r="M30" s="4" t="str">
        <f>Raw_Data!X30</f>
        <v>mww</v>
      </c>
      <c r="N30" s="3">
        <v>14.497</v>
      </c>
      <c r="O30" s="3">
        <v>37.4135</v>
      </c>
      <c r="P30" s="3">
        <v>36.8306</v>
      </c>
      <c r="Q30" s="3" t="s">
        <v>196</v>
      </c>
      <c r="R30" s="3" t="s">
        <v>164</v>
      </c>
      <c r="S30" s="3" t="s">
        <v>194</v>
      </c>
      <c r="T30" s="4" t="str">
        <f t="shared" si="2"/>
        <v>Valid</v>
      </c>
      <c r="U30" s="4">
        <f t="shared" si="3"/>
        <v>1</v>
      </c>
      <c r="V30" s="4" t="str">
        <f t="shared" si="4"/>
        <v>Unique</v>
      </c>
      <c r="W30" s="4" t="str">
        <f t="shared" si="5"/>
        <v>yellow</v>
      </c>
      <c r="X30" s="4" t="str">
        <f t="shared" ref="X30:Z30" si="34">IF(Q30="","Unknown",Q30)</f>
        <v>Nurdağı, Turkey</v>
      </c>
      <c r="Y30" s="4" t="str">
        <f t="shared" si="34"/>
        <v>Asia</v>
      </c>
      <c r="Z30" s="4" t="str">
        <f t="shared" si="34"/>
        <v>Turkiye</v>
      </c>
      <c r="AA30" s="4" t="str">
        <f t="shared" si="7"/>
        <v>mww</v>
      </c>
    </row>
    <row r="31">
      <c r="A31" s="3" t="s">
        <v>197</v>
      </c>
      <c r="B31" s="3">
        <v>7.8</v>
      </c>
      <c r="C31" s="19">
        <f>Raw_Data!T31</f>
        <v>44963.05347</v>
      </c>
      <c r="D31" s="3">
        <v>9.0</v>
      </c>
      <c r="E31" s="3">
        <v>9.0</v>
      </c>
      <c r="F31" s="3" t="s">
        <v>198</v>
      </c>
      <c r="G31" s="3">
        <v>0.0</v>
      </c>
      <c r="H31" s="3">
        <v>2910.0</v>
      </c>
      <c r="I31" s="3" t="s">
        <v>110</v>
      </c>
      <c r="J31" s="3">
        <v>118.0</v>
      </c>
      <c r="K31" s="3">
        <v>1.919</v>
      </c>
      <c r="L31" s="3">
        <v>32.0</v>
      </c>
      <c r="M31" s="4" t="str">
        <f>Raw_Data!X31</f>
        <v>mww</v>
      </c>
      <c r="N31" s="3">
        <v>17.925</v>
      </c>
      <c r="O31" s="3">
        <v>37.2012</v>
      </c>
      <c r="P31" s="3">
        <v>36.9997</v>
      </c>
      <c r="Q31" s="3" t="s">
        <v>199</v>
      </c>
      <c r="R31" s="3" t="s">
        <v>164</v>
      </c>
      <c r="S31" s="3" t="s">
        <v>194</v>
      </c>
      <c r="T31" s="4" t="str">
        <f t="shared" si="2"/>
        <v>Valid</v>
      </c>
      <c r="U31" s="4">
        <f t="shared" si="3"/>
        <v>1</v>
      </c>
      <c r="V31" s="4" t="str">
        <f t="shared" si="4"/>
        <v>Unique</v>
      </c>
      <c r="W31" s="4" t="str">
        <f t="shared" si="5"/>
        <v>red</v>
      </c>
      <c r="X31" s="4" t="str">
        <f t="shared" ref="X31:Z31" si="35">IF(Q31="","Unknown",Q31)</f>
        <v>Central Turkey</v>
      </c>
      <c r="Y31" s="4" t="str">
        <f t="shared" si="35"/>
        <v>Asia</v>
      </c>
      <c r="Z31" s="4" t="str">
        <f t="shared" si="35"/>
        <v>Turkiye</v>
      </c>
      <c r="AA31" s="4" t="str">
        <f t="shared" si="7"/>
        <v>mww</v>
      </c>
    </row>
    <row r="32">
      <c r="A32" s="3" t="s">
        <v>200</v>
      </c>
      <c r="B32" s="3">
        <v>6.8</v>
      </c>
      <c r="C32" s="19">
        <f>Raw_Data!T32</f>
        <v>44946.92292</v>
      </c>
      <c r="D32" s="3">
        <v>4.0</v>
      </c>
      <c r="E32" s="3">
        <v>3.0</v>
      </c>
      <c r="F32" s="3" t="s">
        <v>109</v>
      </c>
      <c r="G32" s="3">
        <v>0.0</v>
      </c>
      <c r="H32" s="3">
        <v>718.0</v>
      </c>
      <c r="I32" s="3" t="s">
        <v>110</v>
      </c>
      <c r="J32" s="3">
        <v>60.0</v>
      </c>
      <c r="K32" s="3">
        <v>5.129</v>
      </c>
      <c r="L32" s="3">
        <v>61.0</v>
      </c>
      <c r="M32" s="4" t="str">
        <f>Raw_Data!X32</f>
        <v>mww</v>
      </c>
      <c r="N32" s="3">
        <v>610.671</v>
      </c>
      <c r="O32" s="3">
        <v>-26.7209</v>
      </c>
      <c r="P32" s="3">
        <v>-63.0394</v>
      </c>
      <c r="Q32" s="4"/>
      <c r="R32" s="3" t="s">
        <v>121</v>
      </c>
      <c r="S32" s="3" t="s">
        <v>122</v>
      </c>
      <c r="T32" s="4" t="str">
        <f t="shared" si="2"/>
        <v>Valid</v>
      </c>
      <c r="U32" s="4">
        <f t="shared" si="3"/>
        <v>1</v>
      </c>
      <c r="V32" s="4" t="str">
        <f t="shared" si="4"/>
        <v>Unique</v>
      </c>
      <c r="W32" s="4" t="str">
        <f t="shared" si="5"/>
        <v>green</v>
      </c>
      <c r="X32" s="4" t="str">
        <f t="shared" ref="X32:Z32" si="36">IF(Q32="","Unknown",Q32)</f>
        <v>Unknown</v>
      </c>
      <c r="Y32" s="4" t="str">
        <f t="shared" si="36"/>
        <v>South America</v>
      </c>
      <c r="Z32" s="4" t="str">
        <f t="shared" si="36"/>
        <v>Argentina</v>
      </c>
      <c r="AA32" s="4" t="str">
        <f t="shared" si="7"/>
        <v>mww</v>
      </c>
    </row>
    <row r="33">
      <c r="A33" s="3" t="s">
        <v>202</v>
      </c>
      <c r="B33" s="3">
        <v>7.0</v>
      </c>
      <c r="C33" s="19">
        <f>Raw_Data!T33</f>
        <v>44944.25417</v>
      </c>
      <c r="D33" s="3">
        <v>3.0</v>
      </c>
      <c r="E33" s="3">
        <v>5.0</v>
      </c>
      <c r="F33" s="3" t="s">
        <v>109</v>
      </c>
      <c r="G33" s="3">
        <v>1.0</v>
      </c>
      <c r="H33" s="3">
        <v>756.0</v>
      </c>
      <c r="I33" s="3" t="s">
        <v>110</v>
      </c>
      <c r="J33" s="3">
        <v>130.0</v>
      </c>
      <c r="K33" s="3">
        <v>1.974</v>
      </c>
      <c r="L33" s="3">
        <v>17.0</v>
      </c>
      <c r="M33" s="4" t="str">
        <f>Raw_Data!X33</f>
        <v>mwc</v>
      </c>
      <c r="N33" s="3">
        <v>28.566</v>
      </c>
      <c r="O33" s="3">
        <v>2.7401</v>
      </c>
      <c r="P33" s="3">
        <v>127.051</v>
      </c>
      <c r="Q33" s="3" t="s">
        <v>205</v>
      </c>
      <c r="R33" s="4"/>
      <c r="S33" s="3" t="s">
        <v>153</v>
      </c>
      <c r="T33" s="4" t="str">
        <f t="shared" si="2"/>
        <v>Valid</v>
      </c>
      <c r="U33" s="4">
        <f t="shared" si="3"/>
        <v>1</v>
      </c>
      <c r="V33" s="4" t="str">
        <f t="shared" si="4"/>
        <v>Unique</v>
      </c>
      <c r="W33" s="4" t="str">
        <f t="shared" si="5"/>
        <v>green</v>
      </c>
      <c r="X33" s="4" t="str">
        <f t="shared" ref="X33:Z33" si="37">IF(Q33="","Unknown",Q33)</f>
        <v>Tobelo, Indonesia</v>
      </c>
      <c r="Y33" s="4" t="str">
        <f t="shared" si="37"/>
        <v>Unknown</v>
      </c>
      <c r="Z33" s="4" t="str">
        <f t="shared" si="37"/>
        <v>Indonesia</v>
      </c>
      <c r="AA33" s="4" t="str">
        <f t="shared" si="7"/>
        <v>mwc</v>
      </c>
    </row>
    <row r="34">
      <c r="A34" s="3" t="s">
        <v>206</v>
      </c>
      <c r="B34" s="3">
        <v>7.6</v>
      </c>
      <c r="C34" s="19">
        <f>Raw_Data!T34</f>
        <v>44935.74097</v>
      </c>
      <c r="D34" s="3">
        <v>5.0</v>
      </c>
      <c r="E34" s="3">
        <v>7.0</v>
      </c>
      <c r="F34" s="3" t="s">
        <v>109</v>
      </c>
      <c r="G34" s="3">
        <v>0.0</v>
      </c>
      <c r="H34" s="3">
        <v>957.0</v>
      </c>
      <c r="I34" s="3" t="s">
        <v>110</v>
      </c>
      <c r="J34" s="3">
        <v>114.0</v>
      </c>
      <c r="K34" s="3">
        <v>1.575</v>
      </c>
      <c r="L34" s="3">
        <v>21.0</v>
      </c>
      <c r="M34" s="4" t="str">
        <f>Raw_Data!X34</f>
        <v>mww</v>
      </c>
      <c r="N34" s="3">
        <v>105.249</v>
      </c>
      <c r="O34" s="3">
        <v>-7.0852</v>
      </c>
      <c r="P34" s="3">
        <v>130.039</v>
      </c>
      <c r="Q34" s="3" t="s">
        <v>207</v>
      </c>
      <c r="R34" s="4"/>
      <c r="S34" s="3" t="s">
        <v>153</v>
      </c>
      <c r="T34" s="4" t="str">
        <f t="shared" si="2"/>
        <v>Valid</v>
      </c>
      <c r="U34" s="4">
        <f t="shared" si="3"/>
        <v>1</v>
      </c>
      <c r="V34" s="4" t="str">
        <f t="shared" si="4"/>
        <v>Unique</v>
      </c>
      <c r="W34" s="4" t="str">
        <f t="shared" si="5"/>
        <v>green</v>
      </c>
      <c r="X34" s="4" t="str">
        <f t="shared" ref="X34:Z34" si="38">IF(Q34="","Unknown",Q34)</f>
        <v>Pulau Pulau Tanimbar, Indonesia</v>
      </c>
      <c r="Y34" s="4" t="str">
        <f t="shared" si="38"/>
        <v>Unknown</v>
      </c>
      <c r="Z34" s="4" t="str">
        <f t="shared" si="38"/>
        <v>Indonesia</v>
      </c>
      <c r="AA34" s="4" t="str">
        <f t="shared" si="7"/>
        <v>mww</v>
      </c>
    </row>
    <row r="35">
      <c r="A35" s="3" t="s">
        <v>208</v>
      </c>
      <c r="B35" s="3">
        <v>7.0</v>
      </c>
      <c r="C35" s="19">
        <f>Raw_Data!T35</f>
        <v>44934.52222</v>
      </c>
      <c r="D35" s="3">
        <v>8.0</v>
      </c>
      <c r="E35" s="3">
        <v>7.0</v>
      </c>
      <c r="F35" s="3" t="s">
        <v>109</v>
      </c>
      <c r="G35" s="3">
        <v>1.0</v>
      </c>
      <c r="H35" s="3">
        <v>768.0</v>
      </c>
      <c r="I35" s="3" t="s">
        <v>110</v>
      </c>
      <c r="J35" s="3">
        <v>116.0</v>
      </c>
      <c r="K35" s="3">
        <v>6.096</v>
      </c>
      <c r="L35" s="3">
        <v>36.0</v>
      </c>
      <c r="M35" s="4" t="str">
        <f>Raw_Data!X35</f>
        <v>mww</v>
      </c>
      <c r="N35" s="3">
        <v>29.0</v>
      </c>
      <c r="O35" s="3">
        <v>-14.9383</v>
      </c>
      <c r="P35" s="3">
        <v>166.878</v>
      </c>
      <c r="Q35" s="3" t="s">
        <v>113</v>
      </c>
      <c r="R35" s="4"/>
      <c r="S35" s="3" t="s">
        <v>113</v>
      </c>
      <c r="T35" s="4" t="str">
        <f t="shared" si="2"/>
        <v>Valid</v>
      </c>
      <c r="U35" s="4">
        <f t="shared" si="3"/>
        <v>1</v>
      </c>
      <c r="V35" s="4" t="str">
        <f t="shared" si="4"/>
        <v>Unique</v>
      </c>
      <c r="W35" s="4" t="str">
        <f t="shared" si="5"/>
        <v>green</v>
      </c>
      <c r="X35" s="4" t="str">
        <f t="shared" ref="X35:Z35" si="39">IF(Q35="","Unknown",Q35)</f>
        <v>Vanuatu</v>
      </c>
      <c r="Y35" s="4" t="str">
        <f t="shared" si="39"/>
        <v>Unknown</v>
      </c>
      <c r="Z35" s="4" t="str">
        <f t="shared" si="39"/>
        <v>Vanuatu</v>
      </c>
      <c r="AA35" s="4" t="str">
        <f t="shared" si="7"/>
        <v>mww</v>
      </c>
    </row>
    <row r="36">
      <c r="A36" s="3" t="s">
        <v>209</v>
      </c>
      <c r="B36" s="3">
        <v>6.8</v>
      </c>
      <c r="C36" s="19">
        <f>Raw_Data!T36</f>
        <v>44899.80833</v>
      </c>
      <c r="D36" s="3">
        <v>5.0</v>
      </c>
      <c r="E36" s="3">
        <v>5.0</v>
      </c>
      <c r="F36" s="3" t="s">
        <v>109</v>
      </c>
      <c r="G36" s="3">
        <v>1.0</v>
      </c>
      <c r="H36" s="3">
        <v>720.0</v>
      </c>
      <c r="I36" s="3" t="s">
        <v>110</v>
      </c>
      <c r="J36" s="3">
        <v>152.0</v>
      </c>
      <c r="K36" s="3">
        <v>2.587</v>
      </c>
      <c r="L36" s="3">
        <v>26.0</v>
      </c>
      <c r="M36" s="4" t="str">
        <f>Raw_Data!X36</f>
        <v>mww</v>
      </c>
      <c r="N36" s="3">
        <v>38.0</v>
      </c>
      <c r="O36" s="3">
        <v>-15.3983</v>
      </c>
      <c r="P36" s="3">
        <v>-172.968</v>
      </c>
      <c r="Q36" s="3" t="s">
        <v>147</v>
      </c>
      <c r="R36" s="4"/>
      <c r="S36" s="4"/>
      <c r="T36" s="4" t="str">
        <f t="shared" si="2"/>
        <v>Valid</v>
      </c>
      <c r="U36" s="4">
        <f t="shared" si="3"/>
        <v>1</v>
      </c>
      <c r="V36" s="4" t="str">
        <f t="shared" si="4"/>
        <v>Unique</v>
      </c>
      <c r="W36" s="4" t="str">
        <f t="shared" si="5"/>
        <v>green</v>
      </c>
      <c r="X36" s="4" t="str">
        <f t="shared" ref="X36:Z36" si="40">IF(Q36="","Unknown",Q36)</f>
        <v>Hihifo, Tonga</v>
      </c>
      <c r="Y36" s="4" t="str">
        <f t="shared" si="40"/>
        <v>Unknown</v>
      </c>
      <c r="Z36" s="4" t="str">
        <f t="shared" si="40"/>
        <v>Unknown</v>
      </c>
      <c r="AA36" s="4" t="str">
        <f t="shared" si="7"/>
        <v>mww</v>
      </c>
    </row>
    <row r="37">
      <c r="A37" s="3" t="s">
        <v>210</v>
      </c>
      <c r="B37" s="3">
        <v>7.0</v>
      </c>
      <c r="C37" s="19">
        <f>Raw_Data!T37</f>
        <v>44887.08542</v>
      </c>
      <c r="D37" s="3">
        <v>8.0</v>
      </c>
      <c r="E37" s="3">
        <v>7.0</v>
      </c>
      <c r="F37" s="3" t="s">
        <v>109</v>
      </c>
      <c r="G37" s="3">
        <v>1.0</v>
      </c>
      <c r="H37" s="3">
        <v>768.0</v>
      </c>
      <c r="I37" s="3" t="s">
        <v>110</v>
      </c>
      <c r="J37" s="3">
        <v>117.0</v>
      </c>
      <c r="K37" s="3">
        <v>0.509</v>
      </c>
      <c r="L37" s="3">
        <v>17.0</v>
      </c>
      <c r="M37" s="4" t="str">
        <f>Raw_Data!X37</f>
        <v>mww</v>
      </c>
      <c r="N37" s="3">
        <v>14.0</v>
      </c>
      <c r="O37" s="3">
        <v>-9.7963</v>
      </c>
      <c r="P37" s="3">
        <v>159.596</v>
      </c>
      <c r="Q37" s="3" t="s">
        <v>212</v>
      </c>
      <c r="R37" s="3" t="s">
        <v>213</v>
      </c>
      <c r="S37" s="3" t="s">
        <v>214</v>
      </c>
      <c r="T37" s="4" t="str">
        <f t="shared" si="2"/>
        <v>Valid</v>
      </c>
      <c r="U37" s="4">
        <f t="shared" si="3"/>
        <v>1</v>
      </c>
      <c r="V37" s="4" t="str">
        <f t="shared" si="4"/>
        <v>Unique</v>
      </c>
      <c r="W37" s="4" t="str">
        <f t="shared" si="5"/>
        <v>green</v>
      </c>
      <c r="X37" s="4" t="str">
        <f t="shared" ref="X37:Z37" si="41">IF(Q37="","Unknown",Q37)</f>
        <v>Malango, Solomon Islands</v>
      </c>
      <c r="Y37" s="4" t="str">
        <f t="shared" si="41"/>
        <v>Oceania</v>
      </c>
      <c r="Z37" s="4" t="str">
        <f t="shared" si="41"/>
        <v>Solomon Islands</v>
      </c>
      <c r="AA37" s="4" t="str">
        <f t="shared" si="7"/>
        <v>mww</v>
      </c>
    </row>
    <row r="38">
      <c r="A38" s="3" t="s">
        <v>215</v>
      </c>
      <c r="B38" s="3">
        <v>6.9</v>
      </c>
      <c r="C38" s="19">
        <f>Raw_Data!T38</f>
        <v>44883.56736</v>
      </c>
      <c r="D38" s="3">
        <v>4.0</v>
      </c>
      <c r="E38" s="3">
        <v>4.0</v>
      </c>
      <c r="F38" s="3" t="s">
        <v>109</v>
      </c>
      <c r="G38" s="3">
        <v>0.0</v>
      </c>
      <c r="H38" s="3">
        <v>735.0</v>
      </c>
      <c r="I38" s="3" t="s">
        <v>110</v>
      </c>
      <c r="J38" s="3">
        <v>99.0</v>
      </c>
      <c r="K38" s="3">
        <v>2.229</v>
      </c>
      <c r="L38" s="3">
        <v>34.0</v>
      </c>
      <c r="M38" s="4" t="str">
        <f>Raw_Data!X38</f>
        <v>mww</v>
      </c>
      <c r="N38" s="3">
        <v>25.0</v>
      </c>
      <c r="O38" s="3">
        <v>-4.9559</v>
      </c>
      <c r="P38" s="3">
        <v>100.738</v>
      </c>
      <c r="Q38" s="3" t="s">
        <v>217</v>
      </c>
      <c r="R38" s="4"/>
      <c r="S38" s="4"/>
      <c r="T38" s="4" t="str">
        <f t="shared" si="2"/>
        <v>Valid</v>
      </c>
      <c r="U38" s="4">
        <f t="shared" si="3"/>
        <v>1</v>
      </c>
      <c r="V38" s="4" t="str">
        <f t="shared" si="4"/>
        <v>Unique</v>
      </c>
      <c r="W38" s="4" t="str">
        <f t="shared" si="5"/>
        <v>green</v>
      </c>
      <c r="X38" s="4" t="str">
        <f t="shared" ref="X38:Z38" si="42">IF(Q38="","Unknown",Q38)</f>
        <v>Bengkulu, Indonesia</v>
      </c>
      <c r="Y38" s="4" t="str">
        <f t="shared" si="42"/>
        <v>Unknown</v>
      </c>
      <c r="Z38" s="4" t="str">
        <f t="shared" si="42"/>
        <v>Unknown</v>
      </c>
      <c r="AA38" s="4" t="str">
        <f t="shared" si="7"/>
        <v>mww</v>
      </c>
    </row>
    <row r="39">
      <c r="A39" s="3" t="s">
        <v>218</v>
      </c>
      <c r="B39" s="3">
        <v>7.0</v>
      </c>
      <c r="C39" s="19">
        <f>Raw_Data!T39</f>
        <v>44877.29792</v>
      </c>
      <c r="D39" s="3">
        <v>3.0</v>
      </c>
      <c r="E39" s="3">
        <v>3.0</v>
      </c>
      <c r="F39" s="3" t="s">
        <v>109</v>
      </c>
      <c r="G39" s="3">
        <v>1.0</v>
      </c>
      <c r="H39" s="3">
        <v>755.0</v>
      </c>
      <c r="I39" s="3" t="s">
        <v>110</v>
      </c>
      <c r="J39" s="3">
        <v>147.0</v>
      </c>
      <c r="K39" s="3">
        <v>3.125</v>
      </c>
      <c r="L39" s="3">
        <v>18.0</v>
      </c>
      <c r="M39" s="4" t="str">
        <f>Raw_Data!X39</f>
        <v>mww</v>
      </c>
      <c r="N39" s="3">
        <v>579.0</v>
      </c>
      <c r="O39" s="3">
        <v>-20.0508</v>
      </c>
      <c r="P39" s="3">
        <v>-178.346</v>
      </c>
      <c r="Q39" s="4"/>
      <c r="R39" s="3" t="s">
        <v>213</v>
      </c>
      <c r="S39" s="3" t="s">
        <v>219</v>
      </c>
      <c r="T39" s="4" t="str">
        <f t="shared" si="2"/>
        <v>Valid</v>
      </c>
      <c r="U39" s="4">
        <f t="shared" si="3"/>
        <v>1</v>
      </c>
      <c r="V39" s="4" t="str">
        <f t="shared" si="4"/>
        <v>Unique</v>
      </c>
      <c r="W39" s="4" t="str">
        <f t="shared" si="5"/>
        <v>green</v>
      </c>
      <c r="X39" s="4" t="str">
        <f t="shared" ref="X39:Z39" si="43">IF(Q39="","Unknown",Q39)</f>
        <v>Unknown</v>
      </c>
      <c r="Y39" s="4" t="str">
        <f t="shared" si="43"/>
        <v>Oceania</v>
      </c>
      <c r="Z39" s="4" t="str">
        <f t="shared" si="43"/>
        <v>Fiji</v>
      </c>
      <c r="AA39" s="4" t="str">
        <f t="shared" si="7"/>
        <v>mww</v>
      </c>
    </row>
    <row r="40">
      <c r="A40" s="3" t="s">
        <v>220</v>
      </c>
      <c r="B40" s="3">
        <v>7.3</v>
      </c>
      <c r="C40" s="19">
        <f>Raw_Data!T40</f>
        <v>44876.45</v>
      </c>
      <c r="D40" s="3">
        <v>5.0</v>
      </c>
      <c r="E40" s="3">
        <v>5.0</v>
      </c>
      <c r="F40" s="3" t="s">
        <v>109</v>
      </c>
      <c r="G40" s="3">
        <v>1.0</v>
      </c>
      <c r="H40" s="3">
        <v>833.0</v>
      </c>
      <c r="I40" s="3" t="s">
        <v>110</v>
      </c>
      <c r="J40" s="3">
        <v>149.0</v>
      </c>
      <c r="K40" s="3">
        <v>1.865</v>
      </c>
      <c r="L40" s="3">
        <v>21.0</v>
      </c>
      <c r="M40" s="4" t="str">
        <f>Raw_Data!X40</f>
        <v>mww</v>
      </c>
      <c r="N40" s="3">
        <v>37.0</v>
      </c>
      <c r="O40" s="3">
        <v>-19.2918</v>
      </c>
      <c r="P40" s="3">
        <v>-172.129</v>
      </c>
      <c r="Q40" s="3" t="s">
        <v>221</v>
      </c>
      <c r="R40" s="4"/>
      <c r="S40" s="4"/>
      <c r="T40" s="4" t="str">
        <f t="shared" si="2"/>
        <v>Valid</v>
      </c>
      <c r="U40" s="4">
        <f t="shared" si="3"/>
        <v>1</v>
      </c>
      <c r="V40" s="4" t="str">
        <f t="shared" si="4"/>
        <v>Unique</v>
      </c>
      <c r="W40" s="4" t="str">
        <f t="shared" si="5"/>
        <v>green</v>
      </c>
      <c r="X40" s="4" t="str">
        <f t="shared" ref="X40:Z40" si="44">IF(Q40="","Unknown",Q40)</f>
        <v>Neiafu, Tonga</v>
      </c>
      <c r="Y40" s="4" t="str">
        <f t="shared" si="44"/>
        <v>Unknown</v>
      </c>
      <c r="Z40" s="4" t="str">
        <f t="shared" si="44"/>
        <v>Unknown</v>
      </c>
      <c r="AA40" s="4" t="str">
        <f t="shared" si="7"/>
        <v>mww</v>
      </c>
    </row>
    <row r="41">
      <c r="A41" s="3" t="s">
        <v>222</v>
      </c>
      <c r="B41" s="3">
        <v>6.6</v>
      </c>
      <c r="C41" s="19">
        <f>Raw_Data!T41</f>
        <v>44874.42639</v>
      </c>
      <c r="D41" s="3">
        <v>0.0</v>
      </c>
      <c r="E41" s="3">
        <v>2.0</v>
      </c>
      <c r="F41" s="3" t="s">
        <v>109</v>
      </c>
      <c r="G41" s="3">
        <v>1.0</v>
      </c>
      <c r="H41" s="3">
        <v>670.0</v>
      </c>
      <c r="I41" s="3" t="s">
        <v>110</v>
      </c>
      <c r="J41" s="3">
        <v>131.0</v>
      </c>
      <c r="K41" s="3">
        <v>4.998</v>
      </c>
      <c r="L41" s="3">
        <v>27.0</v>
      </c>
      <c r="M41" s="4" t="str">
        <f>Raw_Data!X41</f>
        <v>mww</v>
      </c>
      <c r="N41" s="3">
        <v>624.464</v>
      </c>
      <c r="O41" s="3">
        <v>-25.5948</v>
      </c>
      <c r="P41" s="3">
        <v>178.278</v>
      </c>
      <c r="Q41" s="4"/>
      <c r="R41" s="4"/>
      <c r="S41" s="4"/>
      <c r="T41" s="4" t="str">
        <f t="shared" si="2"/>
        <v>Valid</v>
      </c>
      <c r="U41" s="4">
        <f t="shared" si="3"/>
        <v>1</v>
      </c>
      <c r="V41" s="4" t="str">
        <f t="shared" si="4"/>
        <v>Unique</v>
      </c>
      <c r="W41" s="4" t="str">
        <f t="shared" si="5"/>
        <v>green</v>
      </c>
      <c r="X41" s="4" t="str">
        <f t="shared" ref="X41:Z41" si="45">IF(Q41="","Unknown",Q41)</f>
        <v>Unknown</v>
      </c>
      <c r="Y41" s="4" t="str">
        <f t="shared" si="45"/>
        <v>Unknown</v>
      </c>
      <c r="Z41" s="4" t="str">
        <f t="shared" si="45"/>
        <v>Unknown</v>
      </c>
      <c r="AA41" s="4" t="str">
        <f t="shared" si="7"/>
        <v>mww</v>
      </c>
    </row>
    <row r="42">
      <c r="A42" s="3" t="s">
        <v>223</v>
      </c>
      <c r="B42" s="3">
        <v>7.0</v>
      </c>
      <c r="C42" s="19">
        <f>Raw_Data!T42</f>
        <v>44874.41042</v>
      </c>
      <c r="D42" s="3">
        <v>4.0</v>
      </c>
      <c r="E42" s="3">
        <v>3.0</v>
      </c>
      <c r="F42" s="3" t="s">
        <v>109</v>
      </c>
      <c r="G42" s="3">
        <v>1.0</v>
      </c>
      <c r="H42" s="3">
        <v>755.0</v>
      </c>
      <c r="I42" s="3" t="s">
        <v>110</v>
      </c>
      <c r="J42" s="3">
        <v>142.0</v>
      </c>
      <c r="K42" s="3">
        <v>4.578</v>
      </c>
      <c r="L42" s="3">
        <v>26.0</v>
      </c>
      <c r="M42" s="4" t="str">
        <f>Raw_Data!X42</f>
        <v>mwb</v>
      </c>
      <c r="N42" s="3">
        <v>660.0</v>
      </c>
      <c r="O42" s="3">
        <v>-26.0442</v>
      </c>
      <c r="P42" s="3">
        <v>178.381</v>
      </c>
      <c r="Q42" s="3" t="s">
        <v>136</v>
      </c>
      <c r="R42" s="4"/>
      <c r="S42" s="4"/>
      <c r="T42" s="4" t="str">
        <f t="shared" si="2"/>
        <v>Valid</v>
      </c>
      <c r="U42" s="4">
        <f t="shared" si="3"/>
        <v>1</v>
      </c>
      <c r="V42" s="4" t="str">
        <f t="shared" si="4"/>
        <v>Unique</v>
      </c>
      <c r="W42" s="4" t="str">
        <f t="shared" si="5"/>
        <v>green</v>
      </c>
      <c r="X42" s="4" t="str">
        <f t="shared" ref="X42:Z42" si="46">IF(Q42="","Unknown",Q42)</f>
        <v>the Fiji Islands</v>
      </c>
      <c r="Y42" s="4" t="str">
        <f t="shared" si="46"/>
        <v>Unknown</v>
      </c>
      <c r="Z42" s="4" t="str">
        <f t="shared" si="46"/>
        <v>Unknown</v>
      </c>
      <c r="AA42" s="4" t="str">
        <f t="shared" si="7"/>
        <v>mwb</v>
      </c>
    </row>
    <row r="43">
      <c r="A43" s="3" t="s">
        <v>225</v>
      </c>
      <c r="B43" s="3">
        <v>6.8</v>
      </c>
      <c r="C43" s="19">
        <f>Raw_Data!T43</f>
        <v>44874.40139</v>
      </c>
      <c r="D43" s="3">
        <v>1.0</v>
      </c>
      <c r="E43" s="3">
        <v>3.0</v>
      </c>
      <c r="F43" s="3" t="s">
        <v>109</v>
      </c>
      <c r="G43" s="3">
        <v>1.0</v>
      </c>
      <c r="H43" s="3">
        <v>711.0</v>
      </c>
      <c r="I43" s="3" t="s">
        <v>110</v>
      </c>
      <c r="J43" s="3">
        <v>136.0</v>
      </c>
      <c r="K43" s="3">
        <v>4.678</v>
      </c>
      <c r="L43" s="3">
        <v>22.0</v>
      </c>
      <c r="M43" s="4" t="str">
        <f>Raw_Data!X43</f>
        <v>mww</v>
      </c>
      <c r="N43" s="3">
        <v>630.379</v>
      </c>
      <c r="O43" s="3">
        <v>-25.9678</v>
      </c>
      <c r="P43" s="3">
        <v>178.363</v>
      </c>
      <c r="Q43" s="3" t="s">
        <v>136</v>
      </c>
      <c r="R43" s="4"/>
      <c r="S43" s="4"/>
      <c r="T43" s="4" t="str">
        <f t="shared" si="2"/>
        <v>Valid</v>
      </c>
      <c r="U43" s="4">
        <f t="shared" si="3"/>
        <v>1</v>
      </c>
      <c r="V43" s="4" t="str">
        <f t="shared" si="4"/>
        <v>Unique</v>
      </c>
      <c r="W43" s="4" t="str">
        <f t="shared" si="5"/>
        <v>green</v>
      </c>
      <c r="X43" s="4" t="str">
        <f t="shared" ref="X43:Z43" si="47">IF(Q43="","Unknown",Q43)</f>
        <v>the Fiji Islands</v>
      </c>
      <c r="Y43" s="4" t="str">
        <f t="shared" si="47"/>
        <v>Unknown</v>
      </c>
      <c r="Z43" s="4" t="str">
        <f t="shared" si="47"/>
        <v>Unknown</v>
      </c>
      <c r="AA43" s="4" t="str">
        <f t="shared" si="7"/>
        <v>mww</v>
      </c>
    </row>
    <row r="44">
      <c r="A44" s="3" t="s">
        <v>226</v>
      </c>
      <c r="B44" s="3">
        <v>6.7</v>
      </c>
      <c r="C44" s="19">
        <f>Raw_Data!T44</f>
        <v>44854.49792</v>
      </c>
      <c r="D44" s="3">
        <v>7.0</v>
      </c>
      <c r="E44" s="3">
        <v>6.0</v>
      </c>
      <c r="F44" s="3" t="s">
        <v>109</v>
      </c>
      <c r="G44" s="3">
        <v>1.0</v>
      </c>
      <c r="H44" s="3">
        <v>797.0</v>
      </c>
      <c r="I44" s="3" t="s">
        <v>110</v>
      </c>
      <c r="J44" s="3">
        <v>145.0</v>
      </c>
      <c r="K44" s="3">
        <v>1.151</v>
      </c>
      <c r="L44" s="3">
        <v>37.0</v>
      </c>
      <c r="M44" s="4" t="str">
        <f>Raw_Data!X44</f>
        <v>mww</v>
      </c>
      <c r="N44" s="3">
        <v>20.0</v>
      </c>
      <c r="O44" s="3">
        <v>7.6712</v>
      </c>
      <c r="P44" s="3">
        <v>-82.3396</v>
      </c>
      <c r="Q44" s="3" t="s">
        <v>228</v>
      </c>
      <c r="R44" s="4"/>
      <c r="S44" s="3" t="s">
        <v>229</v>
      </c>
      <c r="T44" s="4" t="str">
        <f t="shared" si="2"/>
        <v>Valid</v>
      </c>
      <c r="U44" s="4">
        <f t="shared" si="3"/>
        <v>1</v>
      </c>
      <c r="V44" s="4" t="str">
        <f t="shared" si="4"/>
        <v>Unique</v>
      </c>
      <c r="W44" s="4" t="str">
        <f t="shared" si="5"/>
        <v>green</v>
      </c>
      <c r="X44" s="4" t="str">
        <f t="shared" ref="X44:Z44" si="48">IF(Q44="","Unknown",Q44)</f>
        <v>Boca Chica, Panama</v>
      </c>
      <c r="Y44" s="4" t="str">
        <f t="shared" si="48"/>
        <v>Unknown</v>
      </c>
      <c r="Z44" s="4" t="str">
        <f t="shared" si="48"/>
        <v>Panama</v>
      </c>
      <c r="AA44" s="4" t="str">
        <f t="shared" si="7"/>
        <v>mww</v>
      </c>
    </row>
    <row r="45">
      <c r="A45" s="3" t="s">
        <v>230</v>
      </c>
      <c r="B45" s="3">
        <v>6.8</v>
      </c>
      <c r="C45" s="19">
        <f>Raw_Data!T45</f>
        <v>44826.26111</v>
      </c>
      <c r="D45" s="3">
        <v>8.0</v>
      </c>
      <c r="E45" s="3">
        <v>7.0</v>
      </c>
      <c r="F45" s="3" t="s">
        <v>116</v>
      </c>
      <c r="G45" s="3">
        <v>1.0</v>
      </c>
      <c r="H45" s="3">
        <v>1179.0</v>
      </c>
      <c r="I45" s="3" t="s">
        <v>110</v>
      </c>
      <c r="J45" s="3">
        <v>175.0</v>
      </c>
      <c r="K45" s="3">
        <v>2.137</v>
      </c>
      <c r="L45" s="3">
        <v>92.0</v>
      </c>
      <c r="M45" s="4" t="str">
        <f>Raw_Data!X45</f>
        <v>mww</v>
      </c>
      <c r="N45" s="3">
        <v>20.0</v>
      </c>
      <c r="O45" s="3">
        <v>18.33</v>
      </c>
      <c r="P45" s="3">
        <v>-102.913</v>
      </c>
      <c r="Q45" s="3" t="s">
        <v>232</v>
      </c>
      <c r="R45" s="3" t="s">
        <v>233</v>
      </c>
      <c r="S45" s="3" t="s">
        <v>234</v>
      </c>
      <c r="T45" s="4" t="str">
        <f t="shared" si="2"/>
        <v>Valid</v>
      </c>
      <c r="U45" s="4">
        <f t="shared" si="3"/>
        <v>1</v>
      </c>
      <c r="V45" s="4" t="str">
        <f t="shared" si="4"/>
        <v>Unique</v>
      </c>
      <c r="W45" s="4" t="str">
        <f t="shared" si="5"/>
        <v>yellow</v>
      </c>
      <c r="X45" s="4" t="str">
        <f t="shared" ref="X45:Z45" si="49">IF(Q45="","Unknown",Q45)</f>
        <v>Aguililla, Mexico</v>
      </c>
      <c r="Y45" s="4" t="str">
        <f t="shared" si="49"/>
        <v>North America</v>
      </c>
      <c r="Z45" s="4" t="str">
        <f t="shared" si="49"/>
        <v>Mexico</v>
      </c>
      <c r="AA45" s="4" t="str">
        <f t="shared" si="7"/>
        <v>mww</v>
      </c>
    </row>
    <row r="46">
      <c r="A46" s="3" t="s">
        <v>235</v>
      </c>
      <c r="B46" s="3">
        <v>7.6</v>
      </c>
      <c r="C46" s="19">
        <f>Raw_Data!T46</f>
        <v>44823.75347</v>
      </c>
      <c r="D46" s="3">
        <v>9.0</v>
      </c>
      <c r="E46" s="3">
        <v>8.0</v>
      </c>
      <c r="F46" s="3" t="s">
        <v>116</v>
      </c>
      <c r="G46" s="3">
        <v>1.0</v>
      </c>
      <c r="H46" s="3">
        <v>1799.0</v>
      </c>
      <c r="I46" s="3" t="s">
        <v>110</v>
      </c>
      <c r="J46" s="3">
        <v>271.0</v>
      </c>
      <c r="K46" s="3">
        <v>1.153</v>
      </c>
      <c r="L46" s="3">
        <v>69.0</v>
      </c>
      <c r="M46" s="4" t="str">
        <f>Raw_Data!X46</f>
        <v>mww</v>
      </c>
      <c r="N46" s="3">
        <v>26.943</v>
      </c>
      <c r="O46" s="3">
        <v>18.3667</v>
      </c>
      <c r="P46" s="3">
        <v>-103.252</v>
      </c>
      <c r="Q46" s="3" t="s">
        <v>232</v>
      </c>
      <c r="R46" s="3" t="s">
        <v>233</v>
      </c>
      <c r="S46" s="3" t="s">
        <v>234</v>
      </c>
      <c r="T46" s="4" t="str">
        <f t="shared" si="2"/>
        <v>Valid</v>
      </c>
      <c r="U46" s="4">
        <f t="shared" si="3"/>
        <v>1</v>
      </c>
      <c r="V46" s="4" t="str">
        <f t="shared" si="4"/>
        <v>Unique</v>
      </c>
      <c r="W46" s="4" t="str">
        <f t="shared" si="5"/>
        <v>yellow</v>
      </c>
      <c r="X46" s="4" t="str">
        <f t="shared" ref="X46:Z46" si="50">IF(Q46="","Unknown",Q46)</f>
        <v>Aguililla, Mexico</v>
      </c>
      <c r="Y46" s="4" t="str">
        <f t="shared" si="50"/>
        <v>North America</v>
      </c>
      <c r="Z46" s="4" t="str">
        <f t="shared" si="50"/>
        <v>Mexico</v>
      </c>
      <c r="AA46" s="4" t="str">
        <f t="shared" si="7"/>
        <v>mww</v>
      </c>
    </row>
    <row r="47">
      <c r="A47" s="3" t="s">
        <v>237</v>
      </c>
      <c r="B47" s="3">
        <v>6.9</v>
      </c>
      <c r="C47" s="19">
        <f>Raw_Data!T47</f>
        <v>44822.28056</v>
      </c>
      <c r="D47" s="3">
        <v>9.0</v>
      </c>
      <c r="E47" s="3">
        <v>9.0</v>
      </c>
      <c r="F47" s="3" t="s">
        <v>116</v>
      </c>
      <c r="G47" s="3">
        <v>1.0</v>
      </c>
      <c r="H47" s="3">
        <v>887.0</v>
      </c>
      <c r="I47" s="3" t="s">
        <v>110</v>
      </c>
      <c r="J47" s="3">
        <v>215.0</v>
      </c>
      <c r="K47" s="3">
        <v>0.401</v>
      </c>
      <c r="L47" s="3">
        <v>34.0</v>
      </c>
      <c r="M47" s="4" t="str">
        <f>Raw_Data!X47</f>
        <v>mww</v>
      </c>
      <c r="N47" s="3">
        <v>10.0</v>
      </c>
      <c r="O47" s="3">
        <v>23.1444</v>
      </c>
      <c r="P47" s="3">
        <v>121.307</v>
      </c>
      <c r="Q47" s="3" t="s">
        <v>239</v>
      </c>
      <c r="R47" s="3" t="s">
        <v>164</v>
      </c>
      <c r="S47" s="3" t="s">
        <v>240</v>
      </c>
      <c r="T47" s="4" t="str">
        <f t="shared" si="2"/>
        <v>Valid</v>
      </c>
      <c r="U47" s="4">
        <f t="shared" si="3"/>
        <v>1</v>
      </c>
      <c r="V47" s="4" t="str">
        <f t="shared" si="4"/>
        <v>Unique</v>
      </c>
      <c r="W47" s="4" t="str">
        <f t="shared" si="5"/>
        <v>yellow</v>
      </c>
      <c r="X47" s="4" t="str">
        <f t="shared" ref="X47:Z47" si="51">IF(Q47="","Unknown",Q47)</f>
        <v>Yujing, Taiwan</v>
      </c>
      <c r="Y47" s="4" t="str">
        <f t="shared" si="51"/>
        <v>Asia</v>
      </c>
      <c r="Z47" s="4" t="str">
        <f t="shared" si="51"/>
        <v>Taiwan</v>
      </c>
      <c r="AA47" s="4" t="str">
        <f t="shared" si="7"/>
        <v>mww</v>
      </c>
    </row>
    <row r="48">
      <c r="A48" s="3" t="s">
        <v>241</v>
      </c>
      <c r="B48" s="3">
        <v>6.5</v>
      </c>
      <c r="C48" s="19">
        <f>Raw_Data!T48</f>
        <v>44821.57014</v>
      </c>
      <c r="D48" s="3">
        <v>7.0</v>
      </c>
      <c r="E48" s="3">
        <v>7.0</v>
      </c>
      <c r="F48" s="3" t="s">
        <v>109</v>
      </c>
      <c r="G48" s="3">
        <v>1.0</v>
      </c>
      <c r="H48" s="3">
        <v>756.0</v>
      </c>
      <c r="I48" s="3" t="s">
        <v>110</v>
      </c>
      <c r="J48" s="3">
        <v>178.0</v>
      </c>
      <c r="K48" s="3">
        <v>0.43</v>
      </c>
      <c r="L48" s="3">
        <v>54.0</v>
      </c>
      <c r="M48" s="4" t="str">
        <f>Raw_Data!X48</f>
        <v>mww</v>
      </c>
      <c r="N48" s="3">
        <v>10.0</v>
      </c>
      <c r="O48" s="3">
        <v>23.029</v>
      </c>
      <c r="P48" s="3">
        <v>121.348</v>
      </c>
      <c r="Q48" s="3" t="s">
        <v>243</v>
      </c>
      <c r="R48" s="3" t="s">
        <v>164</v>
      </c>
      <c r="S48" s="3" t="s">
        <v>240</v>
      </c>
      <c r="T48" s="4" t="str">
        <f t="shared" si="2"/>
        <v>Valid</v>
      </c>
      <c r="U48" s="4">
        <f t="shared" si="3"/>
        <v>1</v>
      </c>
      <c r="V48" s="4" t="str">
        <f t="shared" si="4"/>
        <v>Unique</v>
      </c>
      <c r="W48" s="4" t="str">
        <f t="shared" si="5"/>
        <v>green</v>
      </c>
      <c r="X48" s="4" t="str">
        <f t="shared" ref="X48:Z48" si="52">IF(Q48="","Unknown",Q48)</f>
        <v>Lugu, Taiwan</v>
      </c>
      <c r="Y48" s="4" t="str">
        <f t="shared" si="52"/>
        <v>Asia</v>
      </c>
      <c r="Z48" s="4" t="str">
        <f t="shared" si="52"/>
        <v>Taiwan</v>
      </c>
      <c r="AA48" s="4" t="str">
        <f t="shared" si="7"/>
        <v>mww</v>
      </c>
    </row>
    <row r="49">
      <c r="A49" s="3" t="s">
        <v>244</v>
      </c>
      <c r="B49" s="3">
        <v>7.0</v>
      </c>
      <c r="C49" s="19">
        <f>Raw_Data!T49</f>
        <v>44818.46111</v>
      </c>
      <c r="D49" s="3">
        <v>7.0</v>
      </c>
      <c r="E49" s="3">
        <v>5.0</v>
      </c>
      <c r="F49" s="3" t="s">
        <v>109</v>
      </c>
      <c r="G49" s="3">
        <v>1.0</v>
      </c>
      <c r="H49" s="3">
        <v>761.0</v>
      </c>
      <c r="I49" s="3" t="s">
        <v>110</v>
      </c>
      <c r="J49" s="3">
        <v>192.0</v>
      </c>
      <c r="K49" s="3">
        <v>2.977</v>
      </c>
      <c r="L49" s="3">
        <v>45.0</v>
      </c>
      <c r="M49" s="4" t="str">
        <f>Raw_Data!X49</f>
        <v>mww</v>
      </c>
      <c r="N49" s="3">
        <v>137.0</v>
      </c>
      <c r="O49" s="3">
        <v>-21.2077</v>
      </c>
      <c r="P49" s="3">
        <v>170.239</v>
      </c>
      <c r="Q49" s="3" t="s">
        <v>246</v>
      </c>
      <c r="R49" s="4"/>
      <c r="S49" s="4"/>
      <c r="T49" s="4" t="str">
        <f t="shared" si="2"/>
        <v>Valid</v>
      </c>
      <c r="U49" s="4">
        <f t="shared" si="3"/>
        <v>1</v>
      </c>
      <c r="V49" s="4" t="str">
        <f t="shared" si="4"/>
        <v>Unique</v>
      </c>
      <c r="W49" s="4" t="str">
        <f t="shared" si="5"/>
        <v>green</v>
      </c>
      <c r="X49" s="4" t="str">
        <f t="shared" ref="X49:Z49" si="53">IF(Q49="","Unknown",Q49)</f>
        <v>Isangel, Vanuatu</v>
      </c>
      <c r="Y49" s="4" t="str">
        <f t="shared" si="53"/>
        <v>Unknown</v>
      </c>
      <c r="Z49" s="4" t="str">
        <f t="shared" si="53"/>
        <v>Unknown</v>
      </c>
      <c r="AA49" s="4" t="str">
        <f t="shared" si="7"/>
        <v>mww</v>
      </c>
    </row>
    <row r="50">
      <c r="A50" s="3" t="s">
        <v>247</v>
      </c>
      <c r="B50" s="3">
        <v>7.6</v>
      </c>
      <c r="C50" s="19">
        <f>Raw_Data!T50</f>
        <v>44814.99097</v>
      </c>
      <c r="D50" s="3">
        <v>8.0</v>
      </c>
      <c r="E50" s="3">
        <v>8.0</v>
      </c>
      <c r="F50" s="3" t="s">
        <v>116</v>
      </c>
      <c r="G50" s="3">
        <v>1.0</v>
      </c>
      <c r="H50" s="3">
        <v>965.0</v>
      </c>
      <c r="I50" s="3" t="s">
        <v>110</v>
      </c>
      <c r="J50" s="3">
        <v>272.0</v>
      </c>
      <c r="K50" s="3">
        <v>3.158</v>
      </c>
      <c r="L50" s="3">
        <v>12.0</v>
      </c>
      <c r="M50" s="4" t="str">
        <f>Raw_Data!X50</f>
        <v>mww</v>
      </c>
      <c r="N50" s="3">
        <v>116.0</v>
      </c>
      <c r="O50" s="3">
        <v>-6.2237</v>
      </c>
      <c r="P50" s="3">
        <v>146.471</v>
      </c>
      <c r="Q50" s="3" t="s">
        <v>248</v>
      </c>
      <c r="R50" s="3" t="s">
        <v>213</v>
      </c>
      <c r="S50" s="3" t="s">
        <v>168</v>
      </c>
      <c r="T50" s="4" t="str">
        <f t="shared" si="2"/>
        <v>Valid</v>
      </c>
      <c r="U50" s="4">
        <f t="shared" si="3"/>
        <v>1</v>
      </c>
      <c r="V50" s="4" t="str">
        <f t="shared" si="4"/>
        <v>Unique</v>
      </c>
      <c r="W50" s="4" t="str">
        <f t="shared" si="5"/>
        <v>yellow</v>
      </c>
      <c r="X50" s="4" t="str">
        <f t="shared" ref="X50:Z50" si="54">IF(Q50="","Unknown",Q50)</f>
        <v>Kainantu, Papua New Guinea</v>
      </c>
      <c r="Y50" s="4" t="str">
        <f t="shared" si="54"/>
        <v>Oceania</v>
      </c>
      <c r="Z50" s="4" t="str">
        <f t="shared" si="54"/>
        <v>Papua New Guinea</v>
      </c>
      <c r="AA50" s="4" t="str">
        <f t="shared" si="7"/>
        <v>mww</v>
      </c>
    </row>
    <row r="51">
      <c r="A51" s="3" t="s">
        <v>249</v>
      </c>
      <c r="B51" s="3">
        <v>6.6</v>
      </c>
      <c r="C51" s="19">
        <f>Raw_Data!T51</f>
        <v>44809.20278</v>
      </c>
      <c r="D51" s="3">
        <v>9.0</v>
      </c>
      <c r="E51" s="3">
        <v>8.0</v>
      </c>
      <c r="F51" s="3" t="s">
        <v>178</v>
      </c>
      <c r="G51" s="3">
        <v>0.0</v>
      </c>
      <c r="H51" s="3">
        <v>1043.0</v>
      </c>
      <c r="I51" s="3" t="s">
        <v>110</v>
      </c>
      <c r="J51" s="3">
        <v>141.0</v>
      </c>
      <c r="K51" s="3">
        <v>8.454</v>
      </c>
      <c r="L51" s="3">
        <v>34.0</v>
      </c>
      <c r="M51" s="4" t="str">
        <f>Raw_Data!X51</f>
        <v>mww</v>
      </c>
      <c r="N51" s="3">
        <v>12.0</v>
      </c>
      <c r="O51" s="3">
        <v>29.7263</v>
      </c>
      <c r="P51" s="3">
        <v>102.279</v>
      </c>
      <c r="Q51" s="3" t="s">
        <v>250</v>
      </c>
      <c r="R51" s="3" t="s">
        <v>164</v>
      </c>
      <c r="S51" s="3" t="s">
        <v>251</v>
      </c>
      <c r="T51" s="4" t="str">
        <f t="shared" si="2"/>
        <v>Valid</v>
      </c>
      <c r="U51" s="4">
        <f t="shared" si="3"/>
        <v>1</v>
      </c>
      <c r="V51" s="4" t="str">
        <f t="shared" si="4"/>
        <v>Unique</v>
      </c>
      <c r="W51" s="4" t="str">
        <f t="shared" si="5"/>
        <v>orange</v>
      </c>
      <c r="X51" s="4" t="str">
        <f t="shared" ref="X51:Z51" si="55">IF(Q51="","Unknown",Q51)</f>
        <v>Kangding, China</v>
      </c>
      <c r="Y51" s="4" t="str">
        <f t="shared" si="55"/>
        <v>Asia</v>
      </c>
      <c r="Z51" s="4" t="str">
        <f t="shared" si="55"/>
        <v>People's Republic of China</v>
      </c>
      <c r="AA51" s="4" t="str">
        <f t="shared" si="7"/>
        <v>mww</v>
      </c>
    </row>
    <row r="52">
      <c r="A52" s="3" t="s">
        <v>252</v>
      </c>
      <c r="B52" s="3">
        <v>6.6</v>
      </c>
      <c r="C52" s="19">
        <f>Raw_Data!T52</f>
        <v>44787.57222</v>
      </c>
      <c r="D52" s="3">
        <v>7.0</v>
      </c>
      <c r="E52" s="3">
        <v>6.0</v>
      </c>
      <c r="F52" s="3" t="s">
        <v>109</v>
      </c>
      <c r="G52" s="3">
        <v>1.0</v>
      </c>
      <c r="H52" s="3">
        <v>672.0</v>
      </c>
      <c r="I52" s="3" t="s">
        <v>110</v>
      </c>
      <c r="J52" s="3">
        <v>68.0</v>
      </c>
      <c r="K52" s="3">
        <v>5.293</v>
      </c>
      <c r="L52" s="3">
        <v>34.0</v>
      </c>
      <c r="M52" s="4" t="str">
        <f>Raw_Data!X52</f>
        <v>mww</v>
      </c>
      <c r="N52" s="3">
        <v>30.0</v>
      </c>
      <c r="O52" s="3">
        <v>-32.6922</v>
      </c>
      <c r="P52" s="3">
        <v>-178.959</v>
      </c>
      <c r="Q52" s="3" t="s">
        <v>254</v>
      </c>
      <c r="R52" s="4"/>
      <c r="S52" s="4"/>
      <c r="T52" s="4" t="str">
        <f t="shared" si="2"/>
        <v>Valid</v>
      </c>
      <c r="U52" s="4">
        <f t="shared" si="3"/>
        <v>1</v>
      </c>
      <c r="V52" s="4" t="str">
        <f t="shared" si="4"/>
        <v>Unique</v>
      </c>
      <c r="W52" s="4" t="str">
        <f t="shared" si="5"/>
        <v>green</v>
      </c>
      <c r="X52" s="4" t="str">
        <f t="shared" ref="X52:Z52" si="56">IF(Q52="","Unknown",Q52)</f>
        <v>the Kermadec Islands</v>
      </c>
      <c r="Y52" s="4" t="str">
        <f t="shared" si="56"/>
        <v>Unknown</v>
      </c>
      <c r="Z52" s="4" t="str">
        <f t="shared" si="56"/>
        <v>Unknown</v>
      </c>
      <c r="AA52" s="4" t="str">
        <f t="shared" si="7"/>
        <v>mww</v>
      </c>
    </row>
    <row r="53">
      <c r="A53" s="3" t="s">
        <v>255</v>
      </c>
      <c r="B53" s="3">
        <v>7.0</v>
      </c>
      <c r="C53" s="19">
        <f>Raw_Data!T53</f>
        <v>44769.02986</v>
      </c>
      <c r="D53" s="3">
        <v>9.0</v>
      </c>
      <c r="E53" s="3">
        <v>8.0</v>
      </c>
      <c r="F53" s="3" t="s">
        <v>116</v>
      </c>
      <c r="G53" s="3">
        <v>1.0</v>
      </c>
      <c r="H53" s="3">
        <v>1351.0</v>
      </c>
      <c r="I53" s="3" t="s">
        <v>110</v>
      </c>
      <c r="J53" s="3">
        <v>152.0</v>
      </c>
      <c r="K53" s="3">
        <v>5.276</v>
      </c>
      <c r="L53" s="3">
        <v>22.0</v>
      </c>
      <c r="M53" s="4" t="str">
        <f>Raw_Data!X53</f>
        <v>mww</v>
      </c>
      <c r="N53" s="3">
        <v>33.729</v>
      </c>
      <c r="O53" s="3">
        <v>17.5978</v>
      </c>
      <c r="P53" s="3">
        <v>120.809</v>
      </c>
      <c r="Q53" s="3" t="s">
        <v>257</v>
      </c>
      <c r="R53" s="3" t="s">
        <v>164</v>
      </c>
      <c r="S53" s="3" t="s">
        <v>258</v>
      </c>
      <c r="T53" s="4" t="str">
        <f t="shared" si="2"/>
        <v>Valid</v>
      </c>
      <c r="U53" s="4">
        <f t="shared" si="3"/>
        <v>1</v>
      </c>
      <c r="V53" s="4" t="str">
        <f t="shared" si="4"/>
        <v>Unique</v>
      </c>
      <c r="W53" s="4" t="str">
        <f t="shared" si="5"/>
        <v>yellow</v>
      </c>
      <c r="X53" s="4" t="str">
        <f t="shared" ref="X53:Z53" si="57">IF(Q53="","Unknown",Q53)</f>
        <v>Bantay, Philippines</v>
      </c>
      <c r="Y53" s="4" t="str">
        <f t="shared" si="57"/>
        <v>Asia</v>
      </c>
      <c r="Z53" s="4" t="str">
        <f t="shared" si="57"/>
        <v>Philippines</v>
      </c>
      <c r="AA53" s="4" t="str">
        <f t="shared" si="7"/>
        <v>mww</v>
      </c>
    </row>
    <row r="54">
      <c r="A54" s="3" t="s">
        <v>259</v>
      </c>
      <c r="B54" s="3">
        <v>6.5</v>
      </c>
      <c r="C54" s="19">
        <f>Raw_Data!T54</f>
        <v>44720.03819</v>
      </c>
      <c r="D54" s="3">
        <v>3.0</v>
      </c>
      <c r="E54" s="3">
        <v>2.0</v>
      </c>
      <c r="F54" s="3" t="s">
        <v>109</v>
      </c>
      <c r="G54" s="3">
        <v>0.0</v>
      </c>
      <c r="H54" s="3">
        <v>653.0</v>
      </c>
      <c r="I54" s="3" t="s">
        <v>110</v>
      </c>
      <c r="J54" s="3">
        <v>236.0</v>
      </c>
      <c r="K54" s="3">
        <v>1.999</v>
      </c>
      <c r="L54" s="3">
        <v>31.0</v>
      </c>
      <c r="M54" s="4" t="str">
        <f>Raw_Data!X54</f>
        <v>mww</v>
      </c>
      <c r="N54" s="3">
        <v>622.73</v>
      </c>
      <c r="O54" s="3">
        <v>-9.0618</v>
      </c>
      <c r="P54" s="3">
        <v>-71.1647</v>
      </c>
      <c r="Q54" s="3" t="s">
        <v>260</v>
      </c>
      <c r="R54" s="3" t="s">
        <v>121</v>
      </c>
      <c r="S54" s="3" t="s">
        <v>261</v>
      </c>
      <c r="T54" s="4" t="str">
        <f t="shared" si="2"/>
        <v>Valid</v>
      </c>
      <c r="U54" s="4">
        <f t="shared" si="3"/>
        <v>1</v>
      </c>
      <c r="V54" s="4" t="str">
        <f t="shared" si="4"/>
        <v>Unique</v>
      </c>
      <c r="W54" s="4" t="str">
        <f t="shared" si="5"/>
        <v>green</v>
      </c>
      <c r="X54" s="4" t="str">
        <f t="shared" ref="X54:Z54" si="58">IF(Q54="","Unknown",Q54)</f>
        <v>Tarauacá, Brazil</v>
      </c>
      <c r="Y54" s="4" t="str">
        <f t="shared" si="58"/>
        <v>South America</v>
      </c>
      <c r="Z54" s="4" t="str">
        <f t="shared" si="58"/>
        <v>Brazil</v>
      </c>
      <c r="AA54" s="4" t="str">
        <f t="shared" si="7"/>
        <v>mww</v>
      </c>
    </row>
    <row r="55">
      <c r="A55" s="3" t="s">
        <v>262</v>
      </c>
      <c r="B55" s="3">
        <v>7.2</v>
      </c>
      <c r="C55" s="19">
        <f>Raw_Data!T55</f>
        <v>44707.50139</v>
      </c>
      <c r="D55" s="3">
        <v>7.0</v>
      </c>
      <c r="E55" s="3">
        <v>5.0</v>
      </c>
      <c r="F55" s="3" t="s">
        <v>109</v>
      </c>
      <c r="G55" s="3">
        <v>1.0</v>
      </c>
      <c r="H55" s="3">
        <v>876.0</v>
      </c>
      <c r="I55" s="3" t="s">
        <v>110</v>
      </c>
      <c r="J55" s="3">
        <v>144.0</v>
      </c>
      <c r="K55" s="3">
        <v>2.494</v>
      </c>
      <c r="L55" s="3">
        <v>40.0</v>
      </c>
      <c r="M55" s="4" t="str">
        <f>Raw_Data!X55</f>
        <v>mww</v>
      </c>
      <c r="N55" s="3">
        <v>236.0</v>
      </c>
      <c r="O55" s="3">
        <v>-14.8628</v>
      </c>
      <c r="P55" s="3">
        <v>-70.3081</v>
      </c>
      <c r="Q55" s="3" t="s">
        <v>264</v>
      </c>
      <c r="R55" s="3" t="s">
        <v>121</v>
      </c>
      <c r="S55" s="3" t="s">
        <v>265</v>
      </c>
      <c r="T55" s="4" t="str">
        <f t="shared" si="2"/>
        <v>Valid</v>
      </c>
      <c r="U55" s="4">
        <f t="shared" si="3"/>
        <v>1</v>
      </c>
      <c r="V55" s="4" t="str">
        <f t="shared" si="4"/>
        <v>Unique</v>
      </c>
      <c r="W55" s="4" t="str">
        <f t="shared" si="5"/>
        <v>green</v>
      </c>
      <c r="X55" s="4" t="str">
        <f t="shared" ref="X55:Z55" si="59">IF(Q55="","Unknown",Q55)</f>
        <v>Azángaro, Peru</v>
      </c>
      <c r="Y55" s="4" t="str">
        <f t="shared" si="59"/>
        <v>South America</v>
      </c>
      <c r="Z55" s="4" t="str">
        <f t="shared" si="59"/>
        <v>Peru</v>
      </c>
      <c r="AA55" s="4" t="str">
        <f t="shared" si="7"/>
        <v>mww</v>
      </c>
    </row>
    <row r="56">
      <c r="A56" s="3" t="s">
        <v>266</v>
      </c>
      <c r="B56" s="3">
        <v>6.9</v>
      </c>
      <c r="C56" s="19">
        <f>Raw_Data!T56</f>
        <v>44700.42569</v>
      </c>
      <c r="D56" s="3">
        <v>2.0</v>
      </c>
      <c r="E56" s="3">
        <v>5.0</v>
      </c>
      <c r="F56" s="3" t="s">
        <v>109</v>
      </c>
      <c r="G56" s="3">
        <v>1.0</v>
      </c>
      <c r="H56" s="3">
        <v>733.0</v>
      </c>
      <c r="I56" s="3" t="s">
        <v>110</v>
      </c>
      <c r="J56" s="3">
        <v>127.0</v>
      </c>
      <c r="K56" s="3">
        <v>0.371</v>
      </c>
      <c r="L56" s="3">
        <v>45.0</v>
      </c>
      <c r="M56" s="4" t="str">
        <f>Raw_Data!X56</f>
        <v>mww</v>
      </c>
      <c r="N56" s="3">
        <v>10.0</v>
      </c>
      <c r="O56" s="3">
        <v>-54.1325</v>
      </c>
      <c r="P56" s="3">
        <v>159.027</v>
      </c>
      <c r="Q56" s="4"/>
      <c r="R56" s="4"/>
      <c r="S56" s="4"/>
      <c r="T56" s="4" t="str">
        <f t="shared" si="2"/>
        <v>Valid</v>
      </c>
      <c r="U56" s="4">
        <f t="shared" si="3"/>
        <v>1</v>
      </c>
      <c r="V56" s="4" t="str">
        <f t="shared" si="4"/>
        <v>Unique</v>
      </c>
      <c r="W56" s="4" t="str">
        <f t="shared" si="5"/>
        <v>green</v>
      </c>
      <c r="X56" s="4" t="str">
        <f t="shared" ref="X56:Z56" si="60">IF(Q56="","Unknown",Q56)</f>
        <v>Unknown</v>
      </c>
      <c r="Y56" s="4" t="str">
        <f t="shared" si="60"/>
        <v>Unknown</v>
      </c>
      <c r="Z56" s="4" t="str">
        <f t="shared" si="60"/>
        <v>Unknown</v>
      </c>
      <c r="AA56" s="4" t="str">
        <f t="shared" si="7"/>
        <v>mww</v>
      </c>
    </row>
    <row r="57">
      <c r="A57" s="3" t="s">
        <v>268</v>
      </c>
      <c r="B57" s="3">
        <v>6.8</v>
      </c>
      <c r="C57" s="19">
        <f>Raw_Data!T57</f>
        <v>44691.9625</v>
      </c>
      <c r="D57" s="3">
        <v>6.0</v>
      </c>
      <c r="E57" s="3">
        <v>5.0</v>
      </c>
      <c r="F57" s="3" t="s">
        <v>109</v>
      </c>
      <c r="G57" s="3">
        <v>1.0</v>
      </c>
      <c r="H57" s="3">
        <v>762.0</v>
      </c>
      <c r="I57" s="3" t="s">
        <v>110</v>
      </c>
      <c r="J57" s="3">
        <v>162.0</v>
      </c>
      <c r="K57" s="3">
        <v>1.505</v>
      </c>
      <c r="L57" s="3">
        <v>30.0</v>
      </c>
      <c r="M57" s="4" t="str">
        <f>Raw_Data!X57</f>
        <v>mww</v>
      </c>
      <c r="N57" s="3">
        <v>220.0</v>
      </c>
      <c r="O57" s="3">
        <v>-23.6141</v>
      </c>
      <c r="P57" s="3">
        <v>-66.7236</v>
      </c>
      <c r="Q57" s="3" t="s">
        <v>171</v>
      </c>
      <c r="R57" s="3" t="s">
        <v>121</v>
      </c>
      <c r="S57" s="3" t="s">
        <v>122</v>
      </c>
      <c r="T57" s="4" t="str">
        <f t="shared" si="2"/>
        <v>Valid</v>
      </c>
      <c r="U57" s="4">
        <f t="shared" si="3"/>
        <v>1</v>
      </c>
      <c r="V57" s="4" t="str">
        <f t="shared" si="4"/>
        <v>Unique</v>
      </c>
      <c r="W57" s="4" t="str">
        <f t="shared" si="5"/>
        <v>green</v>
      </c>
      <c r="X57" s="4" t="str">
        <f t="shared" ref="X57:Z57" si="61">IF(Q57="","Unknown",Q57)</f>
        <v>San Antonio de los Cobres, Argentina</v>
      </c>
      <c r="Y57" s="4" t="str">
        <f t="shared" si="61"/>
        <v>South America</v>
      </c>
      <c r="Z57" s="4" t="str">
        <f t="shared" si="61"/>
        <v>Argentina</v>
      </c>
      <c r="AA57" s="4" t="str">
        <f t="shared" si="7"/>
        <v>mww</v>
      </c>
    </row>
    <row r="58">
      <c r="A58" s="3" t="s">
        <v>269</v>
      </c>
      <c r="B58" s="3">
        <v>6.6</v>
      </c>
      <c r="C58" s="19">
        <f>Raw_Data!T58</f>
        <v>44672.32083</v>
      </c>
      <c r="D58" s="3">
        <v>6.0</v>
      </c>
      <c r="E58" s="3">
        <v>5.0</v>
      </c>
      <c r="F58" s="3" t="s">
        <v>109</v>
      </c>
      <c r="G58" s="3">
        <v>1.0</v>
      </c>
      <c r="H58" s="3">
        <v>762.0</v>
      </c>
      <c r="I58" s="3" t="s">
        <v>110</v>
      </c>
      <c r="J58" s="3">
        <v>0.0</v>
      </c>
      <c r="K58" s="3">
        <v>0.914</v>
      </c>
      <c r="L58" s="3">
        <v>94.0</v>
      </c>
      <c r="M58" s="4" t="str">
        <f>Raw_Data!X58</f>
        <v>mww</v>
      </c>
      <c r="N58" s="3">
        <v>27.0</v>
      </c>
      <c r="O58" s="3">
        <v>11.5538</v>
      </c>
      <c r="P58" s="3">
        <v>-86.9919</v>
      </c>
      <c r="Q58" s="3" t="s">
        <v>271</v>
      </c>
      <c r="R58" s="4"/>
      <c r="S58" s="4"/>
      <c r="T58" s="4" t="str">
        <f t="shared" si="2"/>
        <v>Valid</v>
      </c>
      <c r="U58" s="4">
        <f t="shared" si="3"/>
        <v>1</v>
      </c>
      <c r="V58" s="4" t="str">
        <f t="shared" si="4"/>
        <v>Unique</v>
      </c>
      <c r="W58" s="4" t="str">
        <f t="shared" si="5"/>
        <v>green</v>
      </c>
      <c r="X58" s="4" t="str">
        <f t="shared" ref="X58:Z58" si="62">IF(Q58="","Unknown",Q58)</f>
        <v>Masachapa, Nicaragua</v>
      </c>
      <c r="Y58" s="4" t="str">
        <f t="shared" si="62"/>
        <v>Unknown</v>
      </c>
      <c r="Z58" s="4" t="str">
        <f t="shared" si="62"/>
        <v>Unknown</v>
      </c>
      <c r="AA58" s="4" t="str">
        <f t="shared" si="7"/>
        <v>mww</v>
      </c>
    </row>
    <row r="59">
      <c r="A59" s="3" t="s">
        <v>272</v>
      </c>
      <c r="B59" s="3">
        <v>7.0</v>
      </c>
      <c r="C59" s="19">
        <f>Raw_Data!T59</f>
        <v>44651.23889</v>
      </c>
      <c r="D59" s="3">
        <v>6.0</v>
      </c>
      <c r="E59" s="3">
        <v>4.0</v>
      </c>
      <c r="F59" s="3" t="s">
        <v>109</v>
      </c>
      <c r="G59" s="3">
        <v>1.0</v>
      </c>
      <c r="H59" s="3">
        <v>763.0</v>
      </c>
      <c r="I59" s="3" t="s">
        <v>110</v>
      </c>
      <c r="J59" s="3">
        <v>0.0</v>
      </c>
      <c r="K59" s="3">
        <v>2.705</v>
      </c>
      <c r="L59" s="3">
        <v>26.0</v>
      </c>
      <c r="M59" s="4" t="str">
        <f>Raw_Data!X59</f>
        <v>mww</v>
      </c>
      <c r="N59" s="3">
        <v>10.0</v>
      </c>
      <c r="O59" s="3">
        <v>-22.5732</v>
      </c>
      <c r="P59" s="3">
        <v>170.349</v>
      </c>
      <c r="Q59" s="3" t="s">
        <v>143</v>
      </c>
      <c r="R59" s="4"/>
      <c r="S59" s="4"/>
      <c r="T59" s="4" t="str">
        <f t="shared" si="2"/>
        <v>Valid</v>
      </c>
      <c r="U59" s="4">
        <f t="shared" si="3"/>
        <v>1</v>
      </c>
      <c r="V59" s="4" t="str">
        <f t="shared" si="4"/>
        <v>Unique</v>
      </c>
      <c r="W59" s="4" t="str">
        <f t="shared" si="5"/>
        <v>green</v>
      </c>
      <c r="X59" s="4" t="str">
        <f t="shared" ref="X59:Z59" si="63">IF(Q59="","Unknown",Q59)</f>
        <v>the Loyalty Islands</v>
      </c>
      <c r="Y59" s="4" t="str">
        <f t="shared" si="63"/>
        <v>Unknown</v>
      </c>
      <c r="Z59" s="4" t="str">
        <f t="shared" si="63"/>
        <v>Unknown</v>
      </c>
      <c r="AA59" s="4" t="str">
        <f t="shared" si="7"/>
        <v>mww</v>
      </c>
    </row>
    <row r="60">
      <c r="A60" s="3" t="s">
        <v>274</v>
      </c>
      <c r="B60" s="3">
        <v>6.9</v>
      </c>
      <c r="C60" s="19">
        <f>Raw_Data!T60</f>
        <v>44650.87222</v>
      </c>
      <c r="D60" s="3">
        <v>6.0</v>
      </c>
      <c r="E60" s="3">
        <v>4.0</v>
      </c>
      <c r="F60" s="3" t="s">
        <v>109</v>
      </c>
      <c r="G60" s="3">
        <v>1.0</v>
      </c>
      <c r="H60" s="3">
        <v>738.0</v>
      </c>
      <c r="I60" s="3" t="s">
        <v>110</v>
      </c>
      <c r="J60" s="3">
        <v>0.0</v>
      </c>
      <c r="K60" s="3">
        <v>2.697</v>
      </c>
      <c r="L60" s="3">
        <v>42.0</v>
      </c>
      <c r="M60" s="4" t="str">
        <f>Raw_Data!X60</f>
        <v>mww</v>
      </c>
      <c r="N60" s="3">
        <v>10.0</v>
      </c>
      <c r="O60" s="3">
        <v>-22.72</v>
      </c>
      <c r="P60" s="3">
        <v>170.277</v>
      </c>
      <c r="Q60" s="3" t="s">
        <v>276</v>
      </c>
      <c r="R60" s="4"/>
      <c r="S60" s="4"/>
      <c r="T60" s="4" t="str">
        <f t="shared" si="2"/>
        <v>Valid</v>
      </c>
      <c r="U60" s="4">
        <f t="shared" si="3"/>
        <v>1</v>
      </c>
      <c r="V60" s="4" t="str">
        <f t="shared" si="4"/>
        <v>Unique</v>
      </c>
      <c r="W60" s="4" t="str">
        <f t="shared" si="5"/>
        <v>green</v>
      </c>
      <c r="X60" s="4" t="str">
        <f t="shared" ref="X60:Z60" si="64">IF(Q60="","Unknown",Q60)</f>
        <v>Tadine, New Caledonia</v>
      </c>
      <c r="Y60" s="4" t="str">
        <f t="shared" si="64"/>
        <v>Unknown</v>
      </c>
      <c r="Z60" s="4" t="str">
        <f t="shared" si="64"/>
        <v>Unknown</v>
      </c>
      <c r="AA60" s="4" t="str">
        <f t="shared" si="7"/>
        <v>mww</v>
      </c>
    </row>
    <row r="61">
      <c r="A61" s="3" t="s">
        <v>277</v>
      </c>
      <c r="B61" s="3">
        <v>6.7</v>
      </c>
      <c r="C61" s="19">
        <f>Raw_Data!T61</f>
        <v>44642.73681</v>
      </c>
      <c r="D61" s="3">
        <v>8.0</v>
      </c>
      <c r="E61" s="3">
        <v>7.0</v>
      </c>
      <c r="F61" s="3" t="s">
        <v>109</v>
      </c>
      <c r="G61" s="3">
        <v>1.0</v>
      </c>
      <c r="H61" s="3">
        <v>806.0</v>
      </c>
      <c r="I61" s="3" t="s">
        <v>110</v>
      </c>
      <c r="J61" s="3">
        <v>0.0</v>
      </c>
      <c r="K61" s="3">
        <v>0.289</v>
      </c>
      <c r="L61" s="3">
        <v>32.0</v>
      </c>
      <c r="M61" s="4" t="str">
        <f>Raw_Data!X61</f>
        <v>mww</v>
      </c>
      <c r="N61" s="3">
        <v>24.0</v>
      </c>
      <c r="O61" s="3">
        <v>23.3421</v>
      </c>
      <c r="P61" s="3">
        <v>121.636</v>
      </c>
      <c r="Q61" s="3" t="s">
        <v>279</v>
      </c>
      <c r="R61" s="3" t="s">
        <v>164</v>
      </c>
      <c r="S61" s="3" t="s">
        <v>240</v>
      </c>
      <c r="T61" s="4" t="str">
        <f t="shared" si="2"/>
        <v>Valid</v>
      </c>
      <c r="U61" s="4">
        <f t="shared" si="3"/>
        <v>1</v>
      </c>
      <c r="V61" s="4" t="str">
        <f t="shared" si="4"/>
        <v>Unique</v>
      </c>
      <c r="W61" s="4" t="str">
        <f t="shared" si="5"/>
        <v>green</v>
      </c>
      <c r="X61" s="4" t="str">
        <f t="shared" ref="X61:Z61" si="65">IF(Q61="","Unknown",Q61)</f>
        <v>Hualien City, Taiwan</v>
      </c>
      <c r="Y61" s="4" t="str">
        <f t="shared" si="65"/>
        <v>Asia</v>
      </c>
      <c r="Z61" s="4" t="str">
        <f t="shared" si="65"/>
        <v>Taiwan</v>
      </c>
      <c r="AA61" s="4" t="str">
        <f t="shared" si="7"/>
        <v>mww</v>
      </c>
    </row>
    <row r="62">
      <c r="A62" s="3" t="s">
        <v>280</v>
      </c>
      <c r="B62" s="3">
        <v>7.3</v>
      </c>
      <c r="C62" s="19">
        <f>Raw_Data!T62</f>
        <v>44636.60833</v>
      </c>
      <c r="D62" s="3">
        <v>9.0</v>
      </c>
      <c r="E62" s="3">
        <v>8.0</v>
      </c>
      <c r="F62" s="3" t="s">
        <v>198</v>
      </c>
      <c r="G62" s="3">
        <v>1.0</v>
      </c>
      <c r="H62" s="3">
        <v>2397.0</v>
      </c>
      <c r="I62" s="3" t="s">
        <v>110</v>
      </c>
      <c r="J62" s="3">
        <v>0.0</v>
      </c>
      <c r="K62" s="3">
        <v>2.936</v>
      </c>
      <c r="L62" s="3">
        <v>29.0</v>
      </c>
      <c r="M62" s="4" t="str">
        <f>Raw_Data!X62</f>
        <v>mww</v>
      </c>
      <c r="N62" s="3">
        <v>41.0</v>
      </c>
      <c r="O62" s="3">
        <v>37.7015</v>
      </c>
      <c r="P62" s="3">
        <v>141.587</v>
      </c>
      <c r="Q62" s="3" t="s">
        <v>282</v>
      </c>
      <c r="R62" s="4"/>
      <c r="S62" s="4"/>
      <c r="T62" s="4" t="str">
        <f t="shared" si="2"/>
        <v>Valid</v>
      </c>
      <c r="U62" s="4">
        <f t="shared" si="3"/>
        <v>1</v>
      </c>
      <c r="V62" s="4" t="str">
        <f t="shared" si="4"/>
        <v>Unique</v>
      </c>
      <c r="W62" s="4" t="str">
        <f t="shared" si="5"/>
        <v>red</v>
      </c>
      <c r="X62" s="4" t="str">
        <f t="shared" ref="X62:Z62" si="66">IF(Q62="","Unknown",Q62)</f>
        <v>Namie, Japan</v>
      </c>
      <c r="Y62" s="4" t="str">
        <f t="shared" si="66"/>
        <v>Unknown</v>
      </c>
      <c r="Z62" s="4" t="str">
        <f t="shared" si="66"/>
        <v>Unknown</v>
      </c>
      <c r="AA62" s="4" t="str">
        <f t="shared" si="7"/>
        <v>mww</v>
      </c>
    </row>
    <row r="63">
      <c r="A63" s="3" t="s">
        <v>283</v>
      </c>
      <c r="B63" s="3">
        <v>6.7</v>
      </c>
      <c r="C63" s="19">
        <f>Raw_Data!T63</f>
        <v>44633.88125</v>
      </c>
      <c r="D63" s="3">
        <v>9.0</v>
      </c>
      <c r="E63" s="3">
        <v>6.0</v>
      </c>
      <c r="F63" s="3" t="s">
        <v>109</v>
      </c>
      <c r="G63" s="3">
        <v>0.0</v>
      </c>
      <c r="H63" s="3">
        <v>708.0</v>
      </c>
      <c r="I63" s="3" t="s">
        <v>110</v>
      </c>
      <c r="J63" s="3">
        <v>0.0</v>
      </c>
      <c r="K63" s="3">
        <v>2.188</v>
      </c>
      <c r="L63" s="3">
        <v>43.0</v>
      </c>
      <c r="M63" s="4" t="str">
        <f>Raw_Data!X63</f>
        <v>mww</v>
      </c>
      <c r="N63" s="3">
        <v>28.0</v>
      </c>
      <c r="O63" s="3">
        <v>-0.6831</v>
      </c>
      <c r="P63" s="3">
        <v>98.6034</v>
      </c>
      <c r="Q63" s="3" t="s">
        <v>285</v>
      </c>
      <c r="R63" s="3" t="s">
        <v>164</v>
      </c>
      <c r="S63" s="3" t="s">
        <v>153</v>
      </c>
      <c r="T63" s="4" t="str">
        <f t="shared" si="2"/>
        <v>Valid</v>
      </c>
      <c r="U63" s="4">
        <f t="shared" si="3"/>
        <v>1</v>
      </c>
      <c r="V63" s="4" t="str">
        <f t="shared" si="4"/>
        <v>Unique</v>
      </c>
      <c r="W63" s="4" t="str">
        <f t="shared" si="5"/>
        <v>green</v>
      </c>
      <c r="X63" s="4" t="str">
        <f t="shared" ref="X63:Z63" si="67">IF(Q63="","Unknown",Q63)</f>
        <v>Pariaman, Indonesia</v>
      </c>
      <c r="Y63" s="4" t="str">
        <f t="shared" si="67"/>
        <v>Asia</v>
      </c>
      <c r="Z63" s="4" t="str">
        <f t="shared" si="67"/>
        <v>Indonesia</v>
      </c>
      <c r="AA63" s="4" t="str">
        <f t="shared" si="7"/>
        <v>mww</v>
      </c>
    </row>
    <row r="64">
      <c r="A64" s="3" t="s">
        <v>286</v>
      </c>
      <c r="B64" s="3">
        <v>6.6</v>
      </c>
      <c r="C64" s="19">
        <f>Raw_Data!T64</f>
        <v>44622.53611</v>
      </c>
      <c r="D64" s="3">
        <v>2.0</v>
      </c>
      <c r="E64" s="3">
        <v>7.0</v>
      </c>
      <c r="F64" s="3" t="s">
        <v>109</v>
      </c>
      <c r="G64" s="3">
        <v>1.0</v>
      </c>
      <c r="H64" s="3">
        <v>670.0</v>
      </c>
      <c r="I64" s="3" t="s">
        <v>110</v>
      </c>
      <c r="J64" s="3">
        <v>0.0</v>
      </c>
      <c r="K64" s="3">
        <v>0.827</v>
      </c>
      <c r="L64" s="3">
        <v>46.0</v>
      </c>
      <c r="M64" s="4" t="str">
        <f>Raw_Data!X64</f>
        <v>mww</v>
      </c>
      <c r="N64" s="3">
        <v>24.0</v>
      </c>
      <c r="O64" s="3">
        <v>-30.0528</v>
      </c>
      <c r="P64" s="3">
        <v>-177.74</v>
      </c>
      <c r="Q64" s="3" t="s">
        <v>156</v>
      </c>
      <c r="R64" s="4"/>
      <c r="S64" s="4"/>
      <c r="T64" s="4" t="str">
        <f t="shared" si="2"/>
        <v>Valid</v>
      </c>
      <c r="U64" s="4">
        <f t="shared" si="3"/>
        <v>1</v>
      </c>
      <c r="V64" s="4" t="str">
        <f t="shared" si="4"/>
        <v>Unique</v>
      </c>
      <c r="W64" s="4" t="str">
        <f t="shared" si="5"/>
        <v>green</v>
      </c>
      <c r="X64" s="4" t="str">
        <f t="shared" ref="X64:Z64" si="68">IF(Q64="","Unknown",Q64)</f>
        <v>Kermadec Islands, New Zealand</v>
      </c>
      <c r="Y64" s="4" t="str">
        <f t="shared" si="68"/>
        <v>Unknown</v>
      </c>
      <c r="Z64" s="4" t="str">
        <f t="shared" si="68"/>
        <v>Unknown</v>
      </c>
      <c r="AA64" s="4" t="str">
        <f t="shared" si="7"/>
        <v>mww</v>
      </c>
    </row>
    <row r="65">
      <c r="A65" s="3" t="s">
        <v>225</v>
      </c>
      <c r="B65" s="3">
        <v>6.8</v>
      </c>
      <c r="C65" s="19">
        <f>Raw_Data!T65</f>
        <v>44608.84792</v>
      </c>
      <c r="D65" s="3">
        <v>2.0</v>
      </c>
      <c r="E65" s="3">
        <v>3.0</v>
      </c>
      <c r="F65" s="3" t="s">
        <v>109</v>
      </c>
      <c r="G65" s="3">
        <v>1.0</v>
      </c>
      <c r="H65" s="3">
        <v>712.0</v>
      </c>
      <c r="I65" s="3" t="s">
        <v>110</v>
      </c>
      <c r="J65" s="3">
        <v>0.0</v>
      </c>
      <c r="K65" s="3">
        <v>5.78</v>
      </c>
      <c r="L65" s="3">
        <v>12.0</v>
      </c>
      <c r="M65" s="4" t="str">
        <f>Raw_Data!X65</f>
        <v>mww</v>
      </c>
      <c r="N65" s="3">
        <v>535.0</v>
      </c>
      <c r="O65" s="3">
        <v>-23.7852</v>
      </c>
      <c r="P65" s="3">
        <v>-179.968</v>
      </c>
      <c r="Q65" s="3" t="s">
        <v>136</v>
      </c>
      <c r="R65" s="4"/>
      <c r="S65" s="4"/>
      <c r="T65" s="4" t="str">
        <f t="shared" si="2"/>
        <v>Valid</v>
      </c>
      <c r="U65" s="4">
        <f t="shared" si="3"/>
        <v>1</v>
      </c>
      <c r="V65" s="4" t="str">
        <f t="shared" si="4"/>
        <v>Unique</v>
      </c>
      <c r="W65" s="4" t="str">
        <f t="shared" si="5"/>
        <v>green</v>
      </c>
      <c r="X65" s="4" t="str">
        <f t="shared" ref="X65:Z65" si="69">IF(Q65="","Unknown",Q65)</f>
        <v>the Fiji Islands</v>
      </c>
      <c r="Y65" s="4" t="str">
        <f t="shared" si="69"/>
        <v>Unknown</v>
      </c>
      <c r="Z65" s="4" t="str">
        <f t="shared" si="69"/>
        <v>Unknown</v>
      </c>
      <c r="AA65" s="4" t="str">
        <f t="shared" si="7"/>
        <v>mww</v>
      </c>
    </row>
    <row r="66">
      <c r="A66" s="3" t="s">
        <v>288</v>
      </c>
      <c r="B66" s="3">
        <v>6.5</v>
      </c>
      <c r="C66" s="19">
        <f>Raw_Data!T66</f>
        <v>44595.66528</v>
      </c>
      <c r="D66" s="3">
        <v>8.0</v>
      </c>
      <c r="E66" s="3">
        <v>6.0</v>
      </c>
      <c r="F66" s="3" t="s">
        <v>109</v>
      </c>
      <c r="G66" s="3">
        <v>0.0</v>
      </c>
      <c r="H66" s="3">
        <v>690.0</v>
      </c>
      <c r="I66" s="3" t="s">
        <v>110</v>
      </c>
      <c r="J66" s="3">
        <v>0.0</v>
      </c>
      <c r="K66" s="3">
        <v>3.026</v>
      </c>
      <c r="L66" s="3">
        <v>22.0</v>
      </c>
      <c r="M66" s="4" t="str">
        <f>Raw_Data!X66</f>
        <v>mww</v>
      </c>
      <c r="N66" s="3">
        <v>110.0</v>
      </c>
      <c r="O66" s="3">
        <v>-4.455</v>
      </c>
      <c r="P66" s="3">
        <v>-76.9395</v>
      </c>
      <c r="Q66" s="3" t="s">
        <v>289</v>
      </c>
      <c r="R66" s="3" t="s">
        <v>121</v>
      </c>
      <c r="S66" s="3" t="s">
        <v>265</v>
      </c>
      <c r="T66" s="4" t="str">
        <f t="shared" si="2"/>
        <v>Valid</v>
      </c>
      <c r="U66" s="4">
        <f t="shared" si="3"/>
        <v>1</v>
      </c>
      <c r="V66" s="4" t="str">
        <f t="shared" si="4"/>
        <v>Unique</v>
      </c>
      <c r="W66" s="4" t="str">
        <f t="shared" si="5"/>
        <v>green</v>
      </c>
      <c r="X66" s="4" t="str">
        <f t="shared" ref="X66:Z66" si="70">IF(Q66="","Unknown",Q66)</f>
        <v>Barranca, Peru</v>
      </c>
      <c r="Y66" s="4" t="str">
        <f t="shared" si="70"/>
        <v>South America</v>
      </c>
      <c r="Z66" s="4" t="str">
        <f t="shared" si="70"/>
        <v>Peru</v>
      </c>
      <c r="AA66" s="4" t="str">
        <f t="shared" si="7"/>
        <v>mww</v>
      </c>
    </row>
    <row r="67">
      <c r="A67" s="3" t="s">
        <v>290</v>
      </c>
      <c r="B67" s="3">
        <v>6.5</v>
      </c>
      <c r="C67" s="19">
        <f>Raw_Data!T67</f>
        <v>44590.11528</v>
      </c>
      <c r="D67" s="3">
        <v>7.0</v>
      </c>
      <c r="E67" s="3">
        <v>4.0</v>
      </c>
      <c r="F67" s="3" t="s">
        <v>109</v>
      </c>
      <c r="G67" s="3">
        <v>1.0</v>
      </c>
      <c r="H67" s="3">
        <v>651.0</v>
      </c>
      <c r="I67" s="3" t="s">
        <v>110</v>
      </c>
      <c r="J67" s="3">
        <v>0.0</v>
      </c>
      <c r="K67" s="3">
        <v>1.088</v>
      </c>
      <c r="L67" s="3">
        <v>57.0</v>
      </c>
      <c r="M67" s="4" t="str">
        <f>Raw_Data!X67</f>
        <v>mww</v>
      </c>
      <c r="N67" s="3">
        <v>8.0</v>
      </c>
      <c r="O67" s="3">
        <v>-29.535</v>
      </c>
      <c r="P67" s="3">
        <v>-176.729</v>
      </c>
      <c r="Q67" s="3" t="s">
        <v>182</v>
      </c>
      <c r="R67" s="4"/>
      <c r="S67" s="4"/>
      <c r="T67" s="4" t="str">
        <f t="shared" si="2"/>
        <v>Valid</v>
      </c>
      <c r="U67" s="4">
        <f t="shared" si="3"/>
        <v>1</v>
      </c>
      <c r="V67" s="4" t="str">
        <f t="shared" si="4"/>
        <v>Unique</v>
      </c>
      <c r="W67" s="4" t="str">
        <f t="shared" si="5"/>
        <v>green</v>
      </c>
      <c r="X67" s="4" t="str">
        <f t="shared" ref="X67:Z67" si="71">IF(Q67="","Unknown",Q67)</f>
        <v>Kermadec Islands region</v>
      </c>
      <c r="Y67" s="4" t="str">
        <f t="shared" si="71"/>
        <v>Unknown</v>
      </c>
      <c r="Z67" s="4" t="str">
        <f t="shared" si="71"/>
        <v>Unknown</v>
      </c>
      <c r="AA67" s="4" t="str">
        <f t="shared" si="7"/>
        <v>mww</v>
      </c>
    </row>
    <row r="68">
      <c r="A68" s="3" t="s">
        <v>292</v>
      </c>
      <c r="B68" s="3">
        <v>6.6</v>
      </c>
      <c r="C68" s="19">
        <f>Raw_Data!T68</f>
        <v>44575.37847</v>
      </c>
      <c r="D68" s="3">
        <v>8.0</v>
      </c>
      <c r="E68" s="3">
        <v>6.0</v>
      </c>
      <c r="F68" s="3" t="s">
        <v>109</v>
      </c>
      <c r="G68" s="3">
        <v>0.0</v>
      </c>
      <c r="H68" s="3">
        <v>785.0</v>
      </c>
      <c r="I68" s="3" t="s">
        <v>110</v>
      </c>
      <c r="J68" s="3">
        <v>0.0</v>
      </c>
      <c r="K68" s="3">
        <v>2.418</v>
      </c>
      <c r="L68" s="3">
        <v>22.0</v>
      </c>
      <c r="M68" s="4" t="str">
        <f>Raw_Data!X68</f>
        <v>mww</v>
      </c>
      <c r="N68" s="3">
        <v>33.0</v>
      </c>
      <c r="O68" s="3">
        <v>-6.9291</v>
      </c>
      <c r="P68" s="3">
        <v>105.251</v>
      </c>
      <c r="Q68" s="3" t="s">
        <v>294</v>
      </c>
      <c r="R68" s="4"/>
      <c r="S68" s="3" t="s">
        <v>153</v>
      </c>
      <c r="T68" s="4" t="str">
        <f t="shared" si="2"/>
        <v>Valid</v>
      </c>
      <c r="U68" s="4">
        <f t="shared" si="3"/>
        <v>1</v>
      </c>
      <c r="V68" s="4" t="str">
        <f t="shared" si="4"/>
        <v>Unique</v>
      </c>
      <c r="W68" s="4" t="str">
        <f t="shared" si="5"/>
        <v>green</v>
      </c>
      <c r="X68" s="4" t="str">
        <f t="shared" ref="X68:Z68" si="72">IF(Q68="","Unknown",Q68)</f>
        <v>Labuan, Indonesia</v>
      </c>
      <c r="Y68" s="4" t="str">
        <f t="shared" si="72"/>
        <v>Unknown</v>
      </c>
      <c r="Z68" s="4" t="str">
        <f t="shared" si="72"/>
        <v>Indonesia</v>
      </c>
      <c r="AA68" s="4" t="str">
        <f t="shared" si="7"/>
        <v>mww</v>
      </c>
    </row>
    <row r="69">
      <c r="A69" s="3" t="s">
        <v>295</v>
      </c>
      <c r="B69" s="3">
        <v>6.5</v>
      </c>
      <c r="C69" s="19">
        <f>Raw_Data!T69</f>
        <v>44572.52708</v>
      </c>
      <c r="D69" s="3">
        <v>0.0</v>
      </c>
      <c r="E69" s="3">
        <v>3.0</v>
      </c>
      <c r="F69" s="4"/>
      <c r="G69" s="3">
        <v>1.0</v>
      </c>
      <c r="H69" s="3">
        <v>650.0</v>
      </c>
      <c r="I69" s="3" t="s">
        <v>127</v>
      </c>
      <c r="J69" s="3">
        <v>97.0</v>
      </c>
      <c r="K69" s="3">
        <v>1.61607</v>
      </c>
      <c r="L69" s="3">
        <v>108.0</v>
      </c>
      <c r="M69" s="4" t="str">
        <f>Raw_Data!X69</f>
        <v>mi</v>
      </c>
      <c r="N69" s="3">
        <v>37.0</v>
      </c>
      <c r="O69" s="3">
        <v>52.502</v>
      </c>
      <c r="P69" s="3">
        <v>-168.08</v>
      </c>
      <c r="Q69" s="3" t="s">
        <v>296</v>
      </c>
      <c r="R69" s="4"/>
      <c r="S69" s="4"/>
      <c r="T69" s="4" t="str">
        <f t="shared" si="2"/>
        <v>Valid</v>
      </c>
      <c r="U69" s="4">
        <f t="shared" si="3"/>
        <v>2</v>
      </c>
      <c r="V69" s="4" t="str">
        <f t="shared" si="4"/>
        <v>Duplicate</v>
      </c>
      <c r="W69" s="4" t="str">
        <f t="shared" si="5"/>
        <v>Unknown</v>
      </c>
      <c r="X69" s="4" t="str">
        <f t="shared" ref="X69:Z69" si="73">IF(Q69="","Unknown",Q69)</f>
        <v>Nikolski, Alaska</v>
      </c>
      <c r="Y69" s="4" t="str">
        <f t="shared" si="73"/>
        <v>Unknown</v>
      </c>
      <c r="Z69" s="4" t="str">
        <f t="shared" si="73"/>
        <v>Unknown</v>
      </c>
      <c r="AA69" s="4" t="str">
        <f t="shared" si="7"/>
        <v>mi</v>
      </c>
    </row>
    <row r="70">
      <c r="A70" s="3" t="s">
        <v>295</v>
      </c>
      <c r="B70" s="3">
        <v>6.5</v>
      </c>
      <c r="C70" s="19">
        <f>Raw_Data!T70</f>
        <v>44572.52708</v>
      </c>
      <c r="D70" s="3">
        <v>0.0</v>
      </c>
      <c r="E70" s="3">
        <v>3.0</v>
      </c>
      <c r="F70" s="4"/>
      <c r="G70" s="3">
        <v>1.0</v>
      </c>
      <c r="H70" s="3">
        <v>650.0</v>
      </c>
      <c r="I70" s="3" t="s">
        <v>297</v>
      </c>
      <c r="J70" s="3">
        <v>23.0</v>
      </c>
      <c r="K70" s="3">
        <v>0.0</v>
      </c>
      <c r="L70" s="3">
        <v>208.8</v>
      </c>
      <c r="M70" s="4" t="str">
        <f>Raw_Data!X70</f>
        <v>mi</v>
      </c>
      <c r="N70" s="3">
        <v>37.0</v>
      </c>
      <c r="O70" s="3">
        <v>52.502</v>
      </c>
      <c r="P70" s="3">
        <v>-168.08</v>
      </c>
      <c r="Q70" s="3" t="s">
        <v>296</v>
      </c>
      <c r="R70" s="4"/>
      <c r="S70" s="4"/>
      <c r="T70" s="4" t="str">
        <f t="shared" si="2"/>
        <v>Valid</v>
      </c>
      <c r="U70" s="4">
        <f t="shared" si="3"/>
        <v>2</v>
      </c>
      <c r="V70" s="4" t="str">
        <f t="shared" si="4"/>
        <v>Duplicate</v>
      </c>
      <c r="W70" s="4" t="str">
        <f t="shared" si="5"/>
        <v>Unknown</v>
      </c>
      <c r="X70" s="4" t="str">
        <f t="shared" ref="X70:Z70" si="74">IF(Q70="","Unknown",Q70)</f>
        <v>Nikolski, Alaska</v>
      </c>
      <c r="Y70" s="4" t="str">
        <f t="shared" si="74"/>
        <v>Unknown</v>
      </c>
      <c r="Z70" s="4" t="str">
        <f t="shared" si="74"/>
        <v>Unknown</v>
      </c>
      <c r="AA70" s="4" t="str">
        <f t="shared" si="7"/>
        <v>mi</v>
      </c>
    </row>
    <row r="71">
      <c r="A71" s="3" t="s">
        <v>298</v>
      </c>
      <c r="B71" s="3">
        <v>6.6</v>
      </c>
      <c r="C71" s="19">
        <f>Raw_Data!T71</f>
        <v>44572.52708</v>
      </c>
      <c r="D71" s="3">
        <v>8.0</v>
      </c>
      <c r="E71" s="3">
        <v>5.0</v>
      </c>
      <c r="F71" s="3" t="s">
        <v>109</v>
      </c>
      <c r="G71" s="3">
        <v>1.0</v>
      </c>
      <c r="H71" s="3">
        <v>674.0</v>
      </c>
      <c r="I71" s="3" t="s">
        <v>110</v>
      </c>
      <c r="J71" s="3">
        <v>0.0</v>
      </c>
      <c r="K71" s="3">
        <v>0.507</v>
      </c>
      <c r="L71" s="3">
        <v>49.0</v>
      </c>
      <c r="M71" s="4" t="str">
        <f>Raw_Data!X71</f>
        <v>mww</v>
      </c>
      <c r="N71" s="3">
        <v>19.0</v>
      </c>
      <c r="O71" s="3">
        <v>52.6252</v>
      </c>
      <c r="P71" s="3">
        <v>-168.15</v>
      </c>
      <c r="Q71" s="3" t="s">
        <v>296</v>
      </c>
      <c r="R71" s="4"/>
      <c r="S71" s="4"/>
      <c r="T71" s="4" t="str">
        <f t="shared" si="2"/>
        <v>Valid</v>
      </c>
      <c r="U71" s="4">
        <f t="shared" si="3"/>
        <v>1</v>
      </c>
      <c r="V71" s="4" t="str">
        <f t="shared" si="4"/>
        <v>Unique</v>
      </c>
      <c r="W71" s="4" t="str">
        <f t="shared" si="5"/>
        <v>green</v>
      </c>
      <c r="X71" s="4" t="str">
        <f t="shared" ref="X71:Z71" si="75">IF(Q71="","Unknown",Q71)</f>
        <v>Nikolski, Alaska</v>
      </c>
      <c r="Y71" s="4" t="str">
        <f t="shared" si="75"/>
        <v>Unknown</v>
      </c>
      <c r="Z71" s="4" t="str">
        <f t="shared" si="75"/>
        <v>Unknown</v>
      </c>
      <c r="AA71" s="4" t="str">
        <f t="shared" si="7"/>
        <v>mww</v>
      </c>
    </row>
    <row r="72">
      <c r="A72" s="3" t="s">
        <v>299</v>
      </c>
      <c r="B72" s="3">
        <v>6.7</v>
      </c>
      <c r="C72" s="19">
        <f>Raw_Data!T72</f>
        <v>44572.48264</v>
      </c>
      <c r="D72" s="3">
        <v>0.0</v>
      </c>
      <c r="E72" s="3">
        <v>4.0</v>
      </c>
      <c r="F72" s="4"/>
      <c r="G72" s="3">
        <v>1.0</v>
      </c>
      <c r="H72" s="3">
        <v>691.0</v>
      </c>
      <c r="I72" s="3" t="s">
        <v>127</v>
      </c>
      <c r="J72" s="3">
        <v>50.0</v>
      </c>
      <c r="K72" s="3">
        <v>0.936943</v>
      </c>
      <c r="L72" s="3">
        <v>126.0</v>
      </c>
      <c r="M72" s="4" t="str">
        <f>Raw_Data!X72</f>
        <v>mi</v>
      </c>
      <c r="N72" s="3">
        <v>33.0</v>
      </c>
      <c r="O72" s="3">
        <v>52.48</v>
      </c>
      <c r="P72" s="3">
        <v>-167.736</v>
      </c>
      <c r="Q72" s="3" t="s">
        <v>296</v>
      </c>
      <c r="R72" s="4"/>
      <c r="S72" s="4"/>
      <c r="T72" s="4" t="str">
        <f t="shared" si="2"/>
        <v>Valid</v>
      </c>
      <c r="U72" s="4">
        <f t="shared" si="3"/>
        <v>2</v>
      </c>
      <c r="V72" s="4" t="str">
        <f t="shared" si="4"/>
        <v>Duplicate</v>
      </c>
      <c r="W72" s="4" t="str">
        <f t="shared" si="5"/>
        <v>Unknown</v>
      </c>
      <c r="X72" s="4" t="str">
        <f t="shared" ref="X72:Z72" si="76">IF(Q72="","Unknown",Q72)</f>
        <v>Nikolski, Alaska</v>
      </c>
      <c r="Y72" s="4" t="str">
        <f t="shared" si="76"/>
        <v>Unknown</v>
      </c>
      <c r="Z72" s="4" t="str">
        <f t="shared" si="76"/>
        <v>Unknown</v>
      </c>
      <c r="AA72" s="4" t="str">
        <f t="shared" si="7"/>
        <v>mi</v>
      </c>
    </row>
    <row r="73">
      <c r="A73" s="3" t="s">
        <v>299</v>
      </c>
      <c r="B73" s="3">
        <v>6.7</v>
      </c>
      <c r="C73" s="19">
        <f>Raw_Data!T73</f>
        <v>44572.48264</v>
      </c>
      <c r="D73" s="3">
        <v>0.0</v>
      </c>
      <c r="E73" s="3">
        <v>4.0</v>
      </c>
      <c r="F73" s="4"/>
      <c r="G73" s="3">
        <v>1.0</v>
      </c>
      <c r="H73" s="3">
        <v>691.0</v>
      </c>
      <c r="I73" s="3" t="s">
        <v>297</v>
      </c>
      <c r="J73" s="3">
        <v>20.0</v>
      </c>
      <c r="K73" s="3">
        <v>0.0</v>
      </c>
      <c r="L73" s="3">
        <v>205.2</v>
      </c>
      <c r="M73" s="4" t="str">
        <f>Raw_Data!X73</f>
        <v>mi</v>
      </c>
      <c r="N73" s="3">
        <v>33.0</v>
      </c>
      <c r="O73" s="3">
        <v>52.48</v>
      </c>
      <c r="P73" s="3">
        <v>-167.736</v>
      </c>
      <c r="Q73" s="3" t="s">
        <v>296</v>
      </c>
      <c r="R73" s="4"/>
      <c r="S73" s="4"/>
      <c r="T73" s="4" t="str">
        <f t="shared" si="2"/>
        <v>Valid</v>
      </c>
      <c r="U73" s="4">
        <f t="shared" si="3"/>
        <v>2</v>
      </c>
      <c r="V73" s="4" t="str">
        <f t="shared" si="4"/>
        <v>Duplicate</v>
      </c>
      <c r="W73" s="4" t="str">
        <f t="shared" si="5"/>
        <v>Unknown</v>
      </c>
      <c r="X73" s="4" t="str">
        <f t="shared" ref="X73:Z73" si="77">IF(Q73="","Unknown",Q73)</f>
        <v>Nikolski, Alaska</v>
      </c>
      <c r="Y73" s="4" t="str">
        <f t="shared" si="77"/>
        <v>Unknown</v>
      </c>
      <c r="Z73" s="4" t="str">
        <f t="shared" si="77"/>
        <v>Unknown</v>
      </c>
      <c r="AA73" s="4" t="str">
        <f t="shared" si="7"/>
        <v>mi</v>
      </c>
    </row>
    <row r="74">
      <c r="A74" s="3" t="s">
        <v>300</v>
      </c>
      <c r="B74" s="3">
        <v>6.8</v>
      </c>
      <c r="C74" s="19">
        <f>Raw_Data!T74</f>
        <v>44572.48264</v>
      </c>
      <c r="D74" s="3">
        <v>7.0</v>
      </c>
      <c r="E74" s="3">
        <v>6.0</v>
      </c>
      <c r="F74" s="3" t="s">
        <v>109</v>
      </c>
      <c r="G74" s="3">
        <v>1.0</v>
      </c>
      <c r="H74" s="3">
        <v>730.0</v>
      </c>
      <c r="I74" s="3" t="s">
        <v>110</v>
      </c>
      <c r="J74" s="3">
        <v>0.0</v>
      </c>
      <c r="K74" s="3">
        <v>0.92</v>
      </c>
      <c r="L74" s="3">
        <v>61.0</v>
      </c>
      <c r="M74" s="4" t="str">
        <f>Raw_Data!X74</f>
        <v>mww</v>
      </c>
      <c r="N74" s="3">
        <v>20.0</v>
      </c>
      <c r="O74" s="3">
        <v>52.6563</v>
      </c>
      <c r="P74" s="3">
        <v>-167.917</v>
      </c>
      <c r="Q74" s="3" t="s">
        <v>296</v>
      </c>
      <c r="R74" s="4"/>
      <c r="S74" s="4"/>
      <c r="T74" s="4" t="str">
        <f t="shared" si="2"/>
        <v>Valid</v>
      </c>
      <c r="U74" s="4">
        <f t="shared" si="3"/>
        <v>1</v>
      </c>
      <c r="V74" s="4" t="str">
        <f t="shared" si="4"/>
        <v>Unique</v>
      </c>
      <c r="W74" s="4" t="str">
        <f t="shared" si="5"/>
        <v>green</v>
      </c>
      <c r="X74" s="4" t="str">
        <f t="shared" ref="X74:Z74" si="78">IF(Q74="","Unknown",Q74)</f>
        <v>Nikolski, Alaska</v>
      </c>
      <c r="Y74" s="4" t="str">
        <f t="shared" si="78"/>
        <v>Unknown</v>
      </c>
      <c r="Z74" s="4" t="str">
        <f t="shared" si="78"/>
        <v>Unknown</v>
      </c>
      <c r="AA74" s="4" t="str">
        <f t="shared" si="7"/>
        <v>mww</v>
      </c>
    </row>
    <row r="75">
      <c r="A75" s="3" t="s">
        <v>301</v>
      </c>
      <c r="B75" s="3">
        <v>6.6</v>
      </c>
      <c r="C75" s="19">
        <f>Raw_Data!T75</f>
        <v>44572.04653</v>
      </c>
      <c r="D75" s="3">
        <v>6.0</v>
      </c>
      <c r="E75" s="3">
        <v>6.0</v>
      </c>
      <c r="F75" s="3" t="s">
        <v>109</v>
      </c>
      <c r="G75" s="3">
        <v>0.0</v>
      </c>
      <c r="H75" s="3">
        <v>976.0</v>
      </c>
      <c r="I75" s="3" t="s">
        <v>110</v>
      </c>
      <c r="J75" s="3">
        <v>0.0</v>
      </c>
      <c r="K75" s="3">
        <v>1.168</v>
      </c>
      <c r="L75" s="3">
        <v>21.0</v>
      </c>
      <c r="M75" s="4" t="str">
        <f>Raw_Data!X75</f>
        <v>mww</v>
      </c>
      <c r="N75" s="3">
        <v>21.0</v>
      </c>
      <c r="O75" s="3">
        <v>35.1456</v>
      </c>
      <c r="P75" s="3">
        <v>31.9095</v>
      </c>
      <c r="Q75" s="3" t="s">
        <v>302</v>
      </c>
      <c r="R75" s="3" t="s">
        <v>164</v>
      </c>
      <c r="S75" s="4"/>
      <c r="T75" s="4" t="str">
        <f t="shared" si="2"/>
        <v>Valid</v>
      </c>
      <c r="U75" s="4">
        <f t="shared" si="3"/>
        <v>1</v>
      </c>
      <c r="V75" s="4" t="str">
        <f t="shared" si="4"/>
        <v>Unique</v>
      </c>
      <c r="W75" s="4" t="str">
        <f t="shared" si="5"/>
        <v>green</v>
      </c>
      <c r="X75" s="4" t="str">
        <f t="shared" ref="X75:Z75" si="79">IF(Q75="","Unknown",Q75)</f>
        <v>Pólis, Cyprus</v>
      </c>
      <c r="Y75" s="4" t="str">
        <f t="shared" si="79"/>
        <v>Asia</v>
      </c>
      <c r="Z75" s="4" t="str">
        <f t="shared" si="79"/>
        <v>Unknown</v>
      </c>
      <c r="AA75" s="4" t="str">
        <f t="shared" si="7"/>
        <v>mww</v>
      </c>
    </row>
    <row r="76">
      <c r="A76" s="3" t="s">
        <v>303</v>
      </c>
      <c r="B76" s="3">
        <v>6.6</v>
      </c>
      <c r="C76" s="19">
        <f>Raw_Data!T76</f>
        <v>44568.73958</v>
      </c>
      <c r="D76" s="3">
        <v>9.0</v>
      </c>
      <c r="E76" s="3">
        <v>8.0</v>
      </c>
      <c r="F76" s="3" t="s">
        <v>178</v>
      </c>
      <c r="G76" s="3">
        <v>0.0</v>
      </c>
      <c r="H76" s="3">
        <v>1012.0</v>
      </c>
      <c r="I76" s="3" t="s">
        <v>110</v>
      </c>
      <c r="J76" s="3">
        <v>0.0</v>
      </c>
      <c r="K76" s="3">
        <v>2.685</v>
      </c>
      <c r="L76" s="3">
        <v>13.0</v>
      </c>
      <c r="M76" s="4" t="str">
        <f>Raw_Data!X76</f>
        <v>mww</v>
      </c>
      <c r="N76" s="3">
        <v>13.0</v>
      </c>
      <c r="O76" s="3">
        <v>37.8167</v>
      </c>
      <c r="P76" s="3">
        <v>101.299</v>
      </c>
      <c r="Q76" s="3" t="s">
        <v>304</v>
      </c>
      <c r="R76" s="3" t="s">
        <v>164</v>
      </c>
      <c r="S76" s="3" t="s">
        <v>251</v>
      </c>
      <c r="T76" s="4" t="str">
        <f t="shared" si="2"/>
        <v>Valid</v>
      </c>
      <c r="U76" s="4">
        <f t="shared" si="3"/>
        <v>1</v>
      </c>
      <c r="V76" s="4" t="str">
        <f t="shared" si="4"/>
        <v>Unique</v>
      </c>
      <c r="W76" s="4" t="str">
        <f t="shared" si="5"/>
        <v>orange</v>
      </c>
      <c r="X76" s="4" t="str">
        <f t="shared" ref="X76:Z76" si="80">IF(Q76="","Unknown",Q76)</f>
        <v>northern Qinghai, China</v>
      </c>
      <c r="Y76" s="4" t="str">
        <f t="shared" si="80"/>
        <v>Asia</v>
      </c>
      <c r="Z76" s="4" t="str">
        <f t="shared" si="80"/>
        <v>People's Republic of China</v>
      </c>
      <c r="AA76" s="4" t="str">
        <f t="shared" si="7"/>
        <v>mww</v>
      </c>
    </row>
    <row r="77">
      <c r="A77" s="3" t="s">
        <v>305</v>
      </c>
      <c r="B77" s="3">
        <v>7.3</v>
      </c>
      <c r="C77" s="19">
        <f>Raw_Data!T77</f>
        <v>44559.76736</v>
      </c>
      <c r="D77" s="3">
        <v>8.0</v>
      </c>
      <c r="E77" s="3">
        <v>7.0</v>
      </c>
      <c r="F77" s="3" t="s">
        <v>109</v>
      </c>
      <c r="G77" s="3">
        <v>0.0</v>
      </c>
      <c r="H77" s="3">
        <v>921.0</v>
      </c>
      <c r="I77" s="3" t="s">
        <v>110</v>
      </c>
      <c r="J77" s="3">
        <v>0.0</v>
      </c>
      <c r="K77" s="3">
        <v>3.713</v>
      </c>
      <c r="L77" s="3">
        <v>19.0</v>
      </c>
      <c r="M77" s="4" t="str">
        <f>Raw_Data!X77</f>
        <v>mww</v>
      </c>
      <c r="N77" s="3">
        <v>165.49</v>
      </c>
      <c r="O77" s="3">
        <v>-7.5924</v>
      </c>
      <c r="P77" s="3">
        <v>127.581</v>
      </c>
      <c r="Q77" s="3" t="s">
        <v>307</v>
      </c>
      <c r="R77" s="4"/>
      <c r="S77" s="3" t="s">
        <v>153</v>
      </c>
      <c r="T77" s="4" t="str">
        <f t="shared" si="2"/>
        <v>Valid</v>
      </c>
      <c r="U77" s="4">
        <f t="shared" si="3"/>
        <v>1</v>
      </c>
      <c r="V77" s="4" t="str">
        <f t="shared" si="4"/>
        <v>Unique</v>
      </c>
      <c r="W77" s="4" t="str">
        <f t="shared" si="5"/>
        <v>green</v>
      </c>
      <c r="X77" s="4" t="str">
        <f t="shared" ref="X77:Z77" si="81">IF(Q77="","Unknown",Q77)</f>
        <v>Lospalos, Timor Leste</v>
      </c>
      <c r="Y77" s="4" t="str">
        <f t="shared" si="81"/>
        <v>Unknown</v>
      </c>
      <c r="Z77" s="4" t="str">
        <f t="shared" si="81"/>
        <v>Indonesia</v>
      </c>
      <c r="AA77" s="4" t="str">
        <f t="shared" si="7"/>
        <v>mww</v>
      </c>
    </row>
    <row r="78">
      <c r="A78" s="3" t="s">
        <v>308</v>
      </c>
      <c r="B78" s="3">
        <v>7.3</v>
      </c>
      <c r="C78" s="19">
        <f>Raw_Data!T78</f>
        <v>44544.13889</v>
      </c>
      <c r="D78" s="3">
        <v>9.0</v>
      </c>
      <c r="E78" s="3">
        <v>5.0</v>
      </c>
      <c r="F78" s="3" t="s">
        <v>109</v>
      </c>
      <c r="G78" s="3">
        <v>1.0</v>
      </c>
      <c r="H78" s="3">
        <v>854.0</v>
      </c>
      <c r="I78" s="3" t="s">
        <v>110</v>
      </c>
      <c r="J78" s="3">
        <v>0.0</v>
      </c>
      <c r="K78" s="3">
        <v>1.025</v>
      </c>
      <c r="L78" s="3">
        <v>32.0</v>
      </c>
      <c r="M78" s="4" t="str">
        <f>Raw_Data!X78</f>
        <v>mww</v>
      </c>
      <c r="N78" s="3">
        <v>14.27</v>
      </c>
      <c r="O78" s="3">
        <v>-7.6033</v>
      </c>
      <c r="P78" s="3">
        <v>122.2</v>
      </c>
      <c r="Q78" s="3" t="s">
        <v>310</v>
      </c>
      <c r="R78" s="3" t="s">
        <v>164</v>
      </c>
      <c r="S78" s="3" t="s">
        <v>153</v>
      </c>
      <c r="T78" s="4" t="str">
        <f t="shared" si="2"/>
        <v>Valid</v>
      </c>
      <c r="U78" s="4">
        <f t="shared" si="3"/>
        <v>1</v>
      </c>
      <c r="V78" s="4" t="str">
        <f t="shared" si="4"/>
        <v>Unique</v>
      </c>
      <c r="W78" s="4" t="str">
        <f t="shared" si="5"/>
        <v>green</v>
      </c>
      <c r="X78" s="4" t="str">
        <f t="shared" ref="X78:Z78" si="82">IF(Q78="","Unknown",Q78)</f>
        <v>Flores Sea</v>
      </c>
      <c r="Y78" s="4" t="str">
        <f t="shared" si="82"/>
        <v>Asia</v>
      </c>
      <c r="Z78" s="4" t="str">
        <f t="shared" si="82"/>
        <v>Indonesia</v>
      </c>
      <c r="AA78" s="4" t="str">
        <f t="shared" si="7"/>
        <v>mww</v>
      </c>
    </row>
    <row r="79">
      <c r="A79" s="3" t="s">
        <v>311</v>
      </c>
      <c r="B79" s="3">
        <v>7.5</v>
      </c>
      <c r="C79" s="19">
        <f>Raw_Data!T79</f>
        <v>44528.45278</v>
      </c>
      <c r="D79" s="3">
        <v>8.0</v>
      </c>
      <c r="E79" s="3">
        <v>8.0</v>
      </c>
      <c r="F79" s="3" t="s">
        <v>116</v>
      </c>
      <c r="G79" s="3">
        <v>1.0</v>
      </c>
      <c r="H79" s="3">
        <v>1094.0</v>
      </c>
      <c r="I79" s="3" t="s">
        <v>110</v>
      </c>
      <c r="J79" s="3">
        <v>0.0</v>
      </c>
      <c r="K79" s="3">
        <v>4.951</v>
      </c>
      <c r="L79" s="3">
        <v>40.0</v>
      </c>
      <c r="M79" s="4" t="str">
        <f>Raw_Data!X79</f>
        <v>mww</v>
      </c>
      <c r="N79" s="3">
        <v>126.0</v>
      </c>
      <c r="O79" s="3">
        <v>-4.4898</v>
      </c>
      <c r="P79" s="3">
        <v>-76.8461</v>
      </c>
      <c r="Q79" s="3" t="s">
        <v>289</v>
      </c>
      <c r="R79" s="3" t="s">
        <v>121</v>
      </c>
      <c r="S79" s="3" t="s">
        <v>265</v>
      </c>
      <c r="T79" s="4" t="str">
        <f t="shared" si="2"/>
        <v>Valid</v>
      </c>
      <c r="U79" s="4">
        <f t="shared" si="3"/>
        <v>1</v>
      </c>
      <c r="V79" s="4" t="str">
        <f t="shared" si="4"/>
        <v>Unique</v>
      </c>
      <c r="W79" s="4" t="str">
        <f t="shared" si="5"/>
        <v>yellow</v>
      </c>
      <c r="X79" s="4" t="str">
        <f t="shared" ref="X79:Z79" si="83">IF(Q79="","Unknown",Q79)</f>
        <v>Barranca, Peru</v>
      </c>
      <c r="Y79" s="4" t="str">
        <f t="shared" si="83"/>
        <v>South America</v>
      </c>
      <c r="Z79" s="4" t="str">
        <f t="shared" si="83"/>
        <v>Peru</v>
      </c>
      <c r="AA79" s="4" t="str">
        <f t="shared" si="7"/>
        <v>mww</v>
      </c>
    </row>
    <row r="80">
      <c r="A80" s="3" t="s">
        <v>313</v>
      </c>
      <c r="B80" s="3">
        <v>6.6</v>
      </c>
      <c r="C80" s="19">
        <f>Raw_Data!T80</f>
        <v>44510.65625</v>
      </c>
      <c r="D80" s="3">
        <v>7.0</v>
      </c>
      <c r="E80" s="3">
        <v>4.0</v>
      </c>
      <c r="F80" s="3" t="s">
        <v>109</v>
      </c>
      <c r="G80" s="3">
        <v>1.0</v>
      </c>
      <c r="H80" s="3">
        <v>688.0</v>
      </c>
      <c r="I80" s="3" t="s">
        <v>110</v>
      </c>
      <c r="J80" s="3">
        <v>0.0</v>
      </c>
      <c r="K80" s="3">
        <v>3.259</v>
      </c>
      <c r="L80" s="3">
        <v>15.0</v>
      </c>
      <c r="M80" s="4" t="str">
        <f>Raw_Data!X80</f>
        <v>mww</v>
      </c>
      <c r="N80" s="3">
        <v>12.0</v>
      </c>
      <c r="O80" s="3">
        <v>23.5414</v>
      </c>
      <c r="P80" s="3">
        <v>126.48</v>
      </c>
      <c r="Q80" s="3" t="s">
        <v>314</v>
      </c>
      <c r="R80" s="4"/>
      <c r="S80" s="4"/>
      <c r="T80" s="4" t="str">
        <f t="shared" si="2"/>
        <v>Valid</v>
      </c>
      <c r="U80" s="4">
        <f t="shared" si="3"/>
        <v>1</v>
      </c>
      <c r="V80" s="4" t="str">
        <f t="shared" si="4"/>
        <v>Unique</v>
      </c>
      <c r="W80" s="4" t="str">
        <f t="shared" si="5"/>
        <v>green</v>
      </c>
      <c r="X80" s="4" t="str">
        <f t="shared" ref="X80:Z80" si="84">IF(Q80="","Unknown",Q80)</f>
        <v>Hirara, Japan</v>
      </c>
      <c r="Y80" s="4" t="str">
        <f t="shared" si="84"/>
        <v>Unknown</v>
      </c>
      <c r="Z80" s="4" t="str">
        <f t="shared" si="84"/>
        <v>Unknown</v>
      </c>
      <c r="AA80" s="4" t="str">
        <f t="shared" si="7"/>
        <v>mww</v>
      </c>
    </row>
    <row r="81">
      <c r="A81" s="3" t="s">
        <v>315</v>
      </c>
      <c r="B81" s="3">
        <v>6.9</v>
      </c>
      <c r="C81" s="19">
        <f>Raw_Data!T81</f>
        <v>44480.38194</v>
      </c>
      <c r="D81" s="3">
        <v>8.0</v>
      </c>
      <c r="E81" s="3">
        <v>6.0</v>
      </c>
      <c r="F81" s="3" t="s">
        <v>109</v>
      </c>
      <c r="G81" s="3">
        <v>1.0</v>
      </c>
      <c r="H81" s="3">
        <v>995.0</v>
      </c>
      <c r="I81" s="3" t="s">
        <v>316</v>
      </c>
      <c r="J81" s="3">
        <v>0.0</v>
      </c>
      <c r="K81" s="3">
        <v>0.0</v>
      </c>
      <c r="L81" s="3">
        <v>0.0</v>
      </c>
      <c r="M81" s="4" t="str">
        <f>Raw_Data!X81</f>
        <v>mww</v>
      </c>
      <c r="N81" s="3">
        <v>51.6</v>
      </c>
      <c r="O81" s="3">
        <v>56.2581</v>
      </c>
      <c r="P81" s="3">
        <v>-156.492</v>
      </c>
      <c r="Q81" s="3" t="s">
        <v>317</v>
      </c>
      <c r="R81" s="3" t="s">
        <v>233</v>
      </c>
      <c r="S81" s="3" t="s">
        <v>318</v>
      </c>
      <c r="T81" s="4" t="str">
        <f t="shared" si="2"/>
        <v>Valid</v>
      </c>
      <c r="U81" s="4">
        <f t="shared" si="3"/>
        <v>1</v>
      </c>
      <c r="V81" s="4" t="str">
        <f t="shared" si="4"/>
        <v>Unique</v>
      </c>
      <c r="W81" s="4" t="str">
        <f t="shared" si="5"/>
        <v>green</v>
      </c>
      <c r="X81" s="4" t="str">
        <f t="shared" ref="X81:Z81" si="85">IF(Q81="","Unknown",Q81)</f>
        <v>Chignik, Alaska</v>
      </c>
      <c r="Y81" s="4" t="str">
        <f t="shared" si="85"/>
        <v>North America</v>
      </c>
      <c r="Z81" s="4" t="str">
        <f t="shared" si="85"/>
        <v>United States of America</v>
      </c>
      <c r="AA81" s="4" t="str">
        <f t="shared" si="7"/>
        <v>mww</v>
      </c>
    </row>
    <row r="82">
      <c r="A82" s="3" t="s">
        <v>319</v>
      </c>
      <c r="B82" s="3">
        <v>6.9</v>
      </c>
      <c r="C82" s="19">
        <f>Raw_Data!T82</f>
        <v>44478.45694</v>
      </c>
      <c r="D82" s="3">
        <v>4.0</v>
      </c>
      <c r="E82" s="3">
        <v>3.0</v>
      </c>
      <c r="F82" s="3" t="s">
        <v>109</v>
      </c>
      <c r="G82" s="3">
        <v>1.0</v>
      </c>
      <c r="H82" s="3">
        <v>740.0</v>
      </c>
      <c r="I82" s="3" t="s">
        <v>110</v>
      </c>
      <c r="J82" s="3">
        <v>0.0</v>
      </c>
      <c r="K82" s="3">
        <v>4.778</v>
      </c>
      <c r="L82" s="3">
        <v>31.0</v>
      </c>
      <c r="M82" s="4" t="str">
        <f>Raw_Data!X82</f>
        <v>mww</v>
      </c>
      <c r="N82" s="3">
        <v>535.0</v>
      </c>
      <c r="O82" s="3">
        <v>-21.1704</v>
      </c>
      <c r="P82" s="3">
        <v>174.54</v>
      </c>
      <c r="Q82" s="3" t="s">
        <v>320</v>
      </c>
      <c r="R82" s="4"/>
      <c r="S82" s="4"/>
      <c r="T82" s="4" t="str">
        <f t="shared" si="2"/>
        <v>Valid</v>
      </c>
      <c r="U82" s="4">
        <f t="shared" si="3"/>
        <v>1</v>
      </c>
      <c r="V82" s="4" t="str">
        <f t="shared" si="4"/>
        <v>Unique</v>
      </c>
      <c r="W82" s="4" t="str">
        <f t="shared" si="5"/>
        <v>green</v>
      </c>
      <c r="X82" s="4" t="str">
        <f t="shared" ref="X82:Z82" si="86">IF(Q82="","Unknown",Q82)</f>
        <v>Vanuatu region</v>
      </c>
      <c r="Y82" s="4" t="str">
        <f t="shared" si="86"/>
        <v>Unknown</v>
      </c>
      <c r="Z82" s="4" t="str">
        <f t="shared" si="86"/>
        <v>Unknown</v>
      </c>
      <c r="AA82" s="4" t="str">
        <f t="shared" si="7"/>
        <v>mww</v>
      </c>
    </row>
    <row r="83">
      <c r="A83" s="3" t="s">
        <v>321</v>
      </c>
      <c r="B83" s="3">
        <v>7.3</v>
      </c>
      <c r="C83" s="19">
        <f>Raw_Data!T83</f>
        <v>44471.27014</v>
      </c>
      <c r="D83" s="3">
        <v>4.0</v>
      </c>
      <c r="E83" s="3">
        <v>4.0</v>
      </c>
      <c r="F83" s="3" t="s">
        <v>109</v>
      </c>
      <c r="G83" s="3">
        <v>1.0</v>
      </c>
      <c r="H83" s="3">
        <v>826.0</v>
      </c>
      <c r="I83" s="3" t="s">
        <v>110</v>
      </c>
      <c r="J83" s="3">
        <v>0.0</v>
      </c>
      <c r="K83" s="3">
        <v>4.493</v>
      </c>
      <c r="L83" s="3">
        <v>32.0</v>
      </c>
      <c r="M83" s="4" t="str">
        <f>Raw_Data!X83</f>
        <v>mww</v>
      </c>
      <c r="N83" s="3">
        <v>527.0</v>
      </c>
      <c r="O83" s="3">
        <v>-21.1036</v>
      </c>
      <c r="P83" s="3">
        <v>174.895</v>
      </c>
      <c r="Q83" s="3" t="s">
        <v>320</v>
      </c>
      <c r="R83" s="4"/>
      <c r="S83" s="4"/>
      <c r="T83" s="4" t="str">
        <f t="shared" si="2"/>
        <v>Valid</v>
      </c>
      <c r="U83" s="4">
        <f t="shared" si="3"/>
        <v>1</v>
      </c>
      <c r="V83" s="4" t="str">
        <f t="shared" si="4"/>
        <v>Unique</v>
      </c>
      <c r="W83" s="4" t="str">
        <f t="shared" si="5"/>
        <v>green</v>
      </c>
      <c r="X83" s="4" t="str">
        <f t="shared" ref="X83:Z83" si="87">IF(Q83="","Unknown",Q83)</f>
        <v>Vanuatu region</v>
      </c>
      <c r="Y83" s="4" t="str">
        <f t="shared" si="87"/>
        <v>Unknown</v>
      </c>
      <c r="Z83" s="4" t="str">
        <f t="shared" si="87"/>
        <v>Unknown</v>
      </c>
      <c r="AA83" s="4" t="str">
        <f t="shared" si="7"/>
        <v>mww</v>
      </c>
    </row>
    <row r="84">
      <c r="A84" s="3" t="s">
        <v>322</v>
      </c>
      <c r="B84" s="3">
        <v>6.5</v>
      </c>
      <c r="C84" s="19">
        <f>Raw_Data!T84</f>
        <v>44461.41458</v>
      </c>
      <c r="D84" s="3">
        <v>7.0</v>
      </c>
      <c r="E84" s="3">
        <v>5.0</v>
      </c>
      <c r="F84" s="3" t="s">
        <v>109</v>
      </c>
      <c r="G84" s="3">
        <v>1.0</v>
      </c>
      <c r="H84" s="3">
        <v>684.0</v>
      </c>
      <c r="I84" s="3" t="s">
        <v>110</v>
      </c>
      <c r="J84" s="3">
        <v>0.0</v>
      </c>
      <c r="K84" s="3">
        <v>0.993</v>
      </c>
      <c r="L84" s="3">
        <v>114.0</v>
      </c>
      <c r="M84" s="4" t="str">
        <f>Raw_Data!X84</f>
        <v>mww</v>
      </c>
      <c r="N84" s="3">
        <v>21.0</v>
      </c>
      <c r="O84" s="3">
        <v>12.1598</v>
      </c>
      <c r="P84" s="3">
        <v>-87.8542</v>
      </c>
      <c r="Q84" s="3" t="s">
        <v>324</v>
      </c>
      <c r="R84" s="4"/>
      <c r="S84" s="4"/>
      <c r="T84" s="4" t="str">
        <f t="shared" si="2"/>
        <v>Valid</v>
      </c>
      <c r="U84" s="4">
        <f t="shared" si="3"/>
        <v>1</v>
      </c>
      <c r="V84" s="4" t="str">
        <f t="shared" si="4"/>
        <v>Unique</v>
      </c>
      <c r="W84" s="4" t="str">
        <f t="shared" si="5"/>
        <v>green</v>
      </c>
      <c r="X84" s="4" t="str">
        <f t="shared" ref="X84:Z84" si="88">IF(Q84="","Unknown",Q84)</f>
        <v>Jiquilillo, Nicaragua</v>
      </c>
      <c r="Y84" s="4" t="str">
        <f t="shared" si="88"/>
        <v>Unknown</v>
      </c>
      <c r="Z84" s="4" t="str">
        <f t="shared" si="88"/>
        <v>Unknown</v>
      </c>
      <c r="AA84" s="4" t="str">
        <f t="shared" si="7"/>
        <v>mww</v>
      </c>
    </row>
    <row r="85">
      <c r="A85" s="3" t="s">
        <v>325</v>
      </c>
      <c r="B85" s="3">
        <v>7.0</v>
      </c>
      <c r="C85" s="19">
        <f>Raw_Data!T85</f>
        <v>44447.07431</v>
      </c>
      <c r="D85" s="3">
        <v>8.0</v>
      </c>
      <c r="E85" s="3">
        <v>8.0</v>
      </c>
      <c r="F85" s="3" t="s">
        <v>198</v>
      </c>
      <c r="G85" s="3">
        <v>1.0</v>
      </c>
      <c r="H85" s="3">
        <v>2504.0</v>
      </c>
      <c r="I85" s="3" t="s">
        <v>110</v>
      </c>
      <c r="J85" s="3">
        <v>0.0</v>
      </c>
      <c r="K85" s="3">
        <v>0.07</v>
      </c>
      <c r="L85" s="3">
        <v>43.0</v>
      </c>
      <c r="M85" s="4" t="str">
        <f>Raw_Data!X85</f>
        <v>mww</v>
      </c>
      <c r="N85" s="3">
        <v>20.0</v>
      </c>
      <c r="O85" s="3">
        <v>16.9502</v>
      </c>
      <c r="P85" s="3">
        <v>-99.7877</v>
      </c>
      <c r="Q85" s="3" t="s">
        <v>326</v>
      </c>
      <c r="R85" s="3" t="s">
        <v>233</v>
      </c>
      <c r="S85" s="3" t="s">
        <v>234</v>
      </c>
      <c r="T85" s="4" t="str">
        <f t="shared" si="2"/>
        <v>Valid</v>
      </c>
      <c r="U85" s="4">
        <f t="shared" si="3"/>
        <v>1</v>
      </c>
      <c r="V85" s="4" t="str">
        <f t="shared" si="4"/>
        <v>Unique</v>
      </c>
      <c r="W85" s="4" t="str">
        <f t="shared" si="5"/>
        <v>red</v>
      </c>
      <c r="X85" s="4" t="str">
        <f t="shared" ref="X85:Z85" si="89">IF(Q85="","Unknown",Q85)</f>
        <v>Acapulco, Mexico</v>
      </c>
      <c r="Y85" s="4" t="str">
        <f t="shared" si="89"/>
        <v>North America</v>
      </c>
      <c r="Z85" s="4" t="str">
        <f t="shared" si="89"/>
        <v>Mexico</v>
      </c>
      <c r="AA85" s="4" t="str">
        <f t="shared" si="7"/>
        <v>mww</v>
      </c>
    </row>
    <row r="86">
      <c r="A86" s="3" t="s">
        <v>327</v>
      </c>
      <c r="B86" s="3">
        <v>7.1</v>
      </c>
      <c r="C86" s="19">
        <f>Raw_Data!T86</f>
        <v>44430.89792</v>
      </c>
      <c r="D86" s="3">
        <v>1.0</v>
      </c>
      <c r="E86" s="3">
        <v>4.0</v>
      </c>
      <c r="F86" s="3" t="s">
        <v>109</v>
      </c>
      <c r="G86" s="3">
        <v>1.0</v>
      </c>
      <c r="H86" s="3">
        <v>776.0</v>
      </c>
      <c r="I86" s="3" t="s">
        <v>110</v>
      </c>
      <c r="J86" s="3">
        <v>0.0</v>
      </c>
      <c r="K86" s="3">
        <v>9.799</v>
      </c>
      <c r="L86" s="3">
        <v>32.0</v>
      </c>
      <c r="M86" s="4" t="str">
        <f>Raw_Data!X86</f>
        <v>mww</v>
      </c>
      <c r="N86" s="3">
        <v>6.0</v>
      </c>
      <c r="O86" s="3">
        <v>-60.3026</v>
      </c>
      <c r="P86" s="3">
        <v>-24.9992</v>
      </c>
      <c r="Q86" s="3" t="s">
        <v>329</v>
      </c>
      <c r="R86" s="4"/>
      <c r="S86" s="3" t="s">
        <v>330</v>
      </c>
      <c r="T86" s="4" t="str">
        <f t="shared" si="2"/>
        <v>Valid</v>
      </c>
      <c r="U86" s="4">
        <f t="shared" si="3"/>
        <v>1</v>
      </c>
      <c r="V86" s="4" t="str">
        <f t="shared" si="4"/>
        <v>Unique</v>
      </c>
      <c r="W86" s="4" t="str">
        <f t="shared" si="5"/>
        <v>green</v>
      </c>
      <c r="X86" s="4" t="str">
        <f t="shared" ref="X86:Z86" si="90">IF(Q86="","Unknown",Q86)</f>
        <v>South Sandwich Islands region</v>
      </c>
      <c r="Y86" s="4" t="str">
        <f t="shared" si="90"/>
        <v>Unknown</v>
      </c>
      <c r="Z86" s="4" t="str">
        <f t="shared" si="90"/>
        <v>Antarctica</v>
      </c>
      <c r="AA86" s="4" t="str">
        <f t="shared" si="7"/>
        <v>mww</v>
      </c>
    </row>
    <row r="87">
      <c r="A87" s="3" t="s">
        <v>331</v>
      </c>
      <c r="B87" s="3">
        <v>6.6</v>
      </c>
      <c r="C87" s="19">
        <f>Raw_Data!T87</f>
        <v>44430.03125</v>
      </c>
      <c r="D87" s="3">
        <v>1.0</v>
      </c>
      <c r="E87" s="3">
        <v>3.0</v>
      </c>
      <c r="F87" s="3" t="s">
        <v>109</v>
      </c>
      <c r="G87" s="3">
        <v>1.0</v>
      </c>
      <c r="H87" s="3">
        <v>670.0</v>
      </c>
      <c r="I87" s="3" t="s">
        <v>110</v>
      </c>
      <c r="J87" s="3">
        <v>0.0</v>
      </c>
      <c r="K87" s="3">
        <v>8.865</v>
      </c>
      <c r="L87" s="3">
        <v>19.0</v>
      </c>
      <c r="M87" s="4" t="str">
        <f>Raw_Data!X87</f>
        <v>mww</v>
      </c>
      <c r="N87" s="3">
        <v>7.0</v>
      </c>
      <c r="O87" s="3">
        <v>-60.1023</v>
      </c>
      <c r="P87" s="3">
        <v>-24.4608</v>
      </c>
      <c r="Q87" s="3" t="s">
        <v>329</v>
      </c>
      <c r="R87" s="4"/>
      <c r="S87" s="3" t="s">
        <v>330</v>
      </c>
      <c r="T87" s="4" t="str">
        <f t="shared" si="2"/>
        <v>Valid</v>
      </c>
      <c r="U87" s="4">
        <f t="shared" si="3"/>
        <v>1</v>
      </c>
      <c r="V87" s="4" t="str">
        <f t="shared" si="4"/>
        <v>Unique</v>
      </c>
      <c r="W87" s="4" t="str">
        <f t="shared" si="5"/>
        <v>green</v>
      </c>
      <c r="X87" s="4" t="str">
        <f t="shared" ref="X87:Z87" si="91">IF(Q87="","Unknown",Q87)</f>
        <v>South Sandwich Islands region</v>
      </c>
      <c r="Y87" s="4" t="str">
        <f t="shared" si="91"/>
        <v>Unknown</v>
      </c>
      <c r="Z87" s="4" t="str">
        <f t="shared" si="91"/>
        <v>Antarctica</v>
      </c>
      <c r="AA87" s="4" t="str">
        <f t="shared" si="7"/>
        <v>mww</v>
      </c>
    </row>
    <row r="88">
      <c r="A88" s="3" t="s">
        <v>333</v>
      </c>
      <c r="B88" s="3">
        <v>6.9</v>
      </c>
      <c r="C88" s="19">
        <f>Raw_Data!T88</f>
        <v>44426.42361</v>
      </c>
      <c r="D88" s="3">
        <v>8.0</v>
      </c>
      <c r="E88" s="3">
        <v>7.0</v>
      </c>
      <c r="F88" s="3" t="s">
        <v>109</v>
      </c>
      <c r="G88" s="3">
        <v>1.0</v>
      </c>
      <c r="H88" s="3">
        <v>741.0</v>
      </c>
      <c r="I88" s="3" t="s">
        <v>110</v>
      </c>
      <c r="J88" s="3">
        <v>0.0</v>
      </c>
      <c r="K88" s="3">
        <v>0.579</v>
      </c>
      <c r="L88" s="3">
        <v>54.0</v>
      </c>
      <c r="M88" s="4" t="str">
        <f>Raw_Data!X88</f>
        <v>mww</v>
      </c>
      <c r="N88" s="3">
        <v>93.0</v>
      </c>
      <c r="O88" s="3">
        <v>-14.892</v>
      </c>
      <c r="P88" s="3">
        <v>167.085</v>
      </c>
      <c r="Q88" s="3" t="s">
        <v>185</v>
      </c>
      <c r="R88" s="3" t="s">
        <v>213</v>
      </c>
      <c r="S88" s="3" t="s">
        <v>113</v>
      </c>
      <c r="T88" s="4" t="str">
        <f t="shared" si="2"/>
        <v>Valid</v>
      </c>
      <c r="U88" s="4">
        <f t="shared" si="3"/>
        <v>1</v>
      </c>
      <c r="V88" s="4" t="str">
        <f t="shared" si="4"/>
        <v>Unique</v>
      </c>
      <c r="W88" s="4" t="str">
        <f t="shared" si="5"/>
        <v>green</v>
      </c>
      <c r="X88" s="4" t="str">
        <f t="shared" ref="X88:Z88" si="92">IF(Q88="","Unknown",Q88)</f>
        <v>Port-Olry, Vanuatu</v>
      </c>
      <c r="Y88" s="4" t="str">
        <f t="shared" si="92"/>
        <v>Oceania</v>
      </c>
      <c r="Z88" s="4" t="str">
        <f t="shared" si="92"/>
        <v>Vanuatu</v>
      </c>
      <c r="AA88" s="4" t="str">
        <f t="shared" si="7"/>
        <v>mww</v>
      </c>
    </row>
    <row r="89">
      <c r="A89" s="3" t="s">
        <v>335</v>
      </c>
      <c r="B89" s="3">
        <v>6.9</v>
      </c>
      <c r="C89" s="19">
        <f>Raw_Data!T89</f>
        <v>44424.46528</v>
      </c>
      <c r="D89" s="3">
        <v>6.0</v>
      </c>
      <c r="E89" s="3">
        <v>4.0</v>
      </c>
      <c r="F89" s="3" t="s">
        <v>109</v>
      </c>
      <c r="G89" s="3">
        <v>1.0</v>
      </c>
      <c r="H89" s="3">
        <v>734.0</v>
      </c>
      <c r="I89" s="3" t="s">
        <v>110</v>
      </c>
      <c r="J89" s="3">
        <v>0.0</v>
      </c>
      <c r="K89" s="3">
        <v>8.363</v>
      </c>
      <c r="L89" s="3">
        <v>48.0</v>
      </c>
      <c r="M89" s="4" t="str">
        <f>Raw_Data!X89</f>
        <v>mww</v>
      </c>
      <c r="N89" s="3">
        <v>16.7</v>
      </c>
      <c r="O89" s="3">
        <v>-58.3814</v>
      </c>
      <c r="P89" s="3">
        <v>-23.3318</v>
      </c>
      <c r="Q89" s="3" t="s">
        <v>329</v>
      </c>
      <c r="R89" s="4"/>
      <c r="S89" s="4"/>
      <c r="T89" s="4" t="str">
        <f t="shared" si="2"/>
        <v>Valid</v>
      </c>
      <c r="U89" s="4">
        <f t="shared" si="3"/>
        <v>1</v>
      </c>
      <c r="V89" s="4" t="str">
        <f t="shared" si="4"/>
        <v>Unique</v>
      </c>
      <c r="W89" s="4" t="str">
        <f t="shared" si="5"/>
        <v>green</v>
      </c>
      <c r="X89" s="4" t="str">
        <f t="shared" ref="X89:Z89" si="93">IF(Q89="","Unknown",Q89)</f>
        <v>South Sandwich Islands region</v>
      </c>
      <c r="Y89" s="4" t="str">
        <f t="shared" si="93"/>
        <v>Unknown</v>
      </c>
      <c r="Z89" s="4" t="str">
        <f t="shared" si="93"/>
        <v>Unknown</v>
      </c>
      <c r="AA89" s="4" t="str">
        <f t="shared" si="7"/>
        <v>mww</v>
      </c>
    </row>
    <row r="90">
      <c r="A90" s="3" t="s">
        <v>337</v>
      </c>
      <c r="B90" s="3">
        <v>7.2</v>
      </c>
      <c r="C90" s="19">
        <f>Raw_Data!T90</f>
        <v>44422.52014</v>
      </c>
      <c r="D90" s="3">
        <v>9.0</v>
      </c>
      <c r="E90" s="3">
        <v>8.0</v>
      </c>
      <c r="F90" s="3" t="s">
        <v>198</v>
      </c>
      <c r="G90" s="3">
        <v>1.0</v>
      </c>
      <c r="H90" s="3">
        <v>2331.0</v>
      </c>
      <c r="I90" s="3" t="s">
        <v>110</v>
      </c>
      <c r="J90" s="3">
        <v>0.0</v>
      </c>
      <c r="K90" s="3">
        <v>1.178</v>
      </c>
      <c r="L90" s="3">
        <v>23.0</v>
      </c>
      <c r="M90" s="4" t="str">
        <f>Raw_Data!X90</f>
        <v>mww</v>
      </c>
      <c r="N90" s="3">
        <v>10.0</v>
      </c>
      <c r="O90" s="3">
        <v>18.3521</v>
      </c>
      <c r="P90" s="3">
        <v>-73.4804</v>
      </c>
      <c r="Q90" s="3" t="s">
        <v>339</v>
      </c>
      <c r="R90" s="3" t="s">
        <v>233</v>
      </c>
      <c r="S90" s="3" t="s">
        <v>340</v>
      </c>
      <c r="T90" s="4" t="str">
        <f t="shared" si="2"/>
        <v>Valid</v>
      </c>
      <c r="U90" s="4">
        <f t="shared" si="3"/>
        <v>1</v>
      </c>
      <c r="V90" s="4" t="str">
        <f t="shared" si="4"/>
        <v>Unique</v>
      </c>
      <c r="W90" s="4" t="str">
        <f t="shared" si="5"/>
        <v>red</v>
      </c>
      <c r="X90" s="4" t="str">
        <f t="shared" ref="X90:Z90" si="94">IF(Q90="","Unknown",Q90)</f>
        <v>Nippes, Haiti</v>
      </c>
      <c r="Y90" s="4" t="str">
        <f t="shared" si="94"/>
        <v>North America</v>
      </c>
      <c r="Z90" s="4" t="str">
        <f t="shared" si="94"/>
        <v>Haiti</v>
      </c>
      <c r="AA90" s="4" t="str">
        <f t="shared" si="7"/>
        <v>mww</v>
      </c>
    </row>
    <row r="91">
      <c r="A91" s="3" t="s">
        <v>341</v>
      </c>
      <c r="B91" s="3">
        <v>6.9</v>
      </c>
      <c r="C91" s="19">
        <f>Raw_Data!T91</f>
        <v>44422.49792</v>
      </c>
      <c r="D91" s="3">
        <v>5.0</v>
      </c>
      <c r="E91" s="3">
        <v>4.0</v>
      </c>
      <c r="F91" s="3" t="s">
        <v>109</v>
      </c>
      <c r="G91" s="3">
        <v>1.0</v>
      </c>
      <c r="H91" s="3">
        <v>738.0</v>
      </c>
      <c r="I91" s="3" t="s">
        <v>316</v>
      </c>
      <c r="J91" s="3">
        <v>0.0</v>
      </c>
      <c r="K91" s="3">
        <v>0.0</v>
      </c>
      <c r="L91" s="3">
        <v>0.0</v>
      </c>
      <c r="M91" s="4" t="str">
        <f>Raw_Data!X91</f>
        <v>mww</v>
      </c>
      <c r="N91" s="3">
        <v>33.3</v>
      </c>
      <c r="O91" s="3">
        <v>55.2364</v>
      </c>
      <c r="P91" s="3">
        <v>-157.707</v>
      </c>
      <c r="Q91" s="3" t="s">
        <v>343</v>
      </c>
      <c r="R91" s="4"/>
      <c r="S91" s="4"/>
      <c r="T91" s="4" t="str">
        <f t="shared" si="2"/>
        <v>Valid</v>
      </c>
      <c r="U91" s="4">
        <f t="shared" si="3"/>
        <v>1</v>
      </c>
      <c r="V91" s="4" t="str">
        <f t="shared" si="4"/>
        <v>Unique</v>
      </c>
      <c r="W91" s="4" t="str">
        <f t="shared" si="5"/>
        <v>green</v>
      </c>
      <c r="X91" s="4" t="str">
        <f t="shared" ref="X91:Z91" si="95">IF(Q91="","Unknown",Q91)</f>
        <v>Perryville, Alaska</v>
      </c>
      <c r="Y91" s="4" t="str">
        <f t="shared" si="95"/>
        <v>Unknown</v>
      </c>
      <c r="Z91" s="4" t="str">
        <f t="shared" si="95"/>
        <v>Unknown</v>
      </c>
      <c r="AA91" s="4" t="str">
        <f t="shared" si="7"/>
        <v>mww</v>
      </c>
    </row>
    <row r="92">
      <c r="A92" s="3" t="s">
        <v>344</v>
      </c>
      <c r="B92" s="3">
        <v>6.9</v>
      </c>
      <c r="C92" s="19">
        <f>Raw_Data!T92</f>
        <v>44422.49792</v>
      </c>
      <c r="D92" s="3">
        <v>5.0</v>
      </c>
      <c r="E92" s="3">
        <v>4.0</v>
      </c>
      <c r="F92" s="3" t="s">
        <v>109</v>
      </c>
      <c r="G92" s="3">
        <v>1.0</v>
      </c>
      <c r="H92" s="3">
        <v>738.0</v>
      </c>
      <c r="I92" s="3" t="s">
        <v>110</v>
      </c>
      <c r="J92" s="3">
        <v>0.0</v>
      </c>
      <c r="K92" s="3">
        <v>1.173</v>
      </c>
      <c r="L92" s="3">
        <v>36.0</v>
      </c>
      <c r="M92" s="4" t="str">
        <f>Raw_Data!X92</f>
        <v>mww</v>
      </c>
      <c r="N92" s="3">
        <v>20.74</v>
      </c>
      <c r="O92" s="3">
        <v>55.2657</v>
      </c>
      <c r="P92" s="3">
        <v>-157.68</v>
      </c>
      <c r="Q92" s="3" t="s">
        <v>343</v>
      </c>
      <c r="R92" s="4"/>
      <c r="S92" s="4"/>
      <c r="T92" s="4" t="str">
        <f t="shared" si="2"/>
        <v>Valid</v>
      </c>
      <c r="U92" s="4">
        <f t="shared" si="3"/>
        <v>1</v>
      </c>
      <c r="V92" s="4" t="str">
        <f t="shared" si="4"/>
        <v>Unique</v>
      </c>
      <c r="W92" s="4" t="str">
        <f t="shared" si="5"/>
        <v>green</v>
      </c>
      <c r="X92" s="4" t="str">
        <f t="shared" ref="X92:Z92" si="96">IF(Q92="","Unknown",Q92)</f>
        <v>Perryville, Alaska</v>
      </c>
      <c r="Y92" s="4" t="str">
        <f t="shared" si="96"/>
        <v>Unknown</v>
      </c>
      <c r="Z92" s="4" t="str">
        <f t="shared" si="96"/>
        <v>Unknown</v>
      </c>
      <c r="AA92" s="4" t="str">
        <f t="shared" si="7"/>
        <v>mww</v>
      </c>
    </row>
    <row r="93">
      <c r="A93" s="3" t="s">
        <v>345</v>
      </c>
      <c r="B93" s="3">
        <v>8.1</v>
      </c>
      <c r="C93" s="19">
        <f>Raw_Data!T93</f>
        <v>44420.77431</v>
      </c>
      <c r="D93" s="3">
        <v>0.0</v>
      </c>
      <c r="E93" s="3">
        <v>7.0</v>
      </c>
      <c r="F93" s="3" t="s">
        <v>109</v>
      </c>
      <c r="G93" s="3">
        <v>0.0</v>
      </c>
      <c r="H93" s="3">
        <v>1009.0</v>
      </c>
      <c r="I93" s="3" t="s">
        <v>110</v>
      </c>
      <c r="J93" s="3">
        <v>0.0</v>
      </c>
      <c r="K93" s="3">
        <v>7.463</v>
      </c>
      <c r="L93" s="3">
        <v>78.0</v>
      </c>
      <c r="M93" s="4" t="str">
        <f>Raw_Data!X93</f>
        <v>mww</v>
      </c>
      <c r="N93" s="3">
        <v>22.79</v>
      </c>
      <c r="O93" s="3">
        <v>-58.4157</v>
      </c>
      <c r="P93" s="3">
        <v>-25.3206</v>
      </c>
      <c r="Q93" s="3" t="s">
        <v>329</v>
      </c>
      <c r="R93" s="4"/>
      <c r="S93" s="4"/>
      <c r="T93" s="4" t="str">
        <f t="shared" si="2"/>
        <v>Valid</v>
      </c>
      <c r="U93" s="4">
        <f t="shared" si="3"/>
        <v>1</v>
      </c>
      <c r="V93" s="4" t="str">
        <f t="shared" si="4"/>
        <v>Unique</v>
      </c>
      <c r="W93" s="4" t="str">
        <f t="shared" si="5"/>
        <v>green</v>
      </c>
      <c r="X93" s="4" t="str">
        <f t="shared" ref="X93:Z93" si="97">IF(Q93="","Unknown",Q93)</f>
        <v>South Sandwich Islands region</v>
      </c>
      <c r="Y93" s="4" t="str">
        <f t="shared" si="97"/>
        <v>Unknown</v>
      </c>
      <c r="Z93" s="4" t="str">
        <f t="shared" si="97"/>
        <v>Unknown</v>
      </c>
      <c r="AA93" s="4" t="str">
        <f t="shared" si="7"/>
        <v>mww</v>
      </c>
    </row>
    <row r="94">
      <c r="A94" s="3" t="s">
        <v>346</v>
      </c>
      <c r="B94" s="3">
        <v>7.5</v>
      </c>
      <c r="C94" s="19">
        <f>Raw_Data!T94</f>
        <v>44420.77222</v>
      </c>
      <c r="D94" s="3">
        <v>9.0</v>
      </c>
      <c r="E94" s="3">
        <v>6.0</v>
      </c>
      <c r="F94" s="3" t="s">
        <v>109</v>
      </c>
      <c r="G94" s="3">
        <v>1.0</v>
      </c>
      <c r="H94" s="3">
        <v>868.0</v>
      </c>
      <c r="I94" s="3" t="s">
        <v>110</v>
      </c>
      <c r="J94" s="3">
        <v>0.0</v>
      </c>
      <c r="K94" s="3">
        <v>7.227</v>
      </c>
      <c r="L94" s="3">
        <v>38.0</v>
      </c>
      <c r="M94" s="4" t="str">
        <f>Raw_Data!X94</f>
        <v>mww</v>
      </c>
      <c r="N94" s="3">
        <v>47.23</v>
      </c>
      <c r="O94" s="3">
        <v>-57.5959</v>
      </c>
      <c r="P94" s="3">
        <v>-25.1874</v>
      </c>
      <c r="Q94" s="3" t="s">
        <v>329</v>
      </c>
      <c r="R94" s="4"/>
      <c r="S94" s="4"/>
      <c r="T94" s="4" t="str">
        <f t="shared" si="2"/>
        <v>Valid</v>
      </c>
      <c r="U94" s="4">
        <f t="shared" si="3"/>
        <v>1</v>
      </c>
      <c r="V94" s="4" t="str">
        <f t="shared" si="4"/>
        <v>Unique</v>
      </c>
      <c r="W94" s="4" t="str">
        <f t="shared" si="5"/>
        <v>green</v>
      </c>
      <c r="X94" s="4" t="str">
        <f t="shared" ref="X94:Z94" si="98">IF(Q94="","Unknown",Q94)</f>
        <v>South Sandwich Islands region</v>
      </c>
      <c r="Y94" s="4" t="str">
        <f t="shared" si="98"/>
        <v>Unknown</v>
      </c>
      <c r="Z94" s="4" t="str">
        <f t="shared" si="98"/>
        <v>Unknown</v>
      </c>
      <c r="AA94" s="4" t="str">
        <f t="shared" si="7"/>
        <v>mww</v>
      </c>
    </row>
    <row r="95">
      <c r="A95" s="3" t="s">
        <v>347</v>
      </c>
      <c r="B95" s="3">
        <v>7.1</v>
      </c>
      <c r="C95" s="19">
        <f>Raw_Data!T95</f>
        <v>44419.74028</v>
      </c>
      <c r="D95" s="3">
        <v>9.0</v>
      </c>
      <c r="E95" s="3">
        <v>7.0</v>
      </c>
      <c r="F95" s="3" t="s">
        <v>109</v>
      </c>
      <c r="G95" s="3">
        <v>1.0</v>
      </c>
      <c r="H95" s="3">
        <v>846.0</v>
      </c>
      <c r="I95" s="3" t="s">
        <v>110</v>
      </c>
      <c r="J95" s="3">
        <v>0.0</v>
      </c>
      <c r="K95" s="3">
        <v>1.273</v>
      </c>
      <c r="L95" s="3">
        <v>25.0</v>
      </c>
      <c r="M95" s="4" t="str">
        <f>Raw_Data!X95</f>
        <v>mww</v>
      </c>
      <c r="N95" s="3">
        <v>55.14</v>
      </c>
      <c r="O95" s="3">
        <v>6.4547</v>
      </c>
      <c r="P95" s="3">
        <v>126.742</v>
      </c>
      <c r="Q95" s="3" t="s">
        <v>348</v>
      </c>
      <c r="R95" s="4"/>
      <c r="S95" s="4"/>
      <c r="T95" s="4" t="str">
        <f t="shared" si="2"/>
        <v>Valid</v>
      </c>
      <c r="U95" s="4">
        <f t="shared" si="3"/>
        <v>1</v>
      </c>
      <c r="V95" s="4" t="str">
        <f t="shared" si="4"/>
        <v>Unique</v>
      </c>
      <c r="W95" s="4" t="str">
        <f t="shared" si="5"/>
        <v>green</v>
      </c>
      <c r="X95" s="4" t="str">
        <f t="shared" ref="X95:Z95" si="99">IF(Q95="","Unknown",Q95)</f>
        <v>Pondaguitan, Philippines</v>
      </c>
      <c r="Y95" s="4" t="str">
        <f t="shared" si="99"/>
        <v>Unknown</v>
      </c>
      <c r="Z95" s="4" t="str">
        <f t="shared" si="99"/>
        <v>Unknown</v>
      </c>
      <c r="AA95" s="4" t="str">
        <f t="shared" si="7"/>
        <v>mww</v>
      </c>
    </row>
    <row r="96">
      <c r="A96" s="3" t="s">
        <v>349</v>
      </c>
      <c r="B96" s="3">
        <v>8.2</v>
      </c>
      <c r="C96" s="19">
        <f>Raw_Data!T96</f>
        <v>44406.26042</v>
      </c>
      <c r="D96" s="3">
        <v>8.0</v>
      </c>
      <c r="E96" s="3">
        <v>6.0</v>
      </c>
      <c r="F96" s="3" t="s">
        <v>109</v>
      </c>
      <c r="G96" s="3">
        <v>1.0</v>
      </c>
      <c r="H96" s="3">
        <v>1237.0</v>
      </c>
      <c r="I96" s="3" t="s">
        <v>110</v>
      </c>
      <c r="J96" s="3">
        <v>0.0</v>
      </c>
      <c r="K96" s="3">
        <v>0.875</v>
      </c>
      <c r="L96" s="3">
        <v>66.0</v>
      </c>
      <c r="M96" s="4" t="str">
        <f>Raw_Data!X96</f>
        <v>mww</v>
      </c>
      <c r="N96" s="3">
        <v>46.66</v>
      </c>
      <c r="O96" s="3">
        <v>55.4742</v>
      </c>
      <c r="P96" s="3">
        <v>-157.917</v>
      </c>
      <c r="Q96" s="3" t="s">
        <v>343</v>
      </c>
      <c r="R96" s="4"/>
      <c r="S96" s="4"/>
      <c r="T96" s="4" t="str">
        <f t="shared" si="2"/>
        <v>Valid</v>
      </c>
      <c r="U96" s="4">
        <f t="shared" si="3"/>
        <v>1</v>
      </c>
      <c r="V96" s="4" t="str">
        <f t="shared" si="4"/>
        <v>Unique</v>
      </c>
      <c r="W96" s="4" t="str">
        <f t="shared" si="5"/>
        <v>green</v>
      </c>
      <c r="X96" s="4" t="str">
        <f t="shared" ref="X96:Z96" si="100">IF(Q96="","Unknown",Q96)</f>
        <v>Perryville, Alaska</v>
      </c>
      <c r="Y96" s="4" t="str">
        <f t="shared" si="100"/>
        <v>Unknown</v>
      </c>
      <c r="Z96" s="4" t="str">
        <f t="shared" si="100"/>
        <v>Unknown</v>
      </c>
      <c r="AA96" s="4" t="str">
        <f t="shared" si="7"/>
        <v>mww</v>
      </c>
    </row>
    <row r="97">
      <c r="A97" s="3" t="s">
        <v>351</v>
      </c>
      <c r="B97" s="3">
        <v>8.2</v>
      </c>
      <c r="C97" s="19">
        <f>Raw_Data!T97</f>
        <v>44406.26042</v>
      </c>
      <c r="D97" s="3">
        <v>8.0</v>
      </c>
      <c r="E97" s="3">
        <v>7.0</v>
      </c>
      <c r="F97" s="3" t="s">
        <v>116</v>
      </c>
      <c r="G97" s="3">
        <v>1.0</v>
      </c>
      <c r="H97" s="3">
        <v>1252.0</v>
      </c>
      <c r="I97" s="3" t="s">
        <v>316</v>
      </c>
      <c r="J97" s="3">
        <v>0.0</v>
      </c>
      <c r="K97" s="3">
        <v>0.0</v>
      </c>
      <c r="L97" s="3">
        <v>0.0</v>
      </c>
      <c r="M97" s="4" t="str">
        <f>Raw_Data!X97</f>
        <v>mww</v>
      </c>
      <c r="N97" s="3">
        <v>35.0</v>
      </c>
      <c r="O97" s="3">
        <v>55.3154</v>
      </c>
      <c r="P97" s="3">
        <v>-157.829</v>
      </c>
      <c r="Q97" s="3" t="s">
        <v>343</v>
      </c>
      <c r="R97" s="4"/>
      <c r="S97" s="4"/>
      <c r="T97" s="4" t="str">
        <f t="shared" si="2"/>
        <v>Valid</v>
      </c>
      <c r="U97" s="4">
        <f t="shared" si="3"/>
        <v>1</v>
      </c>
      <c r="V97" s="4" t="str">
        <f t="shared" si="4"/>
        <v>Unique</v>
      </c>
      <c r="W97" s="4" t="str">
        <f t="shared" si="5"/>
        <v>yellow</v>
      </c>
      <c r="X97" s="4" t="str">
        <f t="shared" ref="X97:Z97" si="101">IF(Q97="","Unknown",Q97)</f>
        <v>Perryville, Alaska</v>
      </c>
      <c r="Y97" s="4" t="str">
        <f t="shared" si="101"/>
        <v>Unknown</v>
      </c>
      <c r="Z97" s="4" t="str">
        <f t="shared" si="101"/>
        <v>Unknown</v>
      </c>
      <c r="AA97" s="4" t="str">
        <f t="shared" si="7"/>
        <v>mww</v>
      </c>
    </row>
    <row r="98">
      <c r="A98" s="3" t="s">
        <v>352</v>
      </c>
      <c r="B98" s="3">
        <v>6.7</v>
      </c>
      <c r="C98" s="19">
        <f>Raw_Data!T98</f>
        <v>44400.86667</v>
      </c>
      <c r="D98" s="3">
        <v>8.0</v>
      </c>
      <c r="E98" s="3">
        <v>5.0</v>
      </c>
      <c r="F98" s="3" t="s">
        <v>109</v>
      </c>
      <c r="G98" s="3">
        <v>1.0</v>
      </c>
      <c r="H98" s="3">
        <v>935.0</v>
      </c>
      <c r="I98" s="3" t="s">
        <v>110</v>
      </c>
      <c r="J98" s="3">
        <v>0.0</v>
      </c>
      <c r="K98" s="3">
        <v>8.139</v>
      </c>
      <c r="L98" s="3">
        <v>12.0</v>
      </c>
      <c r="M98" s="4" t="str">
        <f>Raw_Data!X98</f>
        <v>mww</v>
      </c>
      <c r="N98" s="3">
        <v>110.0</v>
      </c>
      <c r="O98" s="3">
        <v>13.6989</v>
      </c>
      <c r="P98" s="3">
        <v>120.713</v>
      </c>
      <c r="Q98" s="3" t="s">
        <v>354</v>
      </c>
      <c r="R98" s="3" t="s">
        <v>164</v>
      </c>
      <c r="S98" s="3" t="s">
        <v>258</v>
      </c>
      <c r="T98" s="4" t="str">
        <f t="shared" si="2"/>
        <v>Valid</v>
      </c>
      <c r="U98" s="4">
        <f t="shared" si="3"/>
        <v>1</v>
      </c>
      <c r="V98" s="4" t="str">
        <f t="shared" si="4"/>
        <v>Unique</v>
      </c>
      <c r="W98" s="4" t="str">
        <f t="shared" si="5"/>
        <v>green</v>
      </c>
      <c r="X98" s="4" t="str">
        <f t="shared" ref="X98:Z98" si="102">IF(Q98="","Unknown",Q98)</f>
        <v>Hukay, Philippines</v>
      </c>
      <c r="Y98" s="4" t="str">
        <f t="shared" si="102"/>
        <v>Asia</v>
      </c>
      <c r="Z98" s="4" t="str">
        <f t="shared" si="102"/>
        <v>Philippines</v>
      </c>
      <c r="AA98" s="4" t="str">
        <f t="shared" si="7"/>
        <v>mww</v>
      </c>
    </row>
    <row r="99">
      <c r="A99" s="3" t="s">
        <v>355</v>
      </c>
      <c r="B99" s="3">
        <v>6.7</v>
      </c>
      <c r="C99" s="19">
        <f>Raw_Data!T99</f>
        <v>44398.88542</v>
      </c>
      <c r="D99" s="3">
        <v>6.0</v>
      </c>
      <c r="E99" s="3">
        <v>6.0</v>
      </c>
      <c r="F99" s="3" t="s">
        <v>109</v>
      </c>
      <c r="G99" s="3">
        <v>1.0</v>
      </c>
      <c r="H99" s="3">
        <v>830.0</v>
      </c>
      <c r="I99" s="3" t="s">
        <v>110</v>
      </c>
      <c r="J99" s="3">
        <v>0.0</v>
      </c>
      <c r="K99" s="3">
        <v>1.395</v>
      </c>
      <c r="L99" s="3">
        <v>61.0</v>
      </c>
      <c r="M99" s="4" t="str">
        <f>Raw_Data!X99</f>
        <v>mww</v>
      </c>
      <c r="N99" s="3">
        <v>10.0</v>
      </c>
      <c r="O99" s="3">
        <v>7.5904</v>
      </c>
      <c r="P99" s="3">
        <v>-82.8813</v>
      </c>
      <c r="Q99" s="3" t="s">
        <v>357</v>
      </c>
      <c r="R99" s="4"/>
      <c r="S99" s="4"/>
      <c r="T99" s="4" t="str">
        <f t="shared" si="2"/>
        <v>Valid</v>
      </c>
      <c r="U99" s="4">
        <f t="shared" si="3"/>
        <v>1</v>
      </c>
      <c r="V99" s="4" t="str">
        <f t="shared" si="4"/>
        <v>Unique</v>
      </c>
      <c r="W99" s="4" t="str">
        <f t="shared" si="5"/>
        <v>green</v>
      </c>
      <c r="X99" s="4" t="str">
        <f t="shared" ref="X99:Z99" si="103">IF(Q99="","Unknown",Q99)</f>
        <v>Burica, Panama</v>
      </c>
      <c r="Y99" s="4" t="str">
        <f t="shared" si="103"/>
        <v>Unknown</v>
      </c>
      <c r="Z99" s="4" t="str">
        <f t="shared" si="103"/>
        <v>Unknown</v>
      </c>
      <c r="AA99" s="4" t="str">
        <f t="shared" si="7"/>
        <v>mww</v>
      </c>
    </row>
    <row r="100">
      <c r="A100" s="3" t="s">
        <v>358</v>
      </c>
      <c r="B100" s="3">
        <v>6.5</v>
      </c>
      <c r="C100" s="19">
        <f>Raw_Data!T100</f>
        <v>44367.71181</v>
      </c>
      <c r="D100" s="3">
        <v>0.0</v>
      </c>
      <c r="E100" s="3">
        <v>4.0</v>
      </c>
      <c r="F100" s="3" t="s">
        <v>109</v>
      </c>
      <c r="G100" s="3">
        <v>1.0</v>
      </c>
      <c r="H100" s="3">
        <v>650.0</v>
      </c>
      <c r="I100" s="3" t="s">
        <v>110</v>
      </c>
      <c r="J100" s="3">
        <v>0.0</v>
      </c>
      <c r="K100" s="3">
        <v>7.994</v>
      </c>
      <c r="L100" s="3">
        <v>24.0</v>
      </c>
      <c r="M100" s="4" t="str">
        <f>Raw_Data!X100</f>
        <v>mww</v>
      </c>
      <c r="N100" s="3">
        <v>25.0</v>
      </c>
      <c r="O100" s="3">
        <v>-30.2144</v>
      </c>
      <c r="P100" s="3">
        <v>-177.773</v>
      </c>
      <c r="Q100" s="3" t="s">
        <v>156</v>
      </c>
      <c r="R100" s="4"/>
      <c r="S100" s="4"/>
      <c r="T100" s="4" t="str">
        <f t="shared" si="2"/>
        <v>Valid</v>
      </c>
      <c r="U100" s="4">
        <f t="shared" si="3"/>
        <v>1</v>
      </c>
      <c r="V100" s="4" t="str">
        <f t="shared" si="4"/>
        <v>Unique</v>
      </c>
      <c r="W100" s="4" t="str">
        <f t="shared" si="5"/>
        <v>green</v>
      </c>
      <c r="X100" s="4" t="str">
        <f t="shared" ref="X100:Z100" si="104">IF(Q100="","Unknown",Q100)</f>
        <v>Kermadec Islands, New Zealand</v>
      </c>
      <c r="Y100" s="4" t="str">
        <f t="shared" si="104"/>
        <v>Unknown</v>
      </c>
      <c r="Z100" s="4" t="str">
        <f t="shared" si="104"/>
        <v>Unknown</v>
      </c>
      <c r="AA100" s="4" t="str">
        <f t="shared" si="7"/>
        <v>mww</v>
      </c>
    </row>
    <row r="101">
      <c r="A101" s="3" t="s">
        <v>360</v>
      </c>
      <c r="B101" s="3">
        <v>6.5</v>
      </c>
      <c r="C101" s="19">
        <f>Raw_Data!T101</f>
        <v>44337.92569</v>
      </c>
      <c r="D101" s="3">
        <v>5.0</v>
      </c>
      <c r="E101" s="3">
        <v>7.0</v>
      </c>
      <c r="F101" s="3" t="s">
        <v>109</v>
      </c>
      <c r="G101" s="3">
        <v>1.0</v>
      </c>
      <c r="H101" s="3">
        <v>652.0</v>
      </c>
      <c r="I101" s="3" t="s">
        <v>110</v>
      </c>
      <c r="J101" s="3">
        <v>0.0</v>
      </c>
      <c r="K101" s="3">
        <v>4.518</v>
      </c>
      <c r="L101" s="3">
        <v>44.0</v>
      </c>
      <c r="M101" s="4" t="str">
        <f>Raw_Data!X101</f>
        <v>mww</v>
      </c>
      <c r="N101" s="3">
        <v>10.0</v>
      </c>
      <c r="O101" s="3">
        <v>-16.4796</v>
      </c>
      <c r="P101" s="3">
        <v>-177.356</v>
      </c>
      <c r="Q101" s="3" t="s">
        <v>362</v>
      </c>
      <c r="R101" s="4"/>
      <c r="S101" s="4"/>
      <c r="T101" s="4" t="str">
        <f t="shared" si="2"/>
        <v>Valid</v>
      </c>
      <c r="U101" s="4">
        <f t="shared" si="3"/>
        <v>1</v>
      </c>
      <c r="V101" s="4" t="str">
        <f t="shared" si="4"/>
        <v>Unique</v>
      </c>
      <c r="W101" s="4" t="str">
        <f t="shared" si="5"/>
        <v>green</v>
      </c>
      <c r="X101" s="4" t="str">
        <f t="shared" ref="X101:Z101" si="105">IF(Q101="","Unknown",Q101)</f>
        <v>Alo, Wallis and Futuna</v>
      </c>
      <c r="Y101" s="4" t="str">
        <f t="shared" si="105"/>
        <v>Unknown</v>
      </c>
      <c r="Z101" s="4" t="str">
        <f t="shared" si="105"/>
        <v>Unknown</v>
      </c>
      <c r="AA101" s="4" t="str">
        <f t="shared" si="7"/>
        <v>mww</v>
      </c>
    </row>
    <row r="102">
      <c r="A102" s="3" t="s">
        <v>363</v>
      </c>
      <c r="B102" s="3">
        <v>7.3</v>
      </c>
      <c r="C102" s="19">
        <f>Raw_Data!T102</f>
        <v>44337.75278</v>
      </c>
      <c r="D102" s="3">
        <v>9.0</v>
      </c>
      <c r="E102" s="3">
        <v>9.0</v>
      </c>
      <c r="F102" s="3" t="s">
        <v>178</v>
      </c>
      <c r="G102" s="3">
        <v>0.0</v>
      </c>
      <c r="H102" s="3">
        <v>1025.0</v>
      </c>
      <c r="I102" s="3" t="s">
        <v>110</v>
      </c>
      <c r="J102" s="3">
        <v>0.0</v>
      </c>
      <c r="K102" s="3">
        <v>4.655</v>
      </c>
      <c r="L102" s="3">
        <v>9.0</v>
      </c>
      <c r="M102" s="4" t="str">
        <f>Raw_Data!X102</f>
        <v>mww</v>
      </c>
      <c r="N102" s="3">
        <v>10.0</v>
      </c>
      <c r="O102" s="3">
        <v>34.5861</v>
      </c>
      <c r="P102" s="3">
        <v>98.2551</v>
      </c>
      <c r="Q102" s="3" t="s">
        <v>365</v>
      </c>
      <c r="R102" s="3" t="s">
        <v>164</v>
      </c>
      <c r="S102" s="3" t="s">
        <v>251</v>
      </c>
      <c r="T102" s="4" t="str">
        <f t="shared" si="2"/>
        <v>Valid</v>
      </c>
      <c r="U102" s="4">
        <f t="shared" si="3"/>
        <v>1</v>
      </c>
      <c r="V102" s="4" t="str">
        <f t="shared" si="4"/>
        <v>Unique</v>
      </c>
      <c r="W102" s="4" t="str">
        <f t="shared" si="5"/>
        <v>orange</v>
      </c>
      <c r="X102" s="4" t="str">
        <f t="shared" ref="X102:Z102" si="106">IF(Q102="","Unknown",Q102)</f>
        <v>Southern Qinghai, China</v>
      </c>
      <c r="Y102" s="4" t="str">
        <f t="shared" si="106"/>
        <v>Asia</v>
      </c>
      <c r="Z102" s="4" t="str">
        <f t="shared" si="106"/>
        <v>People's Republic of China</v>
      </c>
      <c r="AA102" s="4" t="str">
        <f t="shared" si="7"/>
        <v>mww</v>
      </c>
    </row>
    <row r="103">
      <c r="A103" s="3" t="s">
        <v>366</v>
      </c>
      <c r="B103" s="3">
        <v>6.7</v>
      </c>
      <c r="C103" s="19">
        <f>Raw_Data!T103</f>
        <v>44330.27292</v>
      </c>
      <c r="D103" s="3">
        <v>8.0</v>
      </c>
      <c r="E103" s="3">
        <v>4.0</v>
      </c>
      <c r="F103" s="3" t="s">
        <v>109</v>
      </c>
      <c r="G103" s="3">
        <v>0.0</v>
      </c>
      <c r="H103" s="3">
        <v>698.0</v>
      </c>
      <c r="I103" s="3" t="s">
        <v>110</v>
      </c>
      <c r="J103" s="3">
        <v>0.0</v>
      </c>
      <c r="K103" s="3">
        <v>1.487</v>
      </c>
      <c r="L103" s="3">
        <v>37.0</v>
      </c>
      <c r="M103" s="4" t="str">
        <f>Raw_Data!X103</f>
        <v>mww</v>
      </c>
      <c r="N103" s="3">
        <v>11.0</v>
      </c>
      <c r="O103" s="3">
        <v>0.1684</v>
      </c>
      <c r="P103" s="3">
        <v>96.6475</v>
      </c>
      <c r="Q103" s="3" t="s">
        <v>368</v>
      </c>
      <c r="R103" s="4"/>
      <c r="S103" s="4"/>
      <c r="T103" s="4" t="str">
        <f t="shared" si="2"/>
        <v>Valid</v>
      </c>
      <c r="U103" s="4">
        <f t="shared" si="3"/>
        <v>1</v>
      </c>
      <c r="V103" s="4" t="str">
        <f t="shared" si="4"/>
        <v>Unique</v>
      </c>
      <c r="W103" s="4" t="str">
        <f t="shared" si="5"/>
        <v>green</v>
      </c>
      <c r="X103" s="4" t="str">
        <f t="shared" ref="X103:Z103" si="107">IF(Q103="","Unknown",Q103)</f>
        <v>Sinabang, Indonesia</v>
      </c>
      <c r="Y103" s="4" t="str">
        <f t="shared" si="107"/>
        <v>Unknown</v>
      </c>
      <c r="Z103" s="4" t="str">
        <f t="shared" si="107"/>
        <v>Unknown</v>
      </c>
      <c r="AA103" s="4" t="str">
        <f t="shared" si="7"/>
        <v>mww</v>
      </c>
    </row>
    <row r="104">
      <c r="A104" s="3" t="s">
        <v>369</v>
      </c>
      <c r="B104" s="3">
        <v>6.7</v>
      </c>
      <c r="C104" s="19">
        <f>Raw_Data!T104</f>
        <v>44328.58681</v>
      </c>
      <c r="D104" s="3">
        <v>9.0</v>
      </c>
      <c r="E104" s="3">
        <v>3.0</v>
      </c>
      <c r="F104" s="3" t="s">
        <v>109</v>
      </c>
      <c r="G104" s="3">
        <v>0.0</v>
      </c>
      <c r="H104" s="3">
        <v>694.0</v>
      </c>
      <c r="I104" s="3" t="s">
        <v>110</v>
      </c>
      <c r="J104" s="3">
        <v>0.0</v>
      </c>
      <c r="K104" s="3">
        <v>10.669</v>
      </c>
      <c r="L104" s="3">
        <v>45.0</v>
      </c>
      <c r="M104" s="4" t="str">
        <f>Raw_Data!X104</f>
        <v>mww</v>
      </c>
      <c r="N104" s="3">
        <v>10.0</v>
      </c>
      <c r="O104" s="3">
        <v>-17.2495</v>
      </c>
      <c r="P104" s="3">
        <v>66.3745</v>
      </c>
      <c r="Q104" s="3" t="s">
        <v>370</v>
      </c>
      <c r="R104" s="4"/>
      <c r="S104" s="4"/>
      <c r="T104" s="4" t="str">
        <f t="shared" si="2"/>
        <v>Valid</v>
      </c>
      <c r="U104" s="4">
        <f t="shared" si="3"/>
        <v>1</v>
      </c>
      <c r="V104" s="4" t="str">
        <f t="shared" si="4"/>
        <v>Unique</v>
      </c>
      <c r="W104" s="4" t="str">
        <f t="shared" si="5"/>
        <v>green</v>
      </c>
      <c r="X104" s="4" t="str">
        <f t="shared" ref="X104:Z104" si="108">IF(Q104="","Unknown",Q104)</f>
        <v>Mauritius - Reunion region</v>
      </c>
      <c r="Y104" s="4" t="str">
        <f t="shared" si="108"/>
        <v>Unknown</v>
      </c>
      <c r="Z104" s="4" t="str">
        <f t="shared" si="108"/>
        <v>Unknown</v>
      </c>
      <c r="AA104" s="4" t="str">
        <f t="shared" si="7"/>
        <v>mww</v>
      </c>
    </row>
    <row r="105">
      <c r="A105" s="3" t="s">
        <v>266</v>
      </c>
      <c r="B105" s="3">
        <v>6.9</v>
      </c>
      <c r="C105" s="19">
        <f>Raw_Data!T105</f>
        <v>44317.06042</v>
      </c>
      <c r="D105" s="3">
        <v>7.0</v>
      </c>
      <c r="E105" s="3">
        <v>6.0</v>
      </c>
      <c r="F105" s="3" t="s">
        <v>109</v>
      </c>
      <c r="G105" s="3">
        <v>1.0</v>
      </c>
      <c r="H105" s="3">
        <v>919.0</v>
      </c>
      <c r="I105" s="3" t="s">
        <v>110</v>
      </c>
      <c r="J105" s="3">
        <v>0.0</v>
      </c>
      <c r="K105" s="3">
        <v>2.619</v>
      </c>
      <c r="L105" s="3">
        <v>35.0</v>
      </c>
      <c r="M105" s="4" t="str">
        <f>Raw_Data!X105</f>
        <v>mww</v>
      </c>
      <c r="N105" s="3">
        <v>43.0</v>
      </c>
      <c r="O105" s="3">
        <v>38.2296</v>
      </c>
      <c r="P105" s="3">
        <v>141.665</v>
      </c>
      <c r="Q105" s="4"/>
      <c r="R105" s="3" t="s">
        <v>164</v>
      </c>
      <c r="S105" s="3" t="s">
        <v>371</v>
      </c>
      <c r="T105" s="4" t="str">
        <f t="shared" si="2"/>
        <v>Valid</v>
      </c>
      <c r="U105" s="4">
        <f t="shared" si="3"/>
        <v>1</v>
      </c>
      <c r="V105" s="4" t="str">
        <f t="shared" si="4"/>
        <v>Unique</v>
      </c>
      <c r="W105" s="4" t="str">
        <f t="shared" si="5"/>
        <v>green</v>
      </c>
      <c r="X105" s="4" t="str">
        <f t="shared" ref="X105:Z105" si="109">IF(Q105="","Unknown",Q105)</f>
        <v>Unknown</v>
      </c>
      <c r="Y105" s="4" t="str">
        <f t="shared" si="109"/>
        <v>Asia</v>
      </c>
      <c r="Z105" s="4" t="str">
        <f t="shared" si="109"/>
        <v>Japan</v>
      </c>
      <c r="AA105" s="4" t="str">
        <f t="shared" si="7"/>
        <v>mww</v>
      </c>
    </row>
    <row r="106">
      <c r="A106" s="3" t="s">
        <v>372</v>
      </c>
      <c r="B106" s="3">
        <v>6.5</v>
      </c>
      <c r="C106" s="19">
        <f>Raw_Data!T106</f>
        <v>44311.93611</v>
      </c>
      <c r="D106" s="3">
        <v>4.0</v>
      </c>
      <c r="E106" s="3">
        <v>4.0</v>
      </c>
      <c r="F106" s="3" t="s">
        <v>109</v>
      </c>
      <c r="G106" s="3">
        <v>0.0</v>
      </c>
      <c r="H106" s="3">
        <v>651.0</v>
      </c>
      <c r="I106" s="3" t="s">
        <v>110</v>
      </c>
      <c r="J106" s="3">
        <v>0.0</v>
      </c>
      <c r="K106" s="3">
        <v>5.931</v>
      </c>
      <c r="L106" s="3">
        <v>20.0</v>
      </c>
      <c r="M106" s="4" t="str">
        <f>Raw_Data!X106</f>
        <v>mww</v>
      </c>
      <c r="N106" s="3">
        <v>246.0</v>
      </c>
      <c r="O106" s="3">
        <v>-21.6857</v>
      </c>
      <c r="P106" s="3">
        <v>-177.064</v>
      </c>
      <c r="Q106" s="3" t="s">
        <v>374</v>
      </c>
      <c r="R106" s="4"/>
      <c r="S106" s="4"/>
      <c r="T106" s="4" t="str">
        <f t="shared" si="2"/>
        <v>Valid</v>
      </c>
      <c r="U106" s="4">
        <f t="shared" si="3"/>
        <v>1</v>
      </c>
      <c r="V106" s="4" t="str">
        <f t="shared" si="4"/>
        <v>Unique</v>
      </c>
      <c r="W106" s="4" t="str">
        <f t="shared" si="5"/>
        <v>green</v>
      </c>
      <c r="X106" s="4" t="str">
        <f t="shared" ref="X106:Z106" si="110">IF(Q106="","Unknown",Q106)</f>
        <v>Haveluloto, Tonga</v>
      </c>
      <c r="Y106" s="4" t="str">
        <f t="shared" si="110"/>
        <v>Unknown</v>
      </c>
      <c r="Z106" s="4" t="str">
        <f t="shared" si="110"/>
        <v>Unknown</v>
      </c>
      <c r="AA106" s="4" t="str">
        <f t="shared" si="7"/>
        <v>mww</v>
      </c>
    </row>
    <row r="107">
      <c r="A107" s="3" t="s">
        <v>375</v>
      </c>
      <c r="B107" s="3">
        <v>6.5</v>
      </c>
      <c r="C107" s="19">
        <f>Raw_Data!T107</f>
        <v>44310.01597</v>
      </c>
      <c r="D107" s="3">
        <v>6.0</v>
      </c>
      <c r="E107" s="3">
        <v>4.0</v>
      </c>
      <c r="F107" s="3" t="s">
        <v>109</v>
      </c>
      <c r="G107" s="3">
        <v>0.0</v>
      </c>
      <c r="H107" s="3">
        <v>652.0</v>
      </c>
      <c r="I107" s="3" t="s">
        <v>110</v>
      </c>
      <c r="J107" s="3">
        <v>0.0</v>
      </c>
      <c r="K107" s="3">
        <v>10.405</v>
      </c>
      <c r="L107" s="3">
        <v>19.0</v>
      </c>
      <c r="M107" s="4" t="str">
        <f>Raw_Data!X107</f>
        <v>mww</v>
      </c>
      <c r="N107" s="3">
        <v>301.0</v>
      </c>
      <c r="O107" s="3">
        <v>-18.9204</v>
      </c>
      <c r="P107" s="3">
        <v>-176.235</v>
      </c>
      <c r="Q107" s="3" t="s">
        <v>377</v>
      </c>
      <c r="R107" s="4"/>
      <c r="S107" s="4"/>
      <c r="T107" s="4" t="str">
        <f t="shared" si="2"/>
        <v>Valid</v>
      </c>
      <c r="U107" s="4">
        <f t="shared" si="3"/>
        <v>1</v>
      </c>
      <c r="V107" s="4" t="str">
        <f t="shared" si="4"/>
        <v>Unique</v>
      </c>
      <c r="W107" s="4" t="str">
        <f t="shared" si="5"/>
        <v>green</v>
      </c>
      <c r="X107" s="4" t="str">
        <f t="shared" ref="X107:Z107" si="111">IF(Q107="","Unknown",Q107)</f>
        <v>Pangai, Tonga</v>
      </c>
      <c r="Y107" s="4" t="str">
        <f t="shared" si="111"/>
        <v>Unknown</v>
      </c>
      <c r="Z107" s="4" t="str">
        <f t="shared" si="111"/>
        <v>Unknown</v>
      </c>
      <c r="AA107" s="4" t="str">
        <f t="shared" si="7"/>
        <v>mww</v>
      </c>
    </row>
    <row r="108">
      <c r="A108" s="3" t="s">
        <v>378</v>
      </c>
      <c r="B108" s="3">
        <v>7.0</v>
      </c>
      <c r="C108" s="19">
        <f>Raw_Data!T108</f>
        <v>44275.38125</v>
      </c>
      <c r="D108" s="3">
        <v>7.0</v>
      </c>
      <c r="E108" s="3">
        <v>7.0</v>
      </c>
      <c r="F108" s="3" t="s">
        <v>116</v>
      </c>
      <c r="G108" s="3">
        <v>1.0</v>
      </c>
      <c r="H108" s="3">
        <v>1052.0</v>
      </c>
      <c r="I108" s="3" t="s">
        <v>110</v>
      </c>
      <c r="J108" s="3">
        <v>0.0</v>
      </c>
      <c r="K108" s="3">
        <v>2.378</v>
      </c>
      <c r="L108" s="3">
        <v>35.0</v>
      </c>
      <c r="M108" s="4" t="str">
        <f>Raw_Data!X108</f>
        <v>mww</v>
      </c>
      <c r="N108" s="3">
        <v>43.0</v>
      </c>
      <c r="O108" s="3">
        <v>38.4752</v>
      </c>
      <c r="P108" s="3">
        <v>141.607</v>
      </c>
      <c r="Q108" s="3" t="s">
        <v>380</v>
      </c>
      <c r="R108" s="3" t="s">
        <v>164</v>
      </c>
      <c r="S108" s="3" t="s">
        <v>371</v>
      </c>
      <c r="T108" s="4" t="str">
        <f t="shared" si="2"/>
        <v>Valid</v>
      </c>
      <c r="U108" s="4">
        <f t="shared" si="3"/>
        <v>1</v>
      </c>
      <c r="V108" s="4" t="str">
        <f t="shared" si="4"/>
        <v>Unique</v>
      </c>
      <c r="W108" s="4" t="str">
        <f t="shared" si="5"/>
        <v>yellow</v>
      </c>
      <c r="X108" s="4" t="str">
        <f t="shared" ref="X108:Z108" si="112">IF(Q108="","Unknown",Q108)</f>
        <v>Ishinomaki, Japan</v>
      </c>
      <c r="Y108" s="4" t="str">
        <f t="shared" si="112"/>
        <v>Asia</v>
      </c>
      <c r="Z108" s="4" t="str">
        <f t="shared" si="112"/>
        <v>Japan</v>
      </c>
      <c r="AA108" s="4" t="str">
        <f t="shared" si="7"/>
        <v>mww</v>
      </c>
    </row>
    <row r="109">
      <c r="A109" s="3" t="s">
        <v>381</v>
      </c>
      <c r="B109" s="3">
        <v>6.6</v>
      </c>
      <c r="C109" s="19">
        <f>Raw_Data!T109</f>
        <v>44271.77639</v>
      </c>
      <c r="D109" s="3">
        <v>5.0</v>
      </c>
      <c r="E109" s="3">
        <v>5.0</v>
      </c>
      <c r="F109" s="3" t="s">
        <v>109</v>
      </c>
      <c r="G109" s="3">
        <v>1.0</v>
      </c>
      <c r="H109" s="3">
        <v>672.0</v>
      </c>
      <c r="I109" s="3" t="s">
        <v>110</v>
      </c>
      <c r="J109" s="3">
        <v>0.0</v>
      </c>
      <c r="K109" s="3">
        <v>3.183</v>
      </c>
      <c r="L109" s="3">
        <v>18.0</v>
      </c>
      <c r="M109" s="4" t="str">
        <f>Raw_Data!X109</f>
        <v>mww</v>
      </c>
      <c r="N109" s="3">
        <v>13.23</v>
      </c>
      <c r="O109" s="3">
        <v>54.7018</v>
      </c>
      <c r="P109" s="3">
        <v>163.208</v>
      </c>
      <c r="Q109" s="3" t="s">
        <v>383</v>
      </c>
      <c r="R109" s="4"/>
      <c r="S109" s="4"/>
      <c r="T109" s="4" t="str">
        <f t="shared" si="2"/>
        <v>Valid</v>
      </c>
      <c r="U109" s="4">
        <f t="shared" si="3"/>
        <v>1</v>
      </c>
      <c r="V109" s="4" t="str">
        <f t="shared" si="4"/>
        <v>Unique</v>
      </c>
      <c r="W109" s="4" t="str">
        <f t="shared" si="5"/>
        <v>green</v>
      </c>
      <c r="X109" s="4" t="str">
        <f t="shared" ref="X109:Z109" si="113">IF(Q109="","Unknown",Q109)</f>
        <v>Ust’-Kamchatsk Staryy, Russia</v>
      </c>
      <c r="Y109" s="4" t="str">
        <f t="shared" si="113"/>
        <v>Unknown</v>
      </c>
      <c r="Z109" s="4" t="str">
        <f t="shared" si="113"/>
        <v>Unknown</v>
      </c>
      <c r="AA109" s="4" t="str">
        <f t="shared" si="7"/>
        <v>mww</v>
      </c>
    </row>
    <row r="110">
      <c r="A110" s="3" t="s">
        <v>290</v>
      </c>
      <c r="B110" s="3">
        <v>6.5</v>
      </c>
      <c r="C110" s="19">
        <f>Raw_Data!T110</f>
        <v>44259.96667</v>
      </c>
      <c r="D110" s="3">
        <v>0.0</v>
      </c>
      <c r="E110" s="3">
        <v>4.0</v>
      </c>
      <c r="F110" s="3" t="s">
        <v>109</v>
      </c>
      <c r="G110" s="3">
        <v>0.0</v>
      </c>
      <c r="H110" s="3">
        <v>650.0</v>
      </c>
      <c r="I110" s="3" t="s">
        <v>110</v>
      </c>
      <c r="J110" s="3">
        <v>0.0</v>
      </c>
      <c r="K110" s="3">
        <v>11.764</v>
      </c>
      <c r="L110" s="3">
        <v>25.0</v>
      </c>
      <c r="M110" s="4" t="str">
        <f>Raw_Data!X110</f>
        <v>mwb</v>
      </c>
      <c r="N110" s="3">
        <v>24.0</v>
      </c>
      <c r="O110" s="3">
        <v>-28.4792</v>
      </c>
      <c r="P110" s="3">
        <v>-176.619</v>
      </c>
      <c r="Q110" s="3" t="s">
        <v>182</v>
      </c>
      <c r="R110" s="4"/>
      <c r="S110" s="4"/>
      <c r="T110" s="4" t="str">
        <f t="shared" si="2"/>
        <v>Valid</v>
      </c>
      <c r="U110" s="4">
        <f t="shared" si="3"/>
        <v>1</v>
      </c>
      <c r="V110" s="4" t="str">
        <f t="shared" si="4"/>
        <v>Unique</v>
      </c>
      <c r="W110" s="4" t="str">
        <f t="shared" si="5"/>
        <v>green</v>
      </c>
      <c r="X110" s="4" t="str">
        <f t="shared" ref="X110:Z110" si="114">IF(Q110="","Unknown",Q110)</f>
        <v>Kermadec Islands region</v>
      </c>
      <c r="Y110" s="4" t="str">
        <f t="shared" si="114"/>
        <v>Unknown</v>
      </c>
      <c r="Z110" s="4" t="str">
        <f t="shared" si="114"/>
        <v>Unknown</v>
      </c>
      <c r="AA110" s="4" t="str">
        <f t="shared" si="7"/>
        <v>mwb</v>
      </c>
    </row>
    <row r="111">
      <c r="A111" s="3" t="s">
        <v>384</v>
      </c>
      <c r="B111" s="3">
        <v>8.1</v>
      </c>
      <c r="C111" s="19">
        <f>Raw_Data!T111</f>
        <v>44259.81111</v>
      </c>
      <c r="D111" s="3">
        <v>9.0</v>
      </c>
      <c r="E111" s="3">
        <v>8.0</v>
      </c>
      <c r="F111" s="3" t="s">
        <v>109</v>
      </c>
      <c r="G111" s="3">
        <v>1.0</v>
      </c>
      <c r="H111" s="3">
        <v>1021.0</v>
      </c>
      <c r="I111" s="3" t="s">
        <v>110</v>
      </c>
      <c r="J111" s="3">
        <v>0.0</v>
      </c>
      <c r="K111" s="3">
        <v>0.739</v>
      </c>
      <c r="L111" s="3">
        <v>21.0</v>
      </c>
      <c r="M111" s="4" t="str">
        <f>Raw_Data!X111</f>
        <v>mww</v>
      </c>
      <c r="N111" s="3">
        <v>28.93</v>
      </c>
      <c r="O111" s="3">
        <v>-29.7466</v>
      </c>
      <c r="P111" s="3">
        <v>-177.224</v>
      </c>
      <c r="Q111" s="3" t="s">
        <v>156</v>
      </c>
      <c r="R111" s="4"/>
      <c r="S111" s="4"/>
      <c r="T111" s="4" t="str">
        <f t="shared" si="2"/>
        <v>Valid</v>
      </c>
      <c r="U111" s="4">
        <f t="shared" si="3"/>
        <v>1</v>
      </c>
      <c r="V111" s="4" t="str">
        <f t="shared" si="4"/>
        <v>Unique</v>
      </c>
      <c r="W111" s="4" t="str">
        <f t="shared" si="5"/>
        <v>green</v>
      </c>
      <c r="X111" s="4" t="str">
        <f t="shared" ref="X111:Z111" si="115">IF(Q111="","Unknown",Q111)</f>
        <v>Kermadec Islands, New Zealand</v>
      </c>
      <c r="Y111" s="4" t="str">
        <f t="shared" si="115"/>
        <v>Unknown</v>
      </c>
      <c r="Z111" s="4" t="str">
        <f t="shared" si="115"/>
        <v>Unknown</v>
      </c>
      <c r="AA111" s="4" t="str">
        <f t="shared" si="7"/>
        <v>mww</v>
      </c>
    </row>
    <row r="112">
      <c r="A112" s="3" t="s">
        <v>385</v>
      </c>
      <c r="B112" s="3">
        <v>7.4</v>
      </c>
      <c r="C112" s="19">
        <f>Raw_Data!T112</f>
        <v>44259.73681</v>
      </c>
      <c r="D112" s="3">
        <v>3.0</v>
      </c>
      <c r="E112" s="3">
        <v>7.0</v>
      </c>
      <c r="F112" s="3" t="s">
        <v>109</v>
      </c>
      <c r="G112" s="3">
        <v>1.0</v>
      </c>
      <c r="H112" s="3">
        <v>843.0</v>
      </c>
      <c r="I112" s="3" t="s">
        <v>110</v>
      </c>
      <c r="J112" s="3">
        <v>0.0</v>
      </c>
      <c r="K112" s="3">
        <v>0.437</v>
      </c>
      <c r="L112" s="3">
        <v>30.0</v>
      </c>
      <c r="M112" s="4" t="str">
        <f>Raw_Data!X112</f>
        <v>mww</v>
      </c>
      <c r="N112" s="3">
        <v>43.0</v>
      </c>
      <c r="O112" s="3">
        <v>-29.6131</v>
      </c>
      <c r="P112" s="3">
        <v>-177.842</v>
      </c>
      <c r="Q112" s="3" t="s">
        <v>156</v>
      </c>
      <c r="R112" s="4"/>
      <c r="S112" s="4"/>
      <c r="T112" s="4" t="str">
        <f t="shared" si="2"/>
        <v>Valid</v>
      </c>
      <c r="U112" s="4">
        <f t="shared" si="3"/>
        <v>1</v>
      </c>
      <c r="V112" s="4" t="str">
        <f t="shared" si="4"/>
        <v>Unique</v>
      </c>
      <c r="W112" s="4" t="str">
        <f t="shared" si="5"/>
        <v>green</v>
      </c>
      <c r="X112" s="4" t="str">
        <f t="shared" ref="X112:Z112" si="116">IF(Q112="","Unknown",Q112)</f>
        <v>Kermadec Islands, New Zealand</v>
      </c>
      <c r="Y112" s="4" t="str">
        <f t="shared" si="116"/>
        <v>Unknown</v>
      </c>
      <c r="Z112" s="4" t="str">
        <f t="shared" si="116"/>
        <v>Unknown</v>
      </c>
      <c r="AA112" s="4" t="str">
        <f t="shared" si="7"/>
        <v>mww</v>
      </c>
    </row>
    <row r="113">
      <c r="A113" s="3" t="s">
        <v>386</v>
      </c>
      <c r="B113" s="3">
        <v>7.3</v>
      </c>
      <c r="C113" s="19">
        <f>Raw_Data!T113</f>
        <v>44259.56042</v>
      </c>
      <c r="D113" s="3">
        <v>7.0</v>
      </c>
      <c r="E113" s="3">
        <v>6.0</v>
      </c>
      <c r="F113" s="3" t="s">
        <v>109</v>
      </c>
      <c r="G113" s="3">
        <v>1.0</v>
      </c>
      <c r="H113" s="3">
        <v>932.0</v>
      </c>
      <c r="I113" s="3" t="s">
        <v>110</v>
      </c>
      <c r="J113" s="3">
        <v>0.0</v>
      </c>
      <c r="K113" s="3">
        <v>0.918</v>
      </c>
      <c r="L113" s="3">
        <v>24.0</v>
      </c>
      <c r="M113" s="4" t="str">
        <f>Raw_Data!X113</f>
        <v>mww</v>
      </c>
      <c r="N113" s="3">
        <v>10.0</v>
      </c>
      <c r="O113" s="3">
        <v>-37.596</v>
      </c>
      <c r="P113" s="3">
        <v>179.544</v>
      </c>
      <c r="Q113" s="3" t="s">
        <v>387</v>
      </c>
      <c r="R113" s="4"/>
      <c r="S113" s="4"/>
      <c r="T113" s="4" t="str">
        <f t="shared" si="2"/>
        <v>Valid</v>
      </c>
      <c r="U113" s="4">
        <f t="shared" si="3"/>
        <v>1</v>
      </c>
      <c r="V113" s="4" t="str">
        <f t="shared" si="4"/>
        <v>Unique</v>
      </c>
      <c r="W113" s="4" t="str">
        <f t="shared" si="5"/>
        <v>green</v>
      </c>
      <c r="X113" s="4" t="str">
        <f t="shared" ref="X113:Z113" si="117">IF(Q113="","Unknown",Q113)</f>
        <v>Gisborne, New Zealand</v>
      </c>
      <c r="Y113" s="4" t="str">
        <f t="shared" si="117"/>
        <v>Unknown</v>
      </c>
      <c r="Z113" s="4" t="str">
        <f t="shared" si="117"/>
        <v>Unknown</v>
      </c>
      <c r="AA113" s="4" t="str">
        <f t="shared" si="7"/>
        <v>mww</v>
      </c>
    </row>
    <row r="114">
      <c r="A114" s="3" t="s">
        <v>388</v>
      </c>
      <c r="B114" s="3">
        <v>7.1</v>
      </c>
      <c r="C114" s="19">
        <f>Raw_Data!T114</f>
        <v>44240.58819</v>
      </c>
      <c r="D114" s="3">
        <v>9.0</v>
      </c>
      <c r="E114" s="3">
        <v>8.0</v>
      </c>
      <c r="F114" s="3" t="s">
        <v>178</v>
      </c>
      <c r="G114" s="3">
        <v>1.0</v>
      </c>
      <c r="H114" s="3">
        <v>1612.0</v>
      </c>
      <c r="I114" s="3" t="s">
        <v>110</v>
      </c>
      <c r="J114" s="3">
        <v>0.0</v>
      </c>
      <c r="K114" s="3">
        <v>3.085</v>
      </c>
      <c r="L114" s="3">
        <v>11.0</v>
      </c>
      <c r="M114" s="4" t="str">
        <f>Raw_Data!X114</f>
        <v>mww</v>
      </c>
      <c r="N114" s="3">
        <v>43.98</v>
      </c>
      <c r="O114" s="3">
        <v>37.6856</v>
      </c>
      <c r="P114" s="3">
        <v>141.992</v>
      </c>
      <c r="Q114" s="3" t="s">
        <v>282</v>
      </c>
      <c r="R114" s="4"/>
      <c r="S114" s="4"/>
      <c r="T114" s="4" t="str">
        <f t="shared" si="2"/>
        <v>Valid</v>
      </c>
      <c r="U114" s="4">
        <f t="shared" si="3"/>
        <v>1</v>
      </c>
      <c r="V114" s="4" t="str">
        <f t="shared" si="4"/>
        <v>Unique</v>
      </c>
      <c r="W114" s="4" t="str">
        <f t="shared" si="5"/>
        <v>orange</v>
      </c>
      <c r="X114" s="4" t="str">
        <f t="shared" ref="X114:Z114" si="118">IF(Q114="","Unknown",Q114)</f>
        <v>Namie, Japan</v>
      </c>
      <c r="Y114" s="4" t="str">
        <f t="shared" si="118"/>
        <v>Unknown</v>
      </c>
      <c r="Z114" s="4" t="str">
        <f t="shared" si="118"/>
        <v>Unknown</v>
      </c>
      <c r="AA114" s="4" t="str">
        <f t="shared" si="7"/>
        <v>mww</v>
      </c>
    </row>
    <row r="115">
      <c r="A115" s="3" t="s">
        <v>144</v>
      </c>
      <c r="B115" s="3">
        <v>7.7</v>
      </c>
      <c r="C115" s="19">
        <f>Raw_Data!T115</f>
        <v>44237.55486</v>
      </c>
      <c r="D115" s="3">
        <v>9.0</v>
      </c>
      <c r="E115" s="3">
        <v>4.0</v>
      </c>
      <c r="F115" s="3" t="s">
        <v>109</v>
      </c>
      <c r="G115" s="3">
        <v>1.0</v>
      </c>
      <c r="H115" s="3">
        <v>918.0</v>
      </c>
      <c r="I115" s="3" t="s">
        <v>110</v>
      </c>
      <c r="J115" s="3">
        <v>0.0</v>
      </c>
      <c r="K115" s="3">
        <v>7.989</v>
      </c>
      <c r="L115" s="3">
        <v>15.0</v>
      </c>
      <c r="M115" s="4" t="str">
        <f>Raw_Data!X115</f>
        <v>mww</v>
      </c>
      <c r="N115" s="3">
        <v>10.0</v>
      </c>
      <c r="O115" s="3">
        <v>-23.2787</v>
      </c>
      <c r="P115" s="3">
        <v>171.489</v>
      </c>
      <c r="Q115" s="3" t="s">
        <v>143</v>
      </c>
      <c r="R115" s="4"/>
      <c r="S115" s="4"/>
      <c r="T115" s="4" t="str">
        <f t="shared" si="2"/>
        <v>Valid</v>
      </c>
      <c r="U115" s="4">
        <f t="shared" si="3"/>
        <v>1</v>
      </c>
      <c r="V115" s="4" t="str">
        <f t="shared" si="4"/>
        <v>Unique</v>
      </c>
      <c r="W115" s="4" t="str">
        <f t="shared" si="5"/>
        <v>green</v>
      </c>
      <c r="X115" s="4" t="str">
        <f t="shared" ref="X115:Z115" si="119">IF(Q115="","Unknown",Q115)</f>
        <v>the Loyalty Islands</v>
      </c>
      <c r="Y115" s="4" t="str">
        <f t="shared" si="119"/>
        <v>Unknown</v>
      </c>
      <c r="Z115" s="4" t="str">
        <f t="shared" si="119"/>
        <v>Unknown</v>
      </c>
      <c r="AA115" s="4" t="str">
        <f t="shared" si="7"/>
        <v>mww</v>
      </c>
    </row>
    <row r="116">
      <c r="A116" s="3" t="s">
        <v>390</v>
      </c>
      <c r="B116" s="3">
        <v>6.9</v>
      </c>
      <c r="C116" s="19">
        <f>Raw_Data!T116</f>
        <v>44219.98333</v>
      </c>
      <c r="D116" s="3">
        <v>9.0</v>
      </c>
      <c r="E116" s="3">
        <v>5.0</v>
      </c>
      <c r="F116" s="3" t="s">
        <v>109</v>
      </c>
      <c r="G116" s="3">
        <v>1.0</v>
      </c>
      <c r="H116" s="3">
        <v>739.0</v>
      </c>
      <c r="I116" s="3" t="s">
        <v>110</v>
      </c>
      <c r="J116" s="3">
        <v>0.0</v>
      </c>
      <c r="K116" s="3">
        <v>1.55</v>
      </c>
      <c r="L116" s="3">
        <v>16.0</v>
      </c>
      <c r="M116" s="4" t="str">
        <f>Raw_Data!X116</f>
        <v>mww</v>
      </c>
      <c r="N116" s="3">
        <v>15.0</v>
      </c>
      <c r="O116" s="3">
        <v>-61.8484</v>
      </c>
      <c r="P116" s="3">
        <v>-55.559</v>
      </c>
      <c r="Q116" s="3" t="s">
        <v>392</v>
      </c>
      <c r="R116" s="4"/>
      <c r="S116" s="3" t="s">
        <v>330</v>
      </c>
      <c r="T116" s="4" t="str">
        <f t="shared" si="2"/>
        <v>Valid</v>
      </c>
      <c r="U116" s="4">
        <f t="shared" si="3"/>
        <v>1</v>
      </c>
      <c r="V116" s="4" t="str">
        <f t="shared" si="4"/>
        <v>Unique</v>
      </c>
      <c r="W116" s="4" t="str">
        <f t="shared" si="5"/>
        <v>green</v>
      </c>
      <c r="X116" s="4" t="str">
        <f t="shared" ref="X116:Z116" si="120">IF(Q116="","Unknown",Q116)</f>
        <v>South Shetland Islands</v>
      </c>
      <c r="Y116" s="4" t="str">
        <f t="shared" si="120"/>
        <v>Unknown</v>
      </c>
      <c r="Z116" s="4" t="str">
        <f t="shared" si="120"/>
        <v>Antarctica</v>
      </c>
      <c r="AA116" s="4" t="str">
        <f t="shared" si="7"/>
        <v>mww</v>
      </c>
    </row>
    <row r="117">
      <c r="A117" s="3" t="s">
        <v>393</v>
      </c>
      <c r="B117" s="3">
        <v>7.0</v>
      </c>
      <c r="C117" s="19">
        <f>Raw_Data!T117</f>
        <v>44217.51597</v>
      </c>
      <c r="D117" s="3">
        <v>7.0</v>
      </c>
      <c r="E117" s="3">
        <v>5.0</v>
      </c>
      <c r="F117" s="3" t="s">
        <v>109</v>
      </c>
      <c r="G117" s="3">
        <v>1.0</v>
      </c>
      <c r="H117" s="3">
        <v>802.0</v>
      </c>
      <c r="I117" s="3" t="s">
        <v>110</v>
      </c>
      <c r="J117" s="3">
        <v>0.0</v>
      </c>
      <c r="K117" s="3">
        <v>2.821</v>
      </c>
      <c r="L117" s="3">
        <v>15.0</v>
      </c>
      <c r="M117" s="4" t="str">
        <f>Raw_Data!X117</f>
        <v>mww</v>
      </c>
      <c r="N117" s="3">
        <v>80.0</v>
      </c>
      <c r="O117" s="3">
        <v>5.0074</v>
      </c>
      <c r="P117" s="3">
        <v>127.517</v>
      </c>
      <c r="Q117" s="3" t="s">
        <v>348</v>
      </c>
      <c r="R117" s="4"/>
      <c r="S117" s="4"/>
      <c r="T117" s="4" t="str">
        <f t="shared" si="2"/>
        <v>Valid</v>
      </c>
      <c r="U117" s="4">
        <f t="shared" si="3"/>
        <v>1</v>
      </c>
      <c r="V117" s="4" t="str">
        <f t="shared" si="4"/>
        <v>Unique</v>
      </c>
      <c r="W117" s="4" t="str">
        <f t="shared" si="5"/>
        <v>green</v>
      </c>
      <c r="X117" s="4" t="str">
        <f t="shared" ref="X117:Z117" si="121">IF(Q117="","Unknown",Q117)</f>
        <v>Pondaguitan, Philippines</v>
      </c>
      <c r="Y117" s="4" t="str">
        <f t="shared" si="121"/>
        <v>Unknown</v>
      </c>
      <c r="Z117" s="4" t="str">
        <f t="shared" si="121"/>
        <v>Unknown</v>
      </c>
      <c r="AA117" s="4" t="str">
        <f t="shared" si="7"/>
        <v>mww</v>
      </c>
    </row>
    <row r="118">
      <c r="A118" s="3" t="s">
        <v>395</v>
      </c>
      <c r="B118" s="3">
        <v>6.7</v>
      </c>
      <c r="C118" s="19">
        <f>Raw_Data!T118</f>
        <v>44207.89722</v>
      </c>
      <c r="D118" s="3">
        <v>8.0</v>
      </c>
      <c r="E118" s="3">
        <v>8.0</v>
      </c>
      <c r="F118" s="3" t="s">
        <v>109</v>
      </c>
      <c r="G118" s="3">
        <v>0.0</v>
      </c>
      <c r="H118" s="3">
        <v>776.0</v>
      </c>
      <c r="I118" s="3" t="s">
        <v>110</v>
      </c>
      <c r="J118" s="3">
        <v>0.0</v>
      </c>
      <c r="K118" s="3">
        <v>2.043</v>
      </c>
      <c r="L118" s="3">
        <v>22.0</v>
      </c>
      <c r="M118" s="4" t="str">
        <f>Raw_Data!X118</f>
        <v>mww</v>
      </c>
      <c r="N118" s="3">
        <v>10.0</v>
      </c>
      <c r="O118" s="3">
        <v>51.2407</v>
      </c>
      <c r="P118" s="3">
        <v>100.443</v>
      </c>
      <c r="Q118" s="3" t="s">
        <v>396</v>
      </c>
      <c r="R118" s="3" t="s">
        <v>164</v>
      </c>
      <c r="S118" s="3" t="s">
        <v>397</v>
      </c>
      <c r="T118" s="4" t="str">
        <f t="shared" si="2"/>
        <v>Valid</v>
      </c>
      <c r="U118" s="4">
        <f t="shared" si="3"/>
        <v>1</v>
      </c>
      <c r="V118" s="4" t="str">
        <f t="shared" si="4"/>
        <v>Unique</v>
      </c>
      <c r="W118" s="4" t="str">
        <f t="shared" si="5"/>
        <v>green</v>
      </c>
      <c r="X118" s="4" t="str">
        <f t="shared" ref="X118:Z118" si="122">IF(Q118="","Unknown",Q118)</f>
        <v>Turt, Mongolia</v>
      </c>
      <c r="Y118" s="4" t="str">
        <f t="shared" si="122"/>
        <v>Asia</v>
      </c>
      <c r="Z118" s="4" t="str">
        <f t="shared" si="122"/>
        <v>Mongolia</v>
      </c>
      <c r="AA118" s="4" t="str">
        <f t="shared" si="7"/>
        <v>mww</v>
      </c>
    </row>
    <row r="119">
      <c r="A119" s="3" t="s">
        <v>398</v>
      </c>
      <c r="B119" s="3">
        <v>6.7</v>
      </c>
      <c r="C119" s="19">
        <f>Raw_Data!T119</f>
        <v>44192.90208</v>
      </c>
      <c r="D119" s="3">
        <v>5.0</v>
      </c>
      <c r="E119" s="3">
        <v>5.0</v>
      </c>
      <c r="F119" s="3" t="s">
        <v>109</v>
      </c>
      <c r="G119" s="3">
        <v>1.0</v>
      </c>
      <c r="H119" s="3">
        <v>776.0</v>
      </c>
      <c r="I119" s="3" t="s">
        <v>110</v>
      </c>
      <c r="J119" s="3">
        <v>0.0</v>
      </c>
      <c r="K119" s="3">
        <v>1.319</v>
      </c>
      <c r="L119" s="3">
        <v>19.0</v>
      </c>
      <c r="M119" s="4" t="str">
        <f>Raw_Data!X119</f>
        <v>mww</v>
      </c>
      <c r="N119" s="3">
        <v>10.0</v>
      </c>
      <c r="O119" s="3">
        <v>-39.3264</v>
      </c>
      <c r="P119" s="3">
        <v>-74.9067</v>
      </c>
      <c r="Q119" s="3" t="s">
        <v>400</v>
      </c>
      <c r="R119" s="4"/>
      <c r="S119" s="4"/>
      <c r="T119" s="4" t="str">
        <f t="shared" si="2"/>
        <v>Valid</v>
      </c>
      <c r="U119" s="4">
        <f t="shared" si="3"/>
        <v>1</v>
      </c>
      <c r="V119" s="4" t="str">
        <f t="shared" si="4"/>
        <v>Unique</v>
      </c>
      <c r="W119" s="4" t="str">
        <f t="shared" si="5"/>
        <v>green</v>
      </c>
      <c r="X119" s="4" t="str">
        <f t="shared" ref="X119:Z119" si="123">IF(Q119="","Unknown",Q119)</f>
        <v>Corral, Chile</v>
      </c>
      <c r="Y119" s="4" t="str">
        <f t="shared" si="123"/>
        <v>Unknown</v>
      </c>
      <c r="Z119" s="4" t="str">
        <f t="shared" si="123"/>
        <v>Unknown</v>
      </c>
      <c r="AA119" s="4" t="str">
        <f t="shared" si="7"/>
        <v>mww</v>
      </c>
    </row>
    <row r="120">
      <c r="A120" s="3" t="s">
        <v>401</v>
      </c>
      <c r="B120" s="3">
        <v>7.0</v>
      </c>
      <c r="C120" s="19">
        <f>Raw_Data!T120</f>
        <v>44134.49375</v>
      </c>
      <c r="D120" s="3">
        <v>8.0</v>
      </c>
      <c r="E120" s="3">
        <v>7.0</v>
      </c>
      <c r="F120" s="3" t="s">
        <v>178</v>
      </c>
      <c r="G120" s="3">
        <v>0.0</v>
      </c>
      <c r="H120" s="3">
        <v>1527.0</v>
      </c>
      <c r="I120" s="3" t="s">
        <v>110</v>
      </c>
      <c r="J120" s="3">
        <v>0.0</v>
      </c>
      <c r="K120" s="3">
        <v>1.518</v>
      </c>
      <c r="L120" s="3">
        <v>18.0</v>
      </c>
      <c r="M120" s="4" t="str">
        <f>Raw_Data!X120</f>
        <v>mww</v>
      </c>
      <c r="N120" s="3">
        <v>21.0</v>
      </c>
      <c r="O120" s="3">
        <v>37.8973</v>
      </c>
      <c r="P120" s="3">
        <v>26.7953</v>
      </c>
      <c r="Q120" s="3" t="s">
        <v>403</v>
      </c>
      <c r="R120" s="3" t="s">
        <v>404</v>
      </c>
      <c r="S120" s="3" t="s">
        <v>405</v>
      </c>
      <c r="T120" s="4" t="str">
        <f t="shared" si="2"/>
        <v>Valid</v>
      </c>
      <c r="U120" s="4">
        <f t="shared" si="3"/>
        <v>1</v>
      </c>
      <c r="V120" s="4" t="str">
        <f t="shared" si="4"/>
        <v>Unique</v>
      </c>
      <c r="W120" s="4" t="str">
        <f t="shared" si="5"/>
        <v>orange</v>
      </c>
      <c r="X120" s="4" t="str">
        <f t="shared" ref="X120:Z120" si="124">IF(Q120="","Unknown",Q120)</f>
        <v>Néon Karlovásion, Greece</v>
      </c>
      <c r="Y120" s="4" t="str">
        <f t="shared" si="124"/>
        <v>Europe</v>
      </c>
      <c r="Z120" s="4" t="str">
        <f t="shared" si="124"/>
        <v>Greece</v>
      </c>
      <c r="AA120" s="4" t="str">
        <f t="shared" si="7"/>
        <v>mww</v>
      </c>
    </row>
    <row r="121">
      <c r="A121" s="3" t="s">
        <v>406</v>
      </c>
      <c r="B121" s="3">
        <v>7.6</v>
      </c>
      <c r="C121" s="19">
        <f>Raw_Data!T121</f>
        <v>44123.87083</v>
      </c>
      <c r="D121" s="3">
        <v>9.0</v>
      </c>
      <c r="E121" s="3">
        <v>7.0</v>
      </c>
      <c r="F121" s="3" t="s">
        <v>116</v>
      </c>
      <c r="G121" s="3">
        <v>1.0</v>
      </c>
      <c r="H121" s="3">
        <v>1165.0</v>
      </c>
      <c r="I121" s="3" t="s">
        <v>110</v>
      </c>
      <c r="J121" s="3">
        <v>0.0</v>
      </c>
      <c r="K121" s="3">
        <v>0.23</v>
      </c>
      <c r="L121" s="3">
        <v>36.0</v>
      </c>
      <c r="M121" s="4" t="str">
        <f>Raw_Data!X121</f>
        <v>mww</v>
      </c>
      <c r="N121" s="3">
        <v>28.37</v>
      </c>
      <c r="O121" s="3">
        <v>54.662</v>
      </c>
      <c r="P121" s="3">
        <v>-159.675</v>
      </c>
      <c r="Q121" s="3" t="s">
        <v>125</v>
      </c>
      <c r="R121" s="3" t="s">
        <v>233</v>
      </c>
      <c r="S121" s="3" t="s">
        <v>318</v>
      </c>
      <c r="T121" s="4" t="str">
        <f t="shared" si="2"/>
        <v>Valid</v>
      </c>
      <c r="U121" s="4">
        <f t="shared" si="3"/>
        <v>1</v>
      </c>
      <c r="V121" s="4" t="str">
        <f t="shared" si="4"/>
        <v>Unique</v>
      </c>
      <c r="W121" s="4" t="str">
        <f t="shared" si="5"/>
        <v>yellow</v>
      </c>
      <c r="X121" s="4" t="str">
        <f t="shared" ref="X121:Z121" si="125">IF(Q121="","Unknown",Q121)</f>
        <v>Sand Point, Alaska</v>
      </c>
      <c r="Y121" s="4" t="str">
        <f t="shared" si="125"/>
        <v>North America</v>
      </c>
      <c r="Z121" s="4" t="str">
        <f t="shared" si="125"/>
        <v>United States of America</v>
      </c>
      <c r="AA121" s="4" t="str">
        <f t="shared" si="7"/>
        <v>mww</v>
      </c>
    </row>
    <row r="122">
      <c r="A122" s="3" t="s">
        <v>408</v>
      </c>
      <c r="B122" s="3">
        <v>6.9</v>
      </c>
      <c r="C122" s="19">
        <f>Raw_Data!T122</f>
        <v>44092.90486</v>
      </c>
      <c r="D122" s="3">
        <v>0.0</v>
      </c>
      <c r="E122" s="3">
        <v>3.0</v>
      </c>
      <c r="F122" s="3" t="s">
        <v>109</v>
      </c>
      <c r="G122" s="3">
        <v>1.0</v>
      </c>
      <c r="H122" s="3">
        <v>732.0</v>
      </c>
      <c r="I122" s="3" t="s">
        <v>110</v>
      </c>
      <c r="J122" s="3">
        <v>0.0</v>
      </c>
      <c r="K122" s="3">
        <v>11.255</v>
      </c>
      <c r="L122" s="3">
        <v>16.0</v>
      </c>
      <c r="M122" s="4" t="str">
        <f>Raw_Data!X122</f>
        <v>mww</v>
      </c>
      <c r="N122" s="3">
        <v>10.0</v>
      </c>
      <c r="O122" s="3">
        <v>0.9604</v>
      </c>
      <c r="P122" s="3">
        <v>-26.8332</v>
      </c>
      <c r="Q122" s="3" t="s">
        <v>410</v>
      </c>
      <c r="R122" s="4"/>
      <c r="S122" s="4"/>
      <c r="T122" s="4" t="str">
        <f t="shared" si="2"/>
        <v>Valid</v>
      </c>
      <c r="U122" s="4">
        <f t="shared" si="3"/>
        <v>1</v>
      </c>
      <c r="V122" s="4" t="str">
        <f t="shared" si="4"/>
        <v>Unique</v>
      </c>
      <c r="W122" s="4" t="str">
        <f t="shared" si="5"/>
        <v>green</v>
      </c>
      <c r="X122" s="4" t="str">
        <f t="shared" ref="X122:Z122" si="126">IF(Q122="","Unknown",Q122)</f>
        <v>central Mid-Atlantic Ridge</v>
      </c>
      <c r="Y122" s="4" t="str">
        <f t="shared" si="126"/>
        <v>Unknown</v>
      </c>
      <c r="Z122" s="4" t="str">
        <f t="shared" si="126"/>
        <v>Unknown</v>
      </c>
      <c r="AA122" s="4" t="str">
        <f t="shared" si="7"/>
        <v>mww</v>
      </c>
    </row>
    <row r="123">
      <c r="A123" s="3" t="s">
        <v>411</v>
      </c>
      <c r="B123" s="3">
        <v>6.5</v>
      </c>
      <c r="C123" s="19">
        <f>Raw_Data!T123</f>
        <v>44075.88125</v>
      </c>
      <c r="D123" s="3">
        <v>6.0</v>
      </c>
      <c r="E123" s="3">
        <v>6.0</v>
      </c>
      <c r="F123" s="3" t="s">
        <v>109</v>
      </c>
      <c r="G123" s="3">
        <v>0.0</v>
      </c>
      <c r="H123" s="3">
        <v>674.0</v>
      </c>
      <c r="I123" s="3" t="s">
        <v>110</v>
      </c>
      <c r="J123" s="3">
        <v>0.0</v>
      </c>
      <c r="K123" s="3">
        <v>0.388</v>
      </c>
      <c r="L123" s="3">
        <v>49.0</v>
      </c>
      <c r="M123" s="4" t="str">
        <f>Raw_Data!X123</f>
        <v>mww</v>
      </c>
      <c r="N123" s="3">
        <v>16.0</v>
      </c>
      <c r="O123" s="3">
        <v>-27.9285</v>
      </c>
      <c r="P123" s="3">
        <v>-71.3937</v>
      </c>
      <c r="Q123" s="3" t="s">
        <v>412</v>
      </c>
      <c r="R123" s="4"/>
      <c r="S123" s="4"/>
      <c r="T123" s="4" t="str">
        <f t="shared" si="2"/>
        <v>Valid</v>
      </c>
      <c r="U123" s="4">
        <f t="shared" si="3"/>
        <v>1</v>
      </c>
      <c r="V123" s="4" t="str">
        <f t="shared" si="4"/>
        <v>Unique</v>
      </c>
      <c r="W123" s="4" t="str">
        <f t="shared" si="5"/>
        <v>green</v>
      </c>
      <c r="X123" s="4" t="str">
        <f t="shared" ref="X123:Z123" si="127">IF(Q123="","Unknown",Q123)</f>
        <v>Vallenar, Chile</v>
      </c>
      <c r="Y123" s="4" t="str">
        <f t="shared" si="127"/>
        <v>Unknown</v>
      </c>
      <c r="Z123" s="4" t="str">
        <f t="shared" si="127"/>
        <v>Unknown</v>
      </c>
      <c r="AA123" s="4" t="str">
        <f t="shared" si="7"/>
        <v>mww</v>
      </c>
    </row>
    <row r="124">
      <c r="A124" s="3" t="s">
        <v>413</v>
      </c>
      <c r="B124" s="3">
        <v>6.8</v>
      </c>
      <c r="C124" s="19">
        <f>Raw_Data!T124</f>
        <v>44075.17292</v>
      </c>
      <c r="D124" s="3">
        <v>6.0</v>
      </c>
      <c r="E124" s="3">
        <v>7.0</v>
      </c>
      <c r="F124" s="3" t="s">
        <v>109</v>
      </c>
      <c r="G124" s="3">
        <v>1.0</v>
      </c>
      <c r="H124" s="3">
        <v>824.0</v>
      </c>
      <c r="I124" s="3" t="s">
        <v>110</v>
      </c>
      <c r="J124" s="3">
        <v>0.0</v>
      </c>
      <c r="K124" s="3">
        <v>0.312</v>
      </c>
      <c r="L124" s="3">
        <v>69.0</v>
      </c>
      <c r="M124" s="4" t="str">
        <f>Raw_Data!X124</f>
        <v>mww</v>
      </c>
      <c r="N124" s="3">
        <v>21.0</v>
      </c>
      <c r="O124" s="3">
        <v>-28.013</v>
      </c>
      <c r="P124" s="3">
        <v>-71.1958</v>
      </c>
      <c r="Q124" s="3" t="s">
        <v>412</v>
      </c>
      <c r="R124" s="4"/>
      <c r="S124" s="3" t="s">
        <v>414</v>
      </c>
      <c r="T124" s="4" t="str">
        <f t="shared" si="2"/>
        <v>Valid</v>
      </c>
      <c r="U124" s="4">
        <f t="shared" si="3"/>
        <v>1</v>
      </c>
      <c r="V124" s="4" t="str">
        <f t="shared" si="4"/>
        <v>Unique</v>
      </c>
      <c r="W124" s="4" t="str">
        <f t="shared" si="5"/>
        <v>green</v>
      </c>
      <c r="X124" s="4" t="str">
        <f t="shared" ref="X124:Z124" si="128">IF(Q124="","Unknown",Q124)</f>
        <v>Vallenar, Chile</v>
      </c>
      <c r="Y124" s="4" t="str">
        <f t="shared" si="128"/>
        <v>Unknown</v>
      </c>
      <c r="Z124" s="4" t="str">
        <f t="shared" si="128"/>
        <v>Chile</v>
      </c>
      <c r="AA124" s="4" t="str">
        <f t="shared" si="7"/>
        <v>mww</v>
      </c>
    </row>
    <row r="125">
      <c r="A125" s="3" t="s">
        <v>415</v>
      </c>
      <c r="B125" s="3">
        <v>6.5</v>
      </c>
      <c r="C125" s="19">
        <f>Raw_Data!T125</f>
        <v>44073.88889</v>
      </c>
      <c r="D125" s="3">
        <v>4.0</v>
      </c>
      <c r="E125" s="3">
        <v>5.0</v>
      </c>
      <c r="F125" s="3" t="s">
        <v>109</v>
      </c>
      <c r="G125" s="3">
        <v>0.0</v>
      </c>
      <c r="H125" s="3">
        <v>651.0</v>
      </c>
      <c r="I125" s="3" t="s">
        <v>110</v>
      </c>
      <c r="J125" s="3">
        <v>0.0</v>
      </c>
      <c r="K125" s="3">
        <v>15.394</v>
      </c>
      <c r="L125" s="3">
        <v>31.0</v>
      </c>
      <c r="M125" s="4" t="str">
        <f>Raw_Data!X125</f>
        <v>mww</v>
      </c>
      <c r="N125" s="3">
        <v>10.0</v>
      </c>
      <c r="O125" s="3">
        <v>0.8696</v>
      </c>
      <c r="P125" s="3">
        <v>-29.7046</v>
      </c>
      <c r="Q125" s="3" t="s">
        <v>410</v>
      </c>
      <c r="R125" s="4"/>
      <c r="S125" s="4"/>
      <c r="T125" s="4" t="str">
        <f t="shared" si="2"/>
        <v>Valid</v>
      </c>
      <c r="U125" s="4">
        <f t="shared" si="3"/>
        <v>1</v>
      </c>
      <c r="V125" s="4" t="str">
        <f t="shared" si="4"/>
        <v>Unique</v>
      </c>
      <c r="W125" s="4" t="str">
        <f t="shared" si="5"/>
        <v>green</v>
      </c>
      <c r="X125" s="4" t="str">
        <f t="shared" ref="X125:Z125" si="129">IF(Q125="","Unknown",Q125)</f>
        <v>central Mid-Atlantic Ridge</v>
      </c>
      <c r="Y125" s="4" t="str">
        <f t="shared" si="129"/>
        <v>Unknown</v>
      </c>
      <c r="Z125" s="4" t="str">
        <f t="shared" si="129"/>
        <v>Unknown</v>
      </c>
      <c r="AA125" s="4" t="str">
        <f t="shared" si="7"/>
        <v>mww</v>
      </c>
    </row>
    <row r="126">
      <c r="A126" s="3" t="s">
        <v>417</v>
      </c>
      <c r="B126" s="3">
        <v>6.9</v>
      </c>
      <c r="C126" s="19">
        <f>Raw_Data!T126</f>
        <v>44064.17292</v>
      </c>
      <c r="D126" s="3">
        <v>4.0</v>
      </c>
      <c r="E126" s="3">
        <v>3.0</v>
      </c>
      <c r="F126" s="3" t="s">
        <v>109</v>
      </c>
      <c r="G126" s="3">
        <v>0.0</v>
      </c>
      <c r="H126" s="3">
        <v>749.0</v>
      </c>
      <c r="I126" s="3" t="s">
        <v>110</v>
      </c>
      <c r="J126" s="3">
        <v>0.0</v>
      </c>
      <c r="K126" s="3">
        <v>2.267</v>
      </c>
      <c r="L126" s="3">
        <v>20.0</v>
      </c>
      <c r="M126" s="4" t="str">
        <f>Raw_Data!X126</f>
        <v>mww</v>
      </c>
      <c r="N126" s="3">
        <v>624.0</v>
      </c>
      <c r="O126" s="3">
        <v>-6.6704</v>
      </c>
      <c r="P126" s="3">
        <v>123.493</v>
      </c>
      <c r="Q126" s="3" t="s">
        <v>419</v>
      </c>
      <c r="R126" s="4"/>
      <c r="S126" s="3" t="s">
        <v>153</v>
      </c>
      <c r="T126" s="4" t="str">
        <f t="shared" si="2"/>
        <v>Valid</v>
      </c>
      <c r="U126" s="4">
        <f t="shared" si="3"/>
        <v>1</v>
      </c>
      <c r="V126" s="4" t="str">
        <f t="shared" si="4"/>
        <v>Unique</v>
      </c>
      <c r="W126" s="4" t="str">
        <f t="shared" si="5"/>
        <v>green</v>
      </c>
      <c r="X126" s="4" t="str">
        <f t="shared" ref="X126:Z126" si="130">IF(Q126="","Unknown",Q126)</f>
        <v>Katabu, Indonesia</v>
      </c>
      <c r="Y126" s="4" t="str">
        <f t="shared" si="130"/>
        <v>Unknown</v>
      </c>
      <c r="Z126" s="4" t="str">
        <f t="shared" si="130"/>
        <v>Indonesia</v>
      </c>
      <c r="AA126" s="4" t="str">
        <f t="shared" si="7"/>
        <v>mww</v>
      </c>
    </row>
    <row r="127">
      <c r="A127" s="3" t="s">
        <v>420</v>
      </c>
      <c r="B127" s="3">
        <v>6.9</v>
      </c>
      <c r="C127" s="19">
        <f>Raw_Data!T127</f>
        <v>44061.93681</v>
      </c>
      <c r="D127" s="3">
        <v>4.0</v>
      </c>
      <c r="E127" s="3">
        <v>4.0</v>
      </c>
      <c r="F127" s="3" t="s">
        <v>109</v>
      </c>
      <c r="G127" s="3">
        <v>0.0</v>
      </c>
      <c r="H127" s="3">
        <v>735.0</v>
      </c>
      <c r="I127" s="3" t="s">
        <v>110</v>
      </c>
      <c r="J127" s="3">
        <v>0.0</v>
      </c>
      <c r="K127" s="3">
        <v>1.716</v>
      </c>
      <c r="L127" s="3">
        <v>25.0</v>
      </c>
      <c r="M127" s="4" t="str">
        <f>Raw_Data!X127</f>
        <v>mww</v>
      </c>
      <c r="N127" s="3">
        <v>26.0</v>
      </c>
      <c r="O127" s="3">
        <v>-4.2791</v>
      </c>
      <c r="P127" s="3">
        <v>101.215</v>
      </c>
      <c r="Q127" s="3" t="s">
        <v>217</v>
      </c>
      <c r="R127" s="4"/>
      <c r="S127" s="3" t="s">
        <v>153</v>
      </c>
      <c r="T127" s="4" t="str">
        <f t="shared" si="2"/>
        <v>Valid</v>
      </c>
      <c r="U127" s="4">
        <f t="shared" si="3"/>
        <v>1</v>
      </c>
      <c r="V127" s="4" t="str">
        <f t="shared" si="4"/>
        <v>Unique</v>
      </c>
      <c r="W127" s="4" t="str">
        <f t="shared" si="5"/>
        <v>green</v>
      </c>
      <c r="X127" s="4" t="str">
        <f t="shared" ref="X127:Z127" si="131">IF(Q127="","Unknown",Q127)</f>
        <v>Bengkulu, Indonesia</v>
      </c>
      <c r="Y127" s="4" t="str">
        <f t="shared" si="131"/>
        <v>Unknown</v>
      </c>
      <c r="Z127" s="4" t="str">
        <f t="shared" si="131"/>
        <v>Indonesia</v>
      </c>
      <c r="AA127" s="4" t="str">
        <f t="shared" si="7"/>
        <v>mww</v>
      </c>
    </row>
    <row r="128">
      <c r="A128" s="3" t="s">
        <v>422</v>
      </c>
      <c r="B128" s="3">
        <v>6.8</v>
      </c>
      <c r="C128" s="19">
        <f>Raw_Data!T128</f>
        <v>44061.93264</v>
      </c>
      <c r="D128" s="3">
        <v>5.0</v>
      </c>
      <c r="E128" s="3">
        <v>4.0</v>
      </c>
      <c r="F128" s="3" t="s">
        <v>109</v>
      </c>
      <c r="G128" s="3">
        <v>0.0</v>
      </c>
      <c r="H128" s="3">
        <v>716.0</v>
      </c>
      <c r="I128" s="3" t="s">
        <v>110</v>
      </c>
      <c r="J128" s="3">
        <v>0.0</v>
      </c>
      <c r="K128" s="3">
        <v>1.816</v>
      </c>
      <c r="L128" s="3">
        <v>34.0</v>
      </c>
      <c r="M128" s="4" t="str">
        <f>Raw_Data!X128</f>
        <v>mww</v>
      </c>
      <c r="N128" s="3">
        <v>22.0</v>
      </c>
      <c r="O128" s="3">
        <v>-4.3724</v>
      </c>
      <c r="P128" s="3">
        <v>101.095</v>
      </c>
      <c r="Q128" s="3" t="s">
        <v>217</v>
      </c>
      <c r="R128" s="4"/>
      <c r="S128" s="3" t="s">
        <v>153</v>
      </c>
      <c r="T128" s="4" t="str">
        <f t="shared" si="2"/>
        <v>Valid</v>
      </c>
      <c r="U128" s="4">
        <f t="shared" si="3"/>
        <v>1</v>
      </c>
      <c r="V128" s="4" t="str">
        <f t="shared" si="4"/>
        <v>Unique</v>
      </c>
      <c r="W128" s="4" t="str">
        <f t="shared" si="5"/>
        <v>green</v>
      </c>
      <c r="X128" s="4" t="str">
        <f t="shared" ref="X128:Z128" si="132">IF(Q128="","Unknown",Q128)</f>
        <v>Bengkulu, Indonesia</v>
      </c>
      <c r="Y128" s="4" t="str">
        <f t="shared" si="132"/>
        <v>Unknown</v>
      </c>
      <c r="Z128" s="4" t="str">
        <f t="shared" si="132"/>
        <v>Indonesia</v>
      </c>
      <c r="AA128" s="4" t="str">
        <f t="shared" si="7"/>
        <v>mww</v>
      </c>
    </row>
    <row r="129">
      <c r="A129" s="3" t="s">
        <v>424</v>
      </c>
      <c r="B129" s="3">
        <v>6.6</v>
      </c>
      <c r="C129" s="19">
        <f>Raw_Data!T129</f>
        <v>44061.00208</v>
      </c>
      <c r="D129" s="3">
        <v>9.0</v>
      </c>
      <c r="E129" s="3">
        <v>8.0</v>
      </c>
      <c r="F129" s="3" t="s">
        <v>116</v>
      </c>
      <c r="G129" s="3">
        <v>1.0</v>
      </c>
      <c r="H129" s="3">
        <v>784.0</v>
      </c>
      <c r="I129" s="3" t="s">
        <v>110</v>
      </c>
      <c r="J129" s="3">
        <v>0.0</v>
      </c>
      <c r="K129" s="3">
        <v>5.128</v>
      </c>
      <c r="L129" s="3">
        <v>14.0</v>
      </c>
      <c r="M129" s="4" t="str">
        <f>Raw_Data!X129</f>
        <v>mww</v>
      </c>
      <c r="N129" s="3">
        <v>10.0</v>
      </c>
      <c r="O129" s="3">
        <v>12.0065</v>
      </c>
      <c r="P129" s="3">
        <v>124.13</v>
      </c>
      <c r="Q129" s="3" t="s">
        <v>426</v>
      </c>
      <c r="R129" s="4"/>
      <c r="S129" s="3" t="s">
        <v>258</v>
      </c>
      <c r="T129" s="4" t="str">
        <f t="shared" si="2"/>
        <v>Valid</v>
      </c>
      <c r="U129" s="4">
        <f t="shared" si="3"/>
        <v>1</v>
      </c>
      <c r="V129" s="4" t="str">
        <f t="shared" si="4"/>
        <v>Unique</v>
      </c>
      <c r="W129" s="4" t="str">
        <f t="shared" si="5"/>
        <v>yellow</v>
      </c>
      <c r="X129" s="4" t="str">
        <f t="shared" ref="X129:Z129" si="133">IF(Q129="","Unknown",Q129)</f>
        <v>San Pedro, Philippines</v>
      </c>
      <c r="Y129" s="4" t="str">
        <f t="shared" si="133"/>
        <v>Unknown</v>
      </c>
      <c r="Z129" s="4" t="str">
        <f t="shared" si="133"/>
        <v>Philippines</v>
      </c>
      <c r="AA129" s="4" t="str">
        <f t="shared" si="7"/>
        <v>mww</v>
      </c>
    </row>
    <row r="130">
      <c r="A130" s="3" t="s">
        <v>427</v>
      </c>
      <c r="B130" s="3">
        <v>7.8</v>
      </c>
      <c r="C130" s="19">
        <f>Raw_Data!T130</f>
        <v>44034.25833</v>
      </c>
      <c r="D130" s="3">
        <v>9.0</v>
      </c>
      <c r="E130" s="3">
        <v>7.0</v>
      </c>
      <c r="F130" s="3" t="s">
        <v>109</v>
      </c>
      <c r="G130" s="3">
        <v>1.0</v>
      </c>
      <c r="H130" s="3">
        <v>1111.0</v>
      </c>
      <c r="I130" s="3" t="s">
        <v>110</v>
      </c>
      <c r="J130" s="3">
        <v>0.0</v>
      </c>
      <c r="K130" s="3">
        <v>0.621</v>
      </c>
      <c r="L130" s="3">
        <v>60.0</v>
      </c>
      <c r="M130" s="4" t="str">
        <f>Raw_Data!X130</f>
        <v>mww</v>
      </c>
      <c r="N130" s="3">
        <v>28.0</v>
      </c>
      <c r="O130" s="3">
        <v>55.1079</v>
      </c>
      <c r="P130" s="3">
        <v>-158.477</v>
      </c>
      <c r="Q130" s="3" t="s">
        <v>343</v>
      </c>
      <c r="R130" s="4"/>
      <c r="S130" s="4"/>
      <c r="T130" s="4" t="str">
        <f t="shared" si="2"/>
        <v>Valid</v>
      </c>
      <c r="U130" s="4">
        <f t="shared" si="3"/>
        <v>1</v>
      </c>
      <c r="V130" s="4" t="str">
        <f t="shared" si="4"/>
        <v>Unique</v>
      </c>
      <c r="W130" s="4" t="str">
        <f t="shared" si="5"/>
        <v>green</v>
      </c>
      <c r="X130" s="4" t="str">
        <f t="shared" ref="X130:Z130" si="134">IF(Q130="","Unknown",Q130)</f>
        <v>Perryville, Alaska</v>
      </c>
      <c r="Y130" s="4" t="str">
        <f t="shared" si="134"/>
        <v>Unknown</v>
      </c>
      <c r="Z130" s="4" t="str">
        <f t="shared" si="134"/>
        <v>Unknown</v>
      </c>
      <c r="AA130" s="4" t="str">
        <f t="shared" si="7"/>
        <v>mww</v>
      </c>
    </row>
    <row r="131">
      <c r="A131" s="3" t="s">
        <v>429</v>
      </c>
      <c r="B131" s="3">
        <v>7.0</v>
      </c>
      <c r="C131" s="19">
        <f>Raw_Data!T131</f>
        <v>44029.11806</v>
      </c>
      <c r="D131" s="3">
        <v>6.0</v>
      </c>
      <c r="E131" s="3">
        <v>7.0</v>
      </c>
      <c r="F131" s="3" t="s">
        <v>109</v>
      </c>
      <c r="G131" s="3">
        <v>1.0</v>
      </c>
      <c r="H131" s="3">
        <v>820.0</v>
      </c>
      <c r="I131" s="3" t="s">
        <v>110</v>
      </c>
      <c r="J131" s="3">
        <v>0.0</v>
      </c>
      <c r="K131" s="3">
        <v>1.671</v>
      </c>
      <c r="L131" s="3">
        <v>18.0</v>
      </c>
      <c r="M131" s="4" t="str">
        <f>Raw_Data!X131</f>
        <v>mww</v>
      </c>
      <c r="N131" s="3">
        <v>73.0</v>
      </c>
      <c r="O131" s="3">
        <v>-7.847</v>
      </c>
      <c r="P131" s="3">
        <v>147.755</v>
      </c>
      <c r="Q131" s="3" t="s">
        <v>431</v>
      </c>
      <c r="R131" s="4"/>
      <c r="S131" s="3" t="s">
        <v>168</v>
      </c>
      <c r="T131" s="4" t="str">
        <f t="shared" si="2"/>
        <v>Valid</v>
      </c>
      <c r="U131" s="4">
        <f t="shared" si="3"/>
        <v>1</v>
      </c>
      <c r="V131" s="4" t="str">
        <f t="shared" si="4"/>
        <v>Unique</v>
      </c>
      <c r="W131" s="4" t="str">
        <f t="shared" si="5"/>
        <v>green</v>
      </c>
      <c r="X131" s="4" t="str">
        <f t="shared" ref="X131:Z131" si="135">IF(Q131="","Unknown",Q131)</f>
        <v>Popondetta, Papua New Guinea</v>
      </c>
      <c r="Y131" s="4" t="str">
        <f t="shared" si="135"/>
        <v>Unknown</v>
      </c>
      <c r="Z131" s="4" t="str">
        <f t="shared" si="135"/>
        <v>Papua New Guinea</v>
      </c>
      <c r="AA131" s="4" t="str">
        <f t="shared" si="7"/>
        <v>mww</v>
      </c>
    </row>
    <row r="132">
      <c r="A132" s="3" t="s">
        <v>432</v>
      </c>
      <c r="B132" s="3">
        <v>6.6</v>
      </c>
      <c r="C132" s="19">
        <f>Raw_Data!T132</f>
        <v>44018.95417</v>
      </c>
      <c r="D132" s="3">
        <v>4.0</v>
      </c>
      <c r="E132" s="3">
        <v>2.0</v>
      </c>
      <c r="F132" s="3" t="s">
        <v>109</v>
      </c>
      <c r="G132" s="3">
        <v>0.0</v>
      </c>
      <c r="H132" s="3">
        <v>684.0</v>
      </c>
      <c r="I132" s="3" t="s">
        <v>110</v>
      </c>
      <c r="J132" s="3">
        <v>0.0</v>
      </c>
      <c r="K132" s="3">
        <v>1.458</v>
      </c>
      <c r="L132" s="3">
        <v>14.0</v>
      </c>
      <c r="M132" s="4" t="str">
        <f>Raw_Data!X132</f>
        <v>mww</v>
      </c>
      <c r="N132" s="3">
        <v>533.76</v>
      </c>
      <c r="O132" s="3">
        <v>-5.6368</v>
      </c>
      <c r="P132" s="3">
        <v>110.678</v>
      </c>
      <c r="Q132" s="3" t="s">
        <v>433</v>
      </c>
      <c r="R132" s="4"/>
      <c r="S132" s="3" t="s">
        <v>153</v>
      </c>
      <c r="T132" s="4" t="str">
        <f t="shared" si="2"/>
        <v>Valid</v>
      </c>
      <c r="U132" s="4">
        <f t="shared" si="3"/>
        <v>1</v>
      </c>
      <c r="V132" s="4" t="str">
        <f t="shared" si="4"/>
        <v>Unique</v>
      </c>
      <c r="W132" s="4" t="str">
        <f t="shared" si="5"/>
        <v>green</v>
      </c>
      <c r="X132" s="4" t="str">
        <f t="shared" ref="X132:Z132" si="136">IF(Q132="","Unknown",Q132)</f>
        <v>Batang, Indonesia</v>
      </c>
      <c r="Y132" s="4" t="str">
        <f t="shared" si="136"/>
        <v>Unknown</v>
      </c>
      <c r="Z132" s="4" t="str">
        <f t="shared" si="136"/>
        <v>Indonesia</v>
      </c>
      <c r="AA132" s="4" t="str">
        <f t="shared" si="7"/>
        <v>mww</v>
      </c>
    </row>
    <row r="133">
      <c r="A133" s="3" t="s">
        <v>434</v>
      </c>
      <c r="B133" s="3">
        <v>7.4</v>
      </c>
      <c r="C133" s="19">
        <f>Raw_Data!T133</f>
        <v>44005.64514</v>
      </c>
      <c r="D133" s="3">
        <v>8.0</v>
      </c>
      <c r="E133" s="3">
        <v>8.0</v>
      </c>
      <c r="F133" s="3" t="s">
        <v>178</v>
      </c>
      <c r="G133" s="3">
        <v>1.0</v>
      </c>
      <c r="H133" s="3">
        <v>1494.0</v>
      </c>
      <c r="I133" s="3" t="s">
        <v>110</v>
      </c>
      <c r="J133" s="3">
        <v>0.0</v>
      </c>
      <c r="K133" s="3">
        <v>0.151</v>
      </c>
      <c r="L133" s="3">
        <v>30.0</v>
      </c>
      <c r="M133" s="4" t="str">
        <f>Raw_Data!X133</f>
        <v>mww</v>
      </c>
      <c r="N133" s="3">
        <v>20.0</v>
      </c>
      <c r="O133" s="3">
        <v>15.9163</v>
      </c>
      <c r="P133" s="3">
        <v>-95.9533</v>
      </c>
      <c r="Q133" s="3" t="s">
        <v>436</v>
      </c>
      <c r="R133" s="3" t="s">
        <v>233</v>
      </c>
      <c r="S133" s="3" t="s">
        <v>234</v>
      </c>
      <c r="T133" s="4" t="str">
        <f t="shared" si="2"/>
        <v>Valid</v>
      </c>
      <c r="U133" s="4">
        <f t="shared" si="3"/>
        <v>1</v>
      </c>
      <c r="V133" s="4" t="str">
        <f t="shared" si="4"/>
        <v>Unique</v>
      </c>
      <c r="W133" s="4" t="str">
        <f t="shared" si="5"/>
        <v>orange</v>
      </c>
      <c r="X133" s="4" t="str">
        <f t="shared" ref="X133:Z133" si="137">IF(Q133="","Unknown",Q133)</f>
        <v>Santa María Xadani, Mexico</v>
      </c>
      <c r="Y133" s="4" t="str">
        <f t="shared" si="137"/>
        <v>North America</v>
      </c>
      <c r="Z133" s="4" t="str">
        <f t="shared" si="137"/>
        <v>Mexico</v>
      </c>
      <c r="AA133" s="4" t="str">
        <f t="shared" si="7"/>
        <v>mww</v>
      </c>
    </row>
    <row r="134">
      <c r="A134" s="3" t="s">
        <v>437</v>
      </c>
      <c r="B134" s="3">
        <v>7.4</v>
      </c>
      <c r="C134" s="19">
        <f>Raw_Data!T134</f>
        <v>44000.53403</v>
      </c>
      <c r="D134" s="3">
        <v>7.0</v>
      </c>
      <c r="E134" s="3">
        <v>7.0</v>
      </c>
      <c r="F134" s="3" t="s">
        <v>109</v>
      </c>
      <c r="G134" s="3">
        <v>1.0</v>
      </c>
      <c r="H134" s="3">
        <v>873.0</v>
      </c>
      <c r="I134" s="3" t="s">
        <v>110</v>
      </c>
      <c r="J134" s="3">
        <v>0.0</v>
      </c>
      <c r="K134" s="3">
        <v>4.035</v>
      </c>
      <c r="L134" s="3">
        <v>23.0</v>
      </c>
      <c r="M134" s="4" t="str">
        <f>Raw_Data!X134</f>
        <v>mww</v>
      </c>
      <c r="N134" s="3">
        <v>10.0</v>
      </c>
      <c r="O134" s="3">
        <v>-33.2938</v>
      </c>
      <c r="P134" s="3">
        <v>-177.838</v>
      </c>
      <c r="Q134" s="3" t="s">
        <v>254</v>
      </c>
      <c r="R134" s="4"/>
      <c r="S134" s="4"/>
      <c r="T134" s="4" t="str">
        <f t="shared" si="2"/>
        <v>Valid</v>
      </c>
      <c r="U134" s="4">
        <f t="shared" si="3"/>
        <v>1</v>
      </c>
      <c r="V134" s="4" t="str">
        <f t="shared" si="4"/>
        <v>Unique</v>
      </c>
      <c r="W134" s="4" t="str">
        <f t="shared" si="5"/>
        <v>green</v>
      </c>
      <c r="X134" s="4" t="str">
        <f t="shared" ref="X134:Z134" si="138">IF(Q134="","Unknown",Q134)</f>
        <v>the Kermadec Islands</v>
      </c>
      <c r="Y134" s="4" t="str">
        <f t="shared" si="138"/>
        <v>Unknown</v>
      </c>
      <c r="Z134" s="4" t="str">
        <f t="shared" si="138"/>
        <v>Unknown</v>
      </c>
      <c r="AA134" s="4" t="str">
        <f t="shared" si="7"/>
        <v>mww</v>
      </c>
    </row>
    <row r="135">
      <c r="A135" s="3" t="s">
        <v>439</v>
      </c>
      <c r="B135" s="3">
        <v>6.6</v>
      </c>
      <c r="C135" s="19">
        <f>Raw_Data!T135</f>
        <v>43995.66042</v>
      </c>
      <c r="D135" s="3">
        <v>5.0</v>
      </c>
      <c r="E135" s="3">
        <v>4.0</v>
      </c>
      <c r="F135" s="3" t="s">
        <v>109</v>
      </c>
      <c r="G135" s="3">
        <v>1.0</v>
      </c>
      <c r="H135" s="3">
        <v>734.0</v>
      </c>
      <c r="I135" s="3" t="s">
        <v>110</v>
      </c>
      <c r="J135" s="3">
        <v>0.0</v>
      </c>
      <c r="K135" s="3">
        <v>2.015</v>
      </c>
      <c r="L135" s="3">
        <v>18.0</v>
      </c>
      <c r="M135" s="4" t="str">
        <f>Raw_Data!X135</f>
        <v>mww</v>
      </c>
      <c r="N135" s="3">
        <v>165.0</v>
      </c>
      <c r="O135" s="3">
        <v>28.9386</v>
      </c>
      <c r="P135" s="3">
        <v>128.262</v>
      </c>
      <c r="Q135" s="3" t="s">
        <v>441</v>
      </c>
      <c r="R135" s="4"/>
      <c r="S135" s="4"/>
      <c r="T135" s="4" t="str">
        <f t="shared" si="2"/>
        <v>Valid</v>
      </c>
      <c r="U135" s="4">
        <f t="shared" si="3"/>
        <v>1</v>
      </c>
      <c r="V135" s="4" t="str">
        <f t="shared" si="4"/>
        <v>Unique</v>
      </c>
      <c r="W135" s="4" t="str">
        <f t="shared" si="5"/>
        <v>green</v>
      </c>
      <c r="X135" s="4" t="str">
        <f t="shared" ref="X135:Z135" si="139">IF(Q135="","Unknown",Q135)</f>
        <v>Naze, Japan</v>
      </c>
      <c r="Y135" s="4" t="str">
        <f t="shared" si="139"/>
        <v>Unknown</v>
      </c>
      <c r="Z135" s="4" t="str">
        <f t="shared" si="139"/>
        <v>Unknown</v>
      </c>
      <c r="AA135" s="4" t="str">
        <f t="shared" si="7"/>
        <v>mww</v>
      </c>
    </row>
    <row r="136">
      <c r="A136" s="3" t="s">
        <v>442</v>
      </c>
      <c r="B136" s="3">
        <v>6.8</v>
      </c>
      <c r="C136" s="19">
        <f>Raw_Data!T136</f>
        <v>43985.31597</v>
      </c>
      <c r="D136" s="3">
        <v>6.0</v>
      </c>
      <c r="E136" s="3">
        <v>6.0</v>
      </c>
      <c r="F136" s="3" t="s">
        <v>109</v>
      </c>
      <c r="G136" s="3">
        <v>1.0</v>
      </c>
      <c r="H136" s="3">
        <v>835.0</v>
      </c>
      <c r="I136" s="3" t="s">
        <v>110</v>
      </c>
      <c r="J136" s="3">
        <v>0.0</v>
      </c>
      <c r="K136" s="3">
        <v>1.164</v>
      </c>
      <c r="L136" s="3">
        <v>21.0</v>
      </c>
      <c r="M136" s="4" t="str">
        <f>Raw_Data!X136</f>
        <v>mww</v>
      </c>
      <c r="N136" s="3">
        <v>112.0</v>
      </c>
      <c r="O136" s="3">
        <v>-23.2966</v>
      </c>
      <c r="P136" s="3">
        <v>-68.4204</v>
      </c>
      <c r="Q136" s="3" t="s">
        <v>443</v>
      </c>
      <c r="R136" s="3" t="s">
        <v>121</v>
      </c>
      <c r="S136" s="3" t="s">
        <v>414</v>
      </c>
      <c r="T136" s="4" t="str">
        <f t="shared" si="2"/>
        <v>Valid</v>
      </c>
      <c r="U136" s="4">
        <f t="shared" si="3"/>
        <v>1</v>
      </c>
      <c r="V136" s="4" t="str">
        <f t="shared" si="4"/>
        <v>Unique</v>
      </c>
      <c r="W136" s="4" t="str">
        <f t="shared" si="5"/>
        <v>green</v>
      </c>
      <c r="X136" s="4" t="str">
        <f t="shared" ref="X136:Z136" si="140">IF(Q136="","Unknown",Q136)</f>
        <v>San Pedro de Atacama, Chile</v>
      </c>
      <c r="Y136" s="4" t="str">
        <f t="shared" si="140"/>
        <v>South America</v>
      </c>
      <c r="Z136" s="4" t="str">
        <f t="shared" si="140"/>
        <v>Chile</v>
      </c>
      <c r="AA136" s="4" t="str">
        <f t="shared" si="7"/>
        <v>mww</v>
      </c>
    </row>
    <row r="137">
      <c r="A137" s="3" t="s">
        <v>444</v>
      </c>
      <c r="B137" s="3">
        <v>6.5</v>
      </c>
      <c r="C137" s="19">
        <f>Raw_Data!T137</f>
        <v>43966.46042</v>
      </c>
      <c r="D137" s="3">
        <v>7.0</v>
      </c>
      <c r="E137" s="3">
        <v>8.0</v>
      </c>
      <c r="F137" s="3" t="s">
        <v>109</v>
      </c>
      <c r="G137" s="3">
        <v>0.0</v>
      </c>
      <c r="H137" s="3">
        <v>1320.0</v>
      </c>
      <c r="I137" s="3" t="s">
        <v>446</v>
      </c>
      <c r="J137" s="3">
        <v>27.0</v>
      </c>
      <c r="K137" s="3">
        <v>0.357</v>
      </c>
      <c r="L137" s="3">
        <v>55.79</v>
      </c>
      <c r="M137" s="4" t="str">
        <f>Raw_Data!X137</f>
        <v>ml</v>
      </c>
      <c r="N137" s="3">
        <v>2.7</v>
      </c>
      <c r="O137" s="3">
        <v>38.1689</v>
      </c>
      <c r="P137" s="3">
        <v>-117.85</v>
      </c>
      <c r="Q137" s="3" t="s">
        <v>448</v>
      </c>
      <c r="R137" s="3" t="s">
        <v>233</v>
      </c>
      <c r="S137" s="3" t="s">
        <v>318</v>
      </c>
      <c r="T137" s="4" t="str">
        <f t="shared" si="2"/>
        <v>Valid</v>
      </c>
      <c r="U137" s="4">
        <f t="shared" si="3"/>
        <v>1</v>
      </c>
      <c r="V137" s="4" t="str">
        <f t="shared" si="4"/>
        <v>Unique</v>
      </c>
      <c r="W137" s="4" t="str">
        <f t="shared" si="5"/>
        <v>green</v>
      </c>
      <c r="X137" s="4" t="str">
        <f t="shared" ref="X137:Z137" si="141">IF(Q137="","Unknown",Q137)</f>
        <v>Monte Cristo Range, NV Earthquake</v>
      </c>
      <c r="Y137" s="4" t="str">
        <f t="shared" si="141"/>
        <v>North America</v>
      </c>
      <c r="Z137" s="4" t="str">
        <f t="shared" si="141"/>
        <v>United States of America</v>
      </c>
      <c r="AA137" s="4" t="str">
        <f t="shared" si="7"/>
        <v>ml</v>
      </c>
    </row>
    <row r="138">
      <c r="A138" s="3" t="s">
        <v>449</v>
      </c>
      <c r="B138" s="3">
        <v>6.6</v>
      </c>
      <c r="C138" s="19">
        <f>Raw_Data!T138</f>
        <v>43963.94514</v>
      </c>
      <c r="D138" s="3">
        <v>4.0</v>
      </c>
      <c r="E138" s="3">
        <v>6.0</v>
      </c>
      <c r="F138" s="3" t="s">
        <v>109</v>
      </c>
      <c r="G138" s="3">
        <v>1.0</v>
      </c>
      <c r="H138" s="3">
        <v>671.0</v>
      </c>
      <c r="I138" s="3" t="s">
        <v>110</v>
      </c>
      <c r="J138" s="3">
        <v>0.0</v>
      </c>
      <c r="K138" s="3">
        <v>3.403</v>
      </c>
      <c r="L138" s="3">
        <v>12.0</v>
      </c>
      <c r="M138" s="4" t="str">
        <f>Raw_Data!X138</f>
        <v>mww</v>
      </c>
      <c r="N138" s="3">
        <v>107.0</v>
      </c>
      <c r="O138" s="3">
        <v>-12.0662</v>
      </c>
      <c r="P138" s="3">
        <v>166.648</v>
      </c>
      <c r="Q138" s="3" t="s">
        <v>450</v>
      </c>
      <c r="R138" s="4"/>
      <c r="S138" s="4"/>
      <c r="T138" s="4" t="str">
        <f t="shared" si="2"/>
        <v>Valid</v>
      </c>
      <c r="U138" s="4">
        <f t="shared" si="3"/>
        <v>1</v>
      </c>
      <c r="V138" s="4" t="str">
        <f t="shared" si="4"/>
        <v>Unique</v>
      </c>
      <c r="W138" s="4" t="str">
        <f t="shared" si="5"/>
        <v>green</v>
      </c>
      <c r="X138" s="4" t="str">
        <f t="shared" ref="X138:Z138" si="142">IF(Q138="","Unknown",Q138)</f>
        <v>Lata, Solomon Islands</v>
      </c>
      <c r="Y138" s="4" t="str">
        <f t="shared" si="142"/>
        <v>Unknown</v>
      </c>
      <c r="Z138" s="4" t="str">
        <f t="shared" si="142"/>
        <v>Unknown</v>
      </c>
      <c r="AA138" s="4" t="str">
        <f t="shared" si="7"/>
        <v>mww</v>
      </c>
    </row>
    <row r="139">
      <c r="A139" s="3" t="s">
        <v>451</v>
      </c>
      <c r="B139" s="3">
        <v>6.8</v>
      </c>
      <c r="C139" s="19">
        <f>Raw_Data!T139</f>
        <v>43957.57847</v>
      </c>
      <c r="D139" s="3">
        <v>4.0</v>
      </c>
      <c r="E139" s="3">
        <v>6.0</v>
      </c>
      <c r="F139" s="3" t="s">
        <v>109</v>
      </c>
      <c r="G139" s="3">
        <v>0.0</v>
      </c>
      <c r="H139" s="3">
        <v>738.0</v>
      </c>
      <c r="I139" s="3" t="s">
        <v>110</v>
      </c>
      <c r="J139" s="3">
        <v>0.0</v>
      </c>
      <c r="K139" s="3">
        <v>1.921</v>
      </c>
      <c r="L139" s="3">
        <v>16.0</v>
      </c>
      <c r="M139" s="4" t="str">
        <f>Raw_Data!X139</f>
        <v>mww</v>
      </c>
      <c r="N139" s="3">
        <v>96.0</v>
      </c>
      <c r="O139" s="3">
        <v>-6.7762</v>
      </c>
      <c r="P139" s="3">
        <v>129.785</v>
      </c>
      <c r="Q139" s="3" t="s">
        <v>452</v>
      </c>
      <c r="R139" s="4"/>
      <c r="S139" s="3" t="s">
        <v>153</v>
      </c>
      <c r="T139" s="4" t="str">
        <f t="shared" si="2"/>
        <v>Valid</v>
      </c>
      <c r="U139" s="4">
        <f t="shared" si="3"/>
        <v>1</v>
      </c>
      <c r="V139" s="4" t="str">
        <f t="shared" si="4"/>
        <v>Unique</v>
      </c>
      <c r="W139" s="4" t="str">
        <f t="shared" si="5"/>
        <v>green</v>
      </c>
      <c r="X139" s="4" t="str">
        <f t="shared" ref="X139:Z139" si="143">IF(Q139="","Unknown",Q139)</f>
        <v>Banda Sea</v>
      </c>
      <c r="Y139" s="4" t="str">
        <f t="shared" si="143"/>
        <v>Unknown</v>
      </c>
      <c r="Z139" s="4" t="str">
        <f t="shared" si="143"/>
        <v>Indonesia</v>
      </c>
      <c r="AA139" s="4" t="str">
        <f t="shared" si="7"/>
        <v>mww</v>
      </c>
    </row>
    <row r="140">
      <c r="A140" s="3" t="s">
        <v>453</v>
      </c>
      <c r="B140" s="3">
        <v>6.5</v>
      </c>
      <c r="C140" s="19">
        <f>Raw_Data!T140</f>
        <v>43953.53542</v>
      </c>
      <c r="D140" s="3">
        <v>7.0</v>
      </c>
      <c r="E140" s="3">
        <v>6.0</v>
      </c>
      <c r="F140" s="3" t="s">
        <v>109</v>
      </c>
      <c r="G140" s="3">
        <v>0.0</v>
      </c>
      <c r="H140" s="3">
        <v>678.0</v>
      </c>
      <c r="I140" s="3" t="s">
        <v>110</v>
      </c>
      <c r="J140" s="3">
        <v>0.0</v>
      </c>
      <c r="K140" s="3">
        <v>1.293</v>
      </c>
      <c r="L140" s="3">
        <v>19.0</v>
      </c>
      <c r="M140" s="4" t="str">
        <f>Raw_Data!X140</f>
        <v>mww</v>
      </c>
      <c r="N140" s="3">
        <v>10.0</v>
      </c>
      <c r="O140" s="3">
        <v>34.1818</v>
      </c>
      <c r="P140" s="3">
        <v>25.7101</v>
      </c>
      <c r="Q140" s="3" t="s">
        <v>454</v>
      </c>
      <c r="R140" s="4"/>
      <c r="S140" s="4"/>
      <c r="T140" s="4" t="str">
        <f t="shared" si="2"/>
        <v>Valid</v>
      </c>
      <c r="U140" s="4">
        <f t="shared" si="3"/>
        <v>1</v>
      </c>
      <c r="V140" s="4" t="str">
        <f t="shared" si="4"/>
        <v>Unique</v>
      </c>
      <c r="W140" s="4" t="str">
        <f t="shared" si="5"/>
        <v>green</v>
      </c>
      <c r="X140" s="4" t="str">
        <f t="shared" ref="X140:Z140" si="144">IF(Q140="","Unknown",Q140)</f>
        <v>Néa Anatolí, Greece</v>
      </c>
      <c r="Y140" s="4" t="str">
        <f t="shared" si="144"/>
        <v>Unknown</v>
      </c>
      <c r="Z140" s="4" t="str">
        <f t="shared" si="144"/>
        <v>Unknown</v>
      </c>
      <c r="AA140" s="4" t="str">
        <f t="shared" si="7"/>
        <v>mww</v>
      </c>
    </row>
    <row r="141">
      <c r="A141" s="3" t="s">
        <v>455</v>
      </c>
      <c r="B141" s="3">
        <v>6.5</v>
      </c>
      <c r="C141" s="19">
        <f>Raw_Data!T141</f>
        <v>43921.99444</v>
      </c>
      <c r="D141" s="3">
        <v>8.0</v>
      </c>
      <c r="E141" s="3">
        <v>8.0</v>
      </c>
      <c r="F141" s="3" t="s">
        <v>109</v>
      </c>
      <c r="G141" s="3">
        <v>0.0</v>
      </c>
      <c r="H141" s="3">
        <v>1410.0</v>
      </c>
      <c r="I141" s="3" t="s">
        <v>110</v>
      </c>
      <c r="J141" s="3">
        <v>0.0</v>
      </c>
      <c r="K141" s="3">
        <v>0.885</v>
      </c>
      <c r="L141" s="3">
        <v>31.0</v>
      </c>
      <c r="M141" s="4" t="str">
        <f>Raw_Data!X141</f>
        <v>mww</v>
      </c>
      <c r="N141" s="3">
        <v>12.06</v>
      </c>
      <c r="O141" s="3">
        <v>44.4646</v>
      </c>
      <c r="P141" s="3">
        <v>-115.118</v>
      </c>
      <c r="Q141" s="3" t="s">
        <v>457</v>
      </c>
      <c r="R141" s="3" t="s">
        <v>233</v>
      </c>
      <c r="S141" s="3" t="s">
        <v>318</v>
      </c>
      <c r="T141" s="4" t="str">
        <f t="shared" si="2"/>
        <v>Valid</v>
      </c>
      <c r="U141" s="4">
        <f t="shared" si="3"/>
        <v>1</v>
      </c>
      <c r="V141" s="4" t="str">
        <f t="shared" si="4"/>
        <v>Unique</v>
      </c>
      <c r="W141" s="4" t="str">
        <f t="shared" si="5"/>
        <v>green</v>
      </c>
      <c r="X141" s="4" t="str">
        <f t="shared" ref="X141:Z141" si="145">IF(Q141="","Unknown",Q141)</f>
        <v>Stanley, Idaho</v>
      </c>
      <c r="Y141" s="4" t="str">
        <f t="shared" si="145"/>
        <v>North America</v>
      </c>
      <c r="Z141" s="4" t="str">
        <f t="shared" si="145"/>
        <v>United States of America</v>
      </c>
      <c r="AA141" s="4" t="str">
        <f t="shared" si="7"/>
        <v>mww</v>
      </c>
    </row>
    <row r="142">
      <c r="A142" s="3" t="s">
        <v>458</v>
      </c>
      <c r="B142" s="3">
        <v>7.5</v>
      </c>
      <c r="C142" s="19">
        <f>Raw_Data!T142</f>
        <v>43915.11736</v>
      </c>
      <c r="D142" s="3">
        <v>6.0</v>
      </c>
      <c r="E142" s="3">
        <v>5.0</v>
      </c>
      <c r="F142" s="3" t="s">
        <v>109</v>
      </c>
      <c r="G142" s="3">
        <v>1.0</v>
      </c>
      <c r="H142" s="3">
        <v>879.0</v>
      </c>
      <c r="I142" s="3" t="s">
        <v>110</v>
      </c>
      <c r="J142" s="3">
        <v>0.0</v>
      </c>
      <c r="K142" s="3">
        <v>4.109</v>
      </c>
      <c r="L142" s="3">
        <v>12.0</v>
      </c>
      <c r="M142" s="4" t="str">
        <f>Raw_Data!X142</f>
        <v>mww</v>
      </c>
      <c r="N142" s="3">
        <v>57.8</v>
      </c>
      <c r="O142" s="3">
        <v>48.9638</v>
      </c>
      <c r="P142" s="3">
        <v>157.695</v>
      </c>
      <c r="Q142" s="3" t="s">
        <v>460</v>
      </c>
      <c r="R142" s="4"/>
      <c r="S142" s="4"/>
      <c r="T142" s="4" t="str">
        <f t="shared" si="2"/>
        <v>Valid</v>
      </c>
      <c r="U142" s="4">
        <f t="shared" si="3"/>
        <v>1</v>
      </c>
      <c r="V142" s="4" t="str">
        <f t="shared" si="4"/>
        <v>Unique</v>
      </c>
      <c r="W142" s="4" t="str">
        <f t="shared" si="5"/>
        <v>green</v>
      </c>
      <c r="X142" s="4" t="str">
        <f t="shared" ref="X142:Z142" si="146">IF(Q142="","Unknown",Q142)</f>
        <v>Severo-Kuril’sk, Russia</v>
      </c>
      <c r="Y142" s="4" t="str">
        <f t="shared" si="146"/>
        <v>Unknown</v>
      </c>
      <c r="Z142" s="4" t="str">
        <f t="shared" si="146"/>
        <v>Unknown</v>
      </c>
      <c r="AA142" s="4" t="str">
        <f t="shared" si="7"/>
        <v>mww</v>
      </c>
    </row>
    <row r="143">
      <c r="A143" s="3" t="s">
        <v>461</v>
      </c>
      <c r="B143" s="3">
        <v>7.0</v>
      </c>
      <c r="C143" s="19">
        <f>Raw_Data!T143</f>
        <v>43874.43958</v>
      </c>
      <c r="D143" s="3">
        <v>5.0</v>
      </c>
      <c r="E143" s="3">
        <v>6.0</v>
      </c>
      <c r="F143" s="3" t="s">
        <v>116</v>
      </c>
      <c r="G143" s="3">
        <v>1.0</v>
      </c>
      <c r="H143" s="3">
        <v>770.0</v>
      </c>
      <c r="I143" s="3" t="s">
        <v>110</v>
      </c>
      <c r="J143" s="3">
        <v>0.0</v>
      </c>
      <c r="K143" s="3">
        <v>4.501</v>
      </c>
      <c r="L143" s="3">
        <v>25.0</v>
      </c>
      <c r="M143" s="4" t="str">
        <f>Raw_Data!X143</f>
        <v>mww</v>
      </c>
      <c r="N143" s="3">
        <v>143.0</v>
      </c>
      <c r="O143" s="3">
        <v>45.6161</v>
      </c>
      <c r="P143" s="3">
        <v>148.959</v>
      </c>
      <c r="Q143" s="3" t="s">
        <v>463</v>
      </c>
      <c r="R143" s="3" t="s">
        <v>164</v>
      </c>
      <c r="S143" s="3" t="s">
        <v>464</v>
      </c>
      <c r="T143" s="4" t="str">
        <f t="shared" si="2"/>
        <v>Valid</v>
      </c>
      <c r="U143" s="4">
        <f t="shared" si="3"/>
        <v>1</v>
      </c>
      <c r="V143" s="4" t="str">
        <f t="shared" si="4"/>
        <v>Unique</v>
      </c>
      <c r="W143" s="4" t="str">
        <f t="shared" si="5"/>
        <v>yellow</v>
      </c>
      <c r="X143" s="4" t="str">
        <f t="shared" ref="X143:Z143" si="147">IF(Q143="","Unknown",Q143)</f>
        <v>Kuril’sk, Russia</v>
      </c>
      <c r="Y143" s="4" t="str">
        <f t="shared" si="147"/>
        <v>Asia</v>
      </c>
      <c r="Z143" s="4" t="str">
        <f t="shared" si="147"/>
        <v>Russia</v>
      </c>
      <c r="AA143" s="4" t="str">
        <f t="shared" si="7"/>
        <v>mww</v>
      </c>
    </row>
    <row r="144">
      <c r="A144" s="3" t="s">
        <v>465</v>
      </c>
      <c r="B144" s="3">
        <v>7.7</v>
      </c>
      <c r="C144" s="19">
        <f>Raw_Data!T144</f>
        <v>43858.79861</v>
      </c>
      <c r="D144" s="3">
        <v>9.0</v>
      </c>
      <c r="E144" s="3">
        <v>6.0</v>
      </c>
      <c r="F144" s="3" t="s">
        <v>116</v>
      </c>
      <c r="G144" s="3">
        <v>1.0</v>
      </c>
      <c r="H144" s="3">
        <v>1812.0</v>
      </c>
      <c r="I144" s="3" t="s">
        <v>110</v>
      </c>
      <c r="J144" s="3">
        <v>0.0</v>
      </c>
      <c r="K144" s="3">
        <v>1.657</v>
      </c>
      <c r="L144" s="3">
        <v>26.0</v>
      </c>
      <c r="M144" s="4" t="str">
        <f>Raw_Data!X144</f>
        <v>mww</v>
      </c>
      <c r="N144" s="3">
        <v>14.86</v>
      </c>
      <c r="O144" s="3">
        <v>19.4193</v>
      </c>
      <c r="P144" s="3">
        <v>-78.756</v>
      </c>
      <c r="Q144" s="3" t="s">
        <v>467</v>
      </c>
      <c r="R144" s="4"/>
      <c r="S144" s="4"/>
      <c r="T144" s="4" t="str">
        <f t="shared" si="2"/>
        <v>Valid</v>
      </c>
      <c r="U144" s="4">
        <f t="shared" si="3"/>
        <v>1</v>
      </c>
      <c r="V144" s="4" t="str">
        <f t="shared" si="4"/>
        <v>Unique</v>
      </c>
      <c r="W144" s="4" t="str">
        <f t="shared" si="5"/>
        <v>yellow</v>
      </c>
      <c r="X144" s="4" t="str">
        <f t="shared" ref="X144:Z144" si="148">IF(Q144="","Unknown",Q144)</f>
        <v>Lucea, Jamaica</v>
      </c>
      <c r="Y144" s="4" t="str">
        <f t="shared" si="148"/>
        <v>Unknown</v>
      </c>
      <c r="Z144" s="4" t="str">
        <f t="shared" si="148"/>
        <v>Unknown</v>
      </c>
      <c r="AA144" s="4" t="str">
        <f t="shared" si="7"/>
        <v>mww</v>
      </c>
    </row>
    <row r="145">
      <c r="A145" s="3" t="s">
        <v>468</v>
      </c>
      <c r="B145" s="3">
        <v>6.7</v>
      </c>
      <c r="C145" s="19">
        <f>Raw_Data!T145</f>
        <v>43854.74653</v>
      </c>
      <c r="D145" s="3">
        <v>8.0</v>
      </c>
      <c r="E145" s="3">
        <v>9.0</v>
      </c>
      <c r="F145" s="3" t="s">
        <v>178</v>
      </c>
      <c r="G145" s="3">
        <v>0.0</v>
      </c>
      <c r="H145" s="3">
        <v>1247.0</v>
      </c>
      <c r="I145" s="3" t="s">
        <v>110</v>
      </c>
      <c r="J145" s="3">
        <v>0.0</v>
      </c>
      <c r="K145" s="3">
        <v>0.87</v>
      </c>
      <c r="L145" s="3">
        <v>49.0</v>
      </c>
      <c r="M145" s="4" t="str">
        <f>Raw_Data!X145</f>
        <v>mww</v>
      </c>
      <c r="N145" s="3">
        <v>10.0</v>
      </c>
      <c r="O145" s="3">
        <v>38.4312</v>
      </c>
      <c r="P145" s="3">
        <v>39.0609</v>
      </c>
      <c r="Q145" s="3" t="s">
        <v>470</v>
      </c>
      <c r="R145" s="3" t="s">
        <v>164</v>
      </c>
      <c r="S145" s="3" t="s">
        <v>471</v>
      </c>
      <c r="T145" s="4" t="str">
        <f t="shared" si="2"/>
        <v>Valid</v>
      </c>
      <c r="U145" s="4">
        <f t="shared" si="3"/>
        <v>1</v>
      </c>
      <c r="V145" s="4" t="str">
        <f t="shared" si="4"/>
        <v>Unique</v>
      </c>
      <c r="W145" s="4" t="str">
        <f t="shared" si="5"/>
        <v>orange</v>
      </c>
      <c r="X145" s="4" t="str">
        <f t="shared" ref="X145:Z145" si="149">IF(Q145="","Unknown",Q145)</f>
        <v>Do?anyol, Turkey</v>
      </c>
      <c r="Y145" s="4" t="str">
        <f t="shared" si="149"/>
        <v>Asia</v>
      </c>
      <c r="Z145" s="4" t="str">
        <f t="shared" si="149"/>
        <v>Turkey</v>
      </c>
      <c r="AA145" s="4" t="str">
        <f t="shared" si="7"/>
        <v>mww</v>
      </c>
    </row>
    <row r="146">
      <c r="A146" s="3" t="s">
        <v>472</v>
      </c>
      <c r="B146" s="3">
        <v>6.8</v>
      </c>
      <c r="C146" s="19">
        <f>Raw_Data!T146</f>
        <v>43814.25764</v>
      </c>
      <c r="D146" s="3">
        <v>9.0</v>
      </c>
      <c r="E146" s="3">
        <v>7.0</v>
      </c>
      <c r="F146" s="3" t="s">
        <v>116</v>
      </c>
      <c r="G146" s="3">
        <v>1.0</v>
      </c>
      <c r="H146" s="3">
        <v>825.0</v>
      </c>
      <c r="I146" s="3" t="s">
        <v>110</v>
      </c>
      <c r="J146" s="3">
        <v>0.0</v>
      </c>
      <c r="K146" s="3">
        <v>0.546</v>
      </c>
      <c r="L146" s="3">
        <v>39.0</v>
      </c>
      <c r="M146" s="4" t="str">
        <f>Raw_Data!X146</f>
        <v>mww</v>
      </c>
      <c r="N146" s="3">
        <v>18.0</v>
      </c>
      <c r="O146" s="3">
        <v>6.6969</v>
      </c>
      <c r="P146" s="3">
        <v>125.174</v>
      </c>
      <c r="Q146" s="3" t="s">
        <v>474</v>
      </c>
      <c r="R146" s="4"/>
      <c r="S146" s="3" t="s">
        <v>258</v>
      </c>
      <c r="T146" s="4" t="str">
        <f t="shared" si="2"/>
        <v>Valid</v>
      </c>
      <c r="U146" s="4">
        <f t="shared" si="3"/>
        <v>1</v>
      </c>
      <c r="V146" s="4" t="str">
        <f t="shared" si="4"/>
        <v>Unique</v>
      </c>
      <c r="W146" s="4" t="str">
        <f t="shared" si="5"/>
        <v>yellow</v>
      </c>
      <c r="X146" s="4" t="str">
        <f t="shared" ref="X146:Z146" si="150">IF(Q146="","Unknown",Q146)</f>
        <v>Magsaysay, Philippines</v>
      </c>
      <c r="Y146" s="4" t="str">
        <f t="shared" si="150"/>
        <v>Unknown</v>
      </c>
      <c r="Z146" s="4" t="str">
        <f t="shared" si="150"/>
        <v>Philippines</v>
      </c>
      <c r="AA146" s="4" t="str">
        <f t="shared" si="7"/>
        <v>mww</v>
      </c>
    </row>
    <row r="147">
      <c r="A147" s="3" t="s">
        <v>475</v>
      </c>
      <c r="B147" s="3">
        <v>7.1</v>
      </c>
      <c r="C147" s="19">
        <f>Raw_Data!T147</f>
        <v>43783.67847</v>
      </c>
      <c r="D147" s="3">
        <v>6.0</v>
      </c>
      <c r="E147" s="3">
        <v>6.0</v>
      </c>
      <c r="F147" s="3" t="s">
        <v>109</v>
      </c>
      <c r="G147" s="3">
        <v>1.0</v>
      </c>
      <c r="H147" s="3">
        <v>799.0</v>
      </c>
      <c r="I147" s="3" t="s">
        <v>110</v>
      </c>
      <c r="J147" s="3">
        <v>0.0</v>
      </c>
      <c r="K147" s="3">
        <v>1.271</v>
      </c>
      <c r="L147" s="3">
        <v>11.0</v>
      </c>
      <c r="M147" s="4" t="str">
        <f>Raw_Data!X147</f>
        <v>mww</v>
      </c>
      <c r="N147" s="3">
        <v>33.0</v>
      </c>
      <c r="O147" s="3">
        <v>1.6213</v>
      </c>
      <c r="P147" s="3">
        <v>126.416</v>
      </c>
      <c r="Q147" s="3" t="s">
        <v>477</v>
      </c>
      <c r="R147" s="4"/>
      <c r="S147" s="3" t="s">
        <v>153</v>
      </c>
      <c r="T147" s="4" t="str">
        <f t="shared" si="2"/>
        <v>Valid</v>
      </c>
      <c r="U147" s="4">
        <f t="shared" si="3"/>
        <v>1</v>
      </c>
      <c r="V147" s="4" t="str">
        <f t="shared" si="4"/>
        <v>Unique</v>
      </c>
      <c r="W147" s="4" t="str">
        <f t="shared" si="5"/>
        <v>green</v>
      </c>
      <c r="X147" s="4" t="str">
        <f t="shared" ref="X147:Z147" si="151">IF(Q147="","Unknown",Q147)</f>
        <v>Bitung, Indonesia</v>
      </c>
      <c r="Y147" s="4" t="str">
        <f t="shared" si="151"/>
        <v>Unknown</v>
      </c>
      <c r="Z147" s="4" t="str">
        <f t="shared" si="151"/>
        <v>Indonesia</v>
      </c>
      <c r="AA147" s="4" t="str">
        <f t="shared" si="7"/>
        <v>mww</v>
      </c>
    </row>
    <row r="148">
      <c r="A148" s="3" t="s">
        <v>478</v>
      </c>
      <c r="B148" s="3">
        <v>6.5</v>
      </c>
      <c r="C148" s="19">
        <f>Raw_Data!T148</f>
        <v>43777.44722</v>
      </c>
      <c r="D148" s="3">
        <v>0.0</v>
      </c>
      <c r="E148" s="3">
        <v>2.0</v>
      </c>
      <c r="F148" s="3" t="s">
        <v>109</v>
      </c>
      <c r="G148" s="3">
        <v>0.0</v>
      </c>
      <c r="H148" s="3">
        <v>650.0</v>
      </c>
      <c r="I148" s="3" t="s">
        <v>110</v>
      </c>
      <c r="J148" s="3">
        <v>0.0</v>
      </c>
      <c r="K148" s="3">
        <v>4.765</v>
      </c>
      <c r="L148" s="3">
        <v>25.0</v>
      </c>
      <c r="M148" s="4" t="str">
        <f>Raw_Data!X148</f>
        <v>mww</v>
      </c>
      <c r="N148" s="3">
        <v>577.0</v>
      </c>
      <c r="O148" s="3">
        <v>-21.9449</v>
      </c>
      <c r="P148" s="3">
        <v>-179.511</v>
      </c>
      <c r="Q148" s="3" t="s">
        <v>479</v>
      </c>
      <c r="R148" s="4"/>
      <c r="S148" s="4"/>
      <c r="T148" s="4" t="str">
        <f t="shared" si="2"/>
        <v>Valid</v>
      </c>
      <c r="U148" s="4">
        <f t="shared" si="3"/>
        <v>1</v>
      </c>
      <c r="V148" s="4" t="str">
        <f t="shared" si="4"/>
        <v>Unique</v>
      </c>
      <c r="W148" s="4" t="str">
        <f t="shared" si="5"/>
        <v>green</v>
      </c>
      <c r="X148" s="4" t="str">
        <f t="shared" ref="X148:Z148" si="152">IF(Q148="","Unknown",Q148)</f>
        <v>Ndoi Island, Fiji</v>
      </c>
      <c r="Y148" s="4" t="str">
        <f t="shared" si="152"/>
        <v>Unknown</v>
      </c>
      <c r="Z148" s="4" t="str">
        <f t="shared" si="152"/>
        <v>Unknown</v>
      </c>
      <c r="AA148" s="4" t="str">
        <f t="shared" si="7"/>
        <v>mww</v>
      </c>
    </row>
    <row r="149">
      <c r="A149" s="3" t="s">
        <v>480</v>
      </c>
      <c r="B149" s="3">
        <v>6.6</v>
      </c>
      <c r="C149" s="19">
        <f>Raw_Data!T149</f>
        <v>43773.94653</v>
      </c>
      <c r="D149" s="3">
        <v>4.0</v>
      </c>
      <c r="E149" s="3">
        <v>4.0</v>
      </c>
      <c r="F149" s="3" t="s">
        <v>109</v>
      </c>
      <c r="G149" s="3">
        <v>1.0</v>
      </c>
      <c r="H149" s="3">
        <v>673.0</v>
      </c>
      <c r="I149" s="3" t="s">
        <v>110</v>
      </c>
      <c r="J149" s="3">
        <v>0.0</v>
      </c>
      <c r="K149" s="3">
        <v>5.086</v>
      </c>
      <c r="L149" s="3">
        <v>48.0</v>
      </c>
      <c r="M149" s="4" t="str">
        <f>Raw_Data!X149</f>
        <v>mww</v>
      </c>
      <c r="N149" s="3">
        <v>10.0</v>
      </c>
      <c r="O149" s="3">
        <v>-18.5747</v>
      </c>
      <c r="P149" s="3">
        <v>-175.272</v>
      </c>
      <c r="Q149" s="3" t="s">
        <v>221</v>
      </c>
      <c r="R149" s="4"/>
      <c r="S149" s="4"/>
      <c r="T149" s="4" t="str">
        <f t="shared" si="2"/>
        <v>Valid</v>
      </c>
      <c r="U149" s="4">
        <f t="shared" si="3"/>
        <v>1</v>
      </c>
      <c r="V149" s="4" t="str">
        <f t="shared" si="4"/>
        <v>Unique</v>
      </c>
      <c r="W149" s="4" t="str">
        <f t="shared" si="5"/>
        <v>green</v>
      </c>
      <c r="X149" s="4" t="str">
        <f t="shared" ref="X149:Z149" si="153">IF(Q149="","Unknown",Q149)</f>
        <v>Neiafu, Tonga</v>
      </c>
      <c r="Y149" s="4" t="str">
        <f t="shared" si="153"/>
        <v>Unknown</v>
      </c>
      <c r="Z149" s="4" t="str">
        <f t="shared" si="153"/>
        <v>Unknown</v>
      </c>
      <c r="AA149" s="4" t="str">
        <f t="shared" si="7"/>
        <v>mww</v>
      </c>
    </row>
    <row r="150">
      <c r="A150" s="3" t="s">
        <v>481</v>
      </c>
      <c r="B150" s="3">
        <v>6.5</v>
      </c>
      <c r="C150" s="19">
        <f>Raw_Data!T150</f>
        <v>43769.04931</v>
      </c>
      <c r="D150" s="3">
        <v>9.0</v>
      </c>
      <c r="E150" s="3">
        <v>7.0</v>
      </c>
      <c r="F150" s="3" t="s">
        <v>109</v>
      </c>
      <c r="G150" s="3">
        <v>1.0</v>
      </c>
      <c r="H150" s="3">
        <v>733.0</v>
      </c>
      <c r="I150" s="3" t="s">
        <v>110</v>
      </c>
      <c r="J150" s="3">
        <v>0.0</v>
      </c>
      <c r="K150" s="3">
        <v>0.428</v>
      </c>
      <c r="L150" s="3">
        <v>19.0</v>
      </c>
      <c r="M150" s="4" t="str">
        <f>Raw_Data!X150</f>
        <v>mww</v>
      </c>
      <c r="N150" s="3">
        <v>10.0</v>
      </c>
      <c r="O150" s="3">
        <v>6.9098</v>
      </c>
      <c r="P150" s="3">
        <v>125.178</v>
      </c>
      <c r="Q150" s="3" t="s">
        <v>483</v>
      </c>
      <c r="R150" s="4"/>
      <c r="S150" s="3" t="s">
        <v>258</v>
      </c>
      <c r="T150" s="4" t="str">
        <f t="shared" si="2"/>
        <v>Valid</v>
      </c>
      <c r="U150" s="4">
        <f t="shared" si="3"/>
        <v>1</v>
      </c>
      <c r="V150" s="4" t="str">
        <f t="shared" si="4"/>
        <v>Unique</v>
      </c>
      <c r="W150" s="4" t="str">
        <f t="shared" si="5"/>
        <v>green</v>
      </c>
      <c r="X150" s="4" t="str">
        <f t="shared" ref="X150:Z150" si="154">IF(Q150="","Unknown",Q150)</f>
        <v>Kisante, Philippines</v>
      </c>
      <c r="Y150" s="4" t="str">
        <f t="shared" si="154"/>
        <v>Unknown</v>
      </c>
      <c r="Z150" s="4" t="str">
        <f t="shared" si="154"/>
        <v>Philippines</v>
      </c>
      <c r="AA150" s="4" t="str">
        <f t="shared" si="7"/>
        <v>mww</v>
      </c>
    </row>
    <row r="151">
      <c r="A151" s="3" t="s">
        <v>484</v>
      </c>
      <c r="B151" s="3">
        <v>6.6</v>
      </c>
      <c r="C151" s="19">
        <f>Raw_Data!T151</f>
        <v>43767.04444</v>
      </c>
      <c r="D151" s="3">
        <v>9.0</v>
      </c>
      <c r="E151" s="3">
        <v>7.0</v>
      </c>
      <c r="F151" s="3" t="s">
        <v>116</v>
      </c>
      <c r="G151" s="3">
        <v>1.0</v>
      </c>
      <c r="H151" s="3">
        <v>780.0</v>
      </c>
      <c r="I151" s="3" t="s">
        <v>110</v>
      </c>
      <c r="J151" s="3">
        <v>0.0</v>
      </c>
      <c r="K151" s="3">
        <v>0.646</v>
      </c>
      <c r="L151" s="3">
        <v>24.0</v>
      </c>
      <c r="M151" s="4" t="str">
        <f>Raw_Data!X151</f>
        <v>mww</v>
      </c>
      <c r="N151" s="3">
        <v>15.0</v>
      </c>
      <c r="O151" s="3">
        <v>6.7567</v>
      </c>
      <c r="P151" s="3">
        <v>125.008</v>
      </c>
      <c r="Q151" s="3" t="s">
        <v>486</v>
      </c>
      <c r="R151" s="4"/>
      <c r="S151" s="3" t="s">
        <v>258</v>
      </c>
      <c r="T151" s="4" t="str">
        <f t="shared" si="2"/>
        <v>Valid</v>
      </c>
      <c r="U151" s="4">
        <f t="shared" si="3"/>
        <v>1</v>
      </c>
      <c r="V151" s="4" t="str">
        <f t="shared" si="4"/>
        <v>Unique</v>
      </c>
      <c r="W151" s="4" t="str">
        <f t="shared" si="5"/>
        <v>yellow</v>
      </c>
      <c r="X151" s="4" t="str">
        <f t="shared" ref="X151:Z151" si="155">IF(Q151="","Unknown",Q151)</f>
        <v>Columbio, Philippines</v>
      </c>
      <c r="Y151" s="4" t="str">
        <f t="shared" si="155"/>
        <v>Unknown</v>
      </c>
      <c r="Z151" s="4" t="str">
        <f t="shared" si="155"/>
        <v>Philippines</v>
      </c>
      <c r="AA151" s="4" t="str">
        <f t="shared" si="7"/>
        <v>mww</v>
      </c>
    </row>
    <row r="152">
      <c r="A152" s="3" t="s">
        <v>487</v>
      </c>
      <c r="B152" s="3">
        <v>6.7</v>
      </c>
      <c r="C152" s="19">
        <f>Raw_Data!T152</f>
        <v>43737.66458</v>
      </c>
      <c r="D152" s="3">
        <v>7.0</v>
      </c>
      <c r="E152" s="3">
        <v>6.0</v>
      </c>
      <c r="F152" s="3" t="s">
        <v>109</v>
      </c>
      <c r="G152" s="3">
        <v>1.0</v>
      </c>
      <c r="H152" s="3">
        <v>844.0</v>
      </c>
      <c r="I152" s="3" t="s">
        <v>110</v>
      </c>
      <c r="J152" s="3">
        <v>0.0</v>
      </c>
      <c r="K152" s="3">
        <v>1.269</v>
      </c>
      <c r="L152" s="3">
        <v>98.0</v>
      </c>
      <c r="M152" s="4" t="str">
        <f>Raw_Data!X152</f>
        <v>mww</v>
      </c>
      <c r="N152" s="3">
        <v>11.0</v>
      </c>
      <c r="O152" s="3">
        <v>-35.4758</v>
      </c>
      <c r="P152" s="3">
        <v>-73.163</v>
      </c>
      <c r="Q152" s="3" t="s">
        <v>489</v>
      </c>
      <c r="R152" s="4"/>
      <c r="S152" s="4"/>
      <c r="T152" s="4" t="str">
        <f t="shared" si="2"/>
        <v>Valid</v>
      </c>
      <c r="U152" s="4">
        <f t="shared" si="3"/>
        <v>1</v>
      </c>
      <c r="V152" s="4" t="str">
        <f t="shared" si="4"/>
        <v>Unique</v>
      </c>
      <c r="W152" s="4" t="str">
        <f t="shared" si="5"/>
        <v>green</v>
      </c>
      <c r="X152" s="4" t="str">
        <f t="shared" ref="X152:Z152" si="156">IF(Q152="","Unknown",Q152)</f>
        <v>Constitución, Chile</v>
      </c>
      <c r="Y152" s="4" t="str">
        <f t="shared" si="156"/>
        <v>Unknown</v>
      </c>
      <c r="Z152" s="4" t="str">
        <f t="shared" si="156"/>
        <v>Unknown</v>
      </c>
      <c r="AA152" s="4" t="str">
        <f t="shared" si="7"/>
        <v>mww</v>
      </c>
    </row>
    <row r="153">
      <c r="A153" s="3" t="s">
        <v>490</v>
      </c>
      <c r="B153" s="3">
        <v>6.5</v>
      </c>
      <c r="C153" s="19">
        <f>Raw_Data!T153</f>
        <v>43733.99028</v>
      </c>
      <c r="D153" s="3">
        <v>7.0</v>
      </c>
      <c r="E153" s="3">
        <v>7.0</v>
      </c>
      <c r="F153" s="3" t="s">
        <v>116</v>
      </c>
      <c r="G153" s="3">
        <v>1.0</v>
      </c>
      <c r="H153" s="3">
        <v>656.0</v>
      </c>
      <c r="I153" s="3" t="s">
        <v>110</v>
      </c>
      <c r="J153" s="3">
        <v>0.0</v>
      </c>
      <c r="K153" s="3">
        <v>3.909</v>
      </c>
      <c r="L153" s="3">
        <v>15.0</v>
      </c>
      <c r="M153" s="4" t="str">
        <f>Raw_Data!X153</f>
        <v>mww</v>
      </c>
      <c r="N153" s="3">
        <v>12.26</v>
      </c>
      <c r="O153" s="3">
        <v>-3.4528</v>
      </c>
      <c r="P153" s="3">
        <v>128.37</v>
      </c>
      <c r="Q153" s="3" t="s">
        <v>492</v>
      </c>
      <c r="R153" s="4"/>
      <c r="S153" s="3" t="s">
        <v>153</v>
      </c>
      <c r="T153" s="4" t="str">
        <f t="shared" si="2"/>
        <v>Valid</v>
      </c>
      <c r="U153" s="4">
        <f t="shared" si="3"/>
        <v>1</v>
      </c>
      <c r="V153" s="4" t="str">
        <f t="shared" si="4"/>
        <v>Unique</v>
      </c>
      <c r="W153" s="4" t="str">
        <f t="shared" si="5"/>
        <v>yellow</v>
      </c>
      <c r="X153" s="4" t="str">
        <f t="shared" ref="X153:Z153" si="157">IF(Q153="","Unknown",Q153)</f>
        <v>Kairatu, Indonesia</v>
      </c>
      <c r="Y153" s="4" t="str">
        <f t="shared" si="157"/>
        <v>Unknown</v>
      </c>
      <c r="Z153" s="4" t="str">
        <f t="shared" si="157"/>
        <v>Indonesia</v>
      </c>
      <c r="AA153" s="4" t="str">
        <f t="shared" si="7"/>
        <v>mww</v>
      </c>
    </row>
    <row r="154">
      <c r="A154" s="3" t="s">
        <v>493</v>
      </c>
      <c r="B154" s="3">
        <v>6.6</v>
      </c>
      <c r="C154" s="19">
        <f>Raw_Data!T154</f>
        <v>43709.6625</v>
      </c>
      <c r="D154" s="3">
        <v>2.0</v>
      </c>
      <c r="E154" s="3">
        <v>3.0</v>
      </c>
      <c r="F154" s="4"/>
      <c r="G154" s="3">
        <v>1.0</v>
      </c>
      <c r="H154" s="3">
        <v>671.0</v>
      </c>
      <c r="I154" s="3" t="s">
        <v>110</v>
      </c>
      <c r="J154" s="3">
        <v>0.0</v>
      </c>
      <c r="K154" s="3">
        <v>4.121</v>
      </c>
      <c r="L154" s="3">
        <v>19.0</v>
      </c>
      <c r="M154" s="4" t="str">
        <f>Raw_Data!X154</f>
        <v>mww</v>
      </c>
      <c r="N154" s="3">
        <v>591.0</v>
      </c>
      <c r="O154" s="3">
        <v>-20.3641</v>
      </c>
      <c r="P154" s="3">
        <v>-178.57</v>
      </c>
      <c r="Q154" s="3" t="s">
        <v>479</v>
      </c>
      <c r="R154" s="4"/>
      <c r="S154" s="3" t="s">
        <v>219</v>
      </c>
      <c r="T154" s="4" t="str">
        <f t="shared" si="2"/>
        <v>Valid</v>
      </c>
      <c r="U154" s="4">
        <f t="shared" si="3"/>
        <v>1</v>
      </c>
      <c r="V154" s="4" t="str">
        <f t="shared" si="4"/>
        <v>Unique</v>
      </c>
      <c r="W154" s="4" t="str">
        <f t="shared" si="5"/>
        <v>Unknown</v>
      </c>
      <c r="X154" s="4" t="str">
        <f t="shared" ref="X154:Z154" si="158">IF(Q154="","Unknown",Q154)</f>
        <v>Ndoi Island, Fiji</v>
      </c>
      <c r="Y154" s="4" t="str">
        <f t="shared" si="158"/>
        <v>Unknown</v>
      </c>
      <c r="Z154" s="4" t="str">
        <f t="shared" si="158"/>
        <v>Fiji</v>
      </c>
      <c r="AA154" s="4" t="str">
        <f t="shared" si="7"/>
        <v>mww</v>
      </c>
    </row>
    <row r="155">
      <c r="A155" s="3" t="s">
        <v>494</v>
      </c>
      <c r="B155" s="3">
        <v>6.6</v>
      </c>
      <c r="C155" s="19">
        <f>Raw_Data!T155</f>
        <v>43704.99653</v>
      </c>
      <c r="D155" s="3">
        <v>0.0</v>
      </c>
      <c r="E155" s="3">
        <v>4.0</v>
      </c>
      <c r="F155" s="3" t="s">
        <v>109</v>
      </c>
      <c r="G155" s="3">
        <v>1.0</v>
      </c>
      <c r="H155" s="3">
        <v>670.0</v>
      </c>
      <c r="I155" s="3" t="s">
        <v>110</v>
      </c>
      <c r="J155" s="3">
        <v>0.0</v>
      </c>
      <c r="K155" s="3">
        <v>12.896</v>
      </c>
      <c r="L155" s="3">
        <v>19.0</v>
      </c>
      <c r="M155" s="4" t="str">
        <f>Raw_Data!X155</f>
        <v>mww</v>
      </c>
      <c r="N155" s="3">
        <v>16.0</v>
      </c>
      <c r="O155" s="3">
        <v>-60.2152</v>
      </c>
      <c r="P155" s="3">
        <v>-26.5801</v>
      </c>
      <c r="Q155" s="3" t="s">
        <v>496</v>
      </c>
      <c r="R155" s="4"/>
      <c r="S155" s="3" t="s">
        <v>497</v>
      </c>
      <c r="T155" s="4" t="str">
        <f t="shared" si="2"/>
        <v>Valid</v>
      </c>
      <c r="U155" s="4">
        <f t="shared" si="3"/>
        <v>1</v>
      </c>
      <c r="V155" s="4" t="str">
        <f t="shared" si="4"/>
        <v>Unique</v>
      </c>
      <c r="W155" s="4" t="str">
        <f t="shared" si="5"/>
        <v>green</v>
      </c>
      <c r="X155" s="4" t="str">
        <f t="shared" ref="X155:Z155" si="159">IF(Q155="","Unknown",Q155)</f>
        <v>Bristol Island, South Sandwich Islands</v>
      </c>
      <c r="Y155" s="4" t="str">
        <f t="shared" si="159"/>
        <v>Unknown</v>
      </c>
      <c r="Z155" s="4" t="str">
        <f t="shared" si="159"/>
        <v>United Kingdom of Great Britain and Northern Ireland (the)</v>
      </c>
      <c r="AA155" s="4" t="str">
        <f t="shared" si="7"/>
        <v>mww</v>
      </c>
    </row>
    <row r="156">
      <c r="A156" s="3" t="s">
        <v>498</v>
      </c>
      <c r="B156" s="3">
        <v>6.9</v>
      </c>
      <c r="C156" s="19">
        <f>Raw_Data!T156</f>
        <v>43679.50208</v>
      </c>
      <c r="D156" s="3">
        <v>4.0</v>
      </c>
      <c r="E156" s="3">
        <v>6.0</v>
      </c>
      <c r="F156" s="3" t="s">
        <v>109</v>
      </c>
      <c r="G156" s="3">
        <v>0.0</v>
      </c>
      <c r="H156" s="3">
        <v>875.0</v>
      </c>
      <c r="I156" s="3" t="s">
        <v>110</v>
      </c>
      <c r="J156" s="3">
        <v>0.0</v>
      </c>
      <c r="K156" s="3">
        <v>2.839</v>
      </c>
      <c r="L156" s="3">
        <v>23.0</v>
      </c>
      <c r="M156" s="4" t="str">
        <f>Raw_Data!X156</f>
        <v>mww</v>
      </c>
      <c r="N156" s="3">
        <v>49.0</v>
      </c>
      <c r="O156" s="3">
        <v>-7.2822</v>
      </c>
      <c r="P156" s="3">
        <v>104.791</v>
      </c>
      <c r="Q156" s="3" t="s">
        <v>294</v>
      </c>
      <c r="R156" s="4"/>
      <c r="S156" s="4"/>
      <c r="T156" s="4" t="str">
        <f t="shared" si="2"/>
        <v>Valid</v>
      </c>
      <c r="U156" s="4">
        <f t="shared" si="3"/>
        <v>1</v>
      </c>
      <c r="V156" s="4" t="str">
        <f t="shared" si="4"/>
        <v>Unique</v>
      </c>
      <c r="W156" s="4" t="str">
        <f t="shared" si="5"/>
        <v>green</v>
      </c>
      <c r="X156" s="4" t="str">
        <f t="shared" ref="X156:Z156" si="160">IF(Q156="","Unknown",Q156)</f>
        <v>Labuan, Indonesia</v>
      </c>
      <c r="Y156" s="4" t="str">
        <f t="shared" si="160"/>
        <v>Unknown</v>
      </c>
      <c r="Z156" s="4" t="str">
        <f t="shared" si="160"/>
        <v>Unknown</v>
      </c>
      <c r="AA156" s="4" t="str">
        <f t="shared" si="7"/>
        <v>mww</v>
      </c>
    </row>
    <row r="157">
      <c r="A157" s="3" t="s">
        <v>499</v>
      </c>
      <c r="B157" s="3">
        <v>6.8</v>
      </c>
      <c r="C157" s="19">
        <f>Raw_Data!T157</f>
        <v>43678.76944</v>
      </c>
      <c r="D157" s="3">
        <v>6.0</v>
      </c>
      <c r="E157" s="3">
        <v>6.0</v>
      </c>
      <c r="F157" s="3" t="s">
        <v>109</v>
      </c>
      <c r="G157" s="3">
        <v>1.0</v>
      </c>
      <c r="H157" s="3">
        <v>947.0</v>
      </c>
      <c r="I157" s="3" t="s">
        <v>110</v>
      </c>
      <c r="J157" s="3">
        <v>0.0</v>
      </c>
      <c r="K157" s="3">
        <v>0.817</v>
      </c>
      <c r="L157" s="3">
        <v>35.0</v>
      </c>
      <c r="M157" s="4" t="str">
        <f>Raw_Data!X157</f>
        <v>mww</v>
      </c>
      <c r="N157" s="3">
        <v>25.0</v>
      </c>
      <c r="O157" s="3">
        <v>-34.2364</v>
      </c>
      <c r="P157" s="3">
        <v>-72.3102</v>
      </c>
      <c r="Q157" s="3" t="s">
        <v>500</v>
      </c>
      <c r="R157" s="4"/>
      <c r="S157" s="4"/>
      <c r="T157" s="4" t="str">
        <f t="shared" si="2"/>
        <v>Valid</v>
      </c>
      <c r="U157" s="4">
        <f t="shared" si="3"/>
        <v>1</v>
      </c>
      <c r="V157" s="4" t="str">
        <f t="shared" si="4"/>
        <v>Unique</v>
      </c>
      <c r="W157" s="4" t="str">
        <f t="shared" si="5"/>
        <v>green</v>
      </c>
      <c r="X157" s="4" t="str">
        <f t="shared" ref="X157:Z157" si="161">IF(Q157="","Unknown",Q157)</f>
        <v>San Antonio, Chile</v>
      </c>
      <c r="Y157" s="4" t="str">
        <f t="shared" si="161"/>
        <v>Unknown</v>
      </c>
      <c r="Z157" s="4" t="str">
        <f t="shared" si="161"/>
        <v>Unknown</v>
      </c>
      <c r="AA157" s="4" t="str">
        <f t="shared" si="7"/>
        <v>mww</v>
      </c>
    </row>
    <row r="158">
      <c r="A158" s="3" t="s">
        <v>501</v>
      </c>
      <c r="B158" s="3">
        <v>6.6</v>
      </c>
      <c r="C158" s="19">
        <f>Raw_Data!T158</f>
        <v>43677.62639</v>
      </c>
      <c r="D158" s="3">
        <v>0.0</v>
      </c>
      <c r="E158" s="3">
        <v>4.0</v>
      </c>
      <c r="F158" s="3" t="s">
        <v>109</v>
      </c>
      <c r="G158" s="3">
        <v>1.0</v>
      </c>
      <c r="H158" s="3">
        <v>670.0</v>
      </c>
      <c r="I158" s="3" t="s">
        <v>110</v>
      </c>
      <c r="J158" s="3">
        <v>0.0</v>
      </c>
      <c r="K158" s="3">
        <v>6.024</v>
      </c>
      <c r="L158" s="3">
        <v>30.0</v>
      </c>
      <c r="M158" s="4" t="str">
        <f>Raw_Data!X158</f>
        <v>mww</v>
      </c>
      <c r="N158" s="3">
        <v>181.0</v>
      </c>
      <c r="O158" s="3">
        <v>-16.1985</v>
      </c>
      <c r="P158" s="3">
        <v>167.998</v>
      </c>
      <c r="Q158" s="3" t="s">
        <v>503</v>
      </c>
      <c r="R158" s="4"/>
      <c r="S158" s="3" t="s">
        <v>113</v>
      </c>
      <c r="T158" s="4" t="str">
        <f t="shared" si="2"/>
        <v>Valid</v>
      </c>
      <c r="U158" s="4">
        <f t="shared" si="3"/>
        <v>1</v>
      </c>
      <c r="V158" s="4" t="str">
        <f t="shared" si="4"/>
        <v>Unique</v>
      </c>
      <c r="W158" s="4" t="str">
        <f t="shared" si="5"/>
        <v>green</v>
      </c>
      <c r="X158" s="4" t="str">
        <f t="shared" ref="X158:Z158" si="162">IF(Q158="","Unknown",Q158)</f>
        <v>Lakatoro, Vanuatu</v>
      </c>
      <c r="Y158" s="4" t="str">
        <f t="shared" si="162"/>
        <v>Unknown</v>
      </c>
      <c r="Z158" s="4" t="str">
        <f t="shared" si="162"/>
        <v>Vanuatu</v>
      </c>
      <c r="AA158" s="4" t="str">
        <f t="shared" si="7"/>
        <v>mww</v>
      </c>
    </row>
    <row r="159">
      <c r="A159" s="3" t="s">
        <v>504</v>
      </c>
      <c r="B159" s="3">
        <v>7.2</v>
      </c>
      <c r="C159" s="19">
        <f>Raw_Data!T159</f>
        <v>43660.38194</v>
      </c>
      <c r="D159" s="3">
        <v>7.0</v>
      </c>
      <c r="E159" s="3">
        <v>7.0</v>
      </c>
      <c r="F159" s="3" t="s">
        <v>109</v>
      </c>
      <c r="G159" s="3">
        <v>1.0</v>
      </c>
      <c r="H159" s="3">
        <v>809.0</v>
      </c>
      <c r="I159" s="3" t="s">
        <v>110</v>
      </c>
      <c r="J159" s="3">
        <v>0.0</v>
      </c>
      <c r="K159" s="3">
        <v>1.504</v>
      </c>
      <c r="L159" s="3">
        <v>38.0</v>
      </c>
      <c r="M159" s="4" t="str">
        <f>Raw_Data!X159</f>
        <v>mww</v>
      </c>
      <c r="N159" s="3">
        <v>18.98</v>
      </c>
      <c r="O159" s="3">
        <v>-0.5858</v>
      </c>
      <c r="P159" s="3">
        <v>128.034</v>
      </c>
      <c r="Q159" s="3" t="s">
        <v>506</v>
      </c>
      <c r="R159" s="4"/>
      <c r="S159" s="3" t="s">
        <v>153</v>
      </c>
      <c r="T159" s="4" t="str">
        <f t="shared" si="2"/>
        <v>Valid</v>
      </c>
      <c r="U159" s="4">
        <f t="shared" si="3"/>
        <v>1</v>
      </c>
      <c r="V159" s="4" t="str">
        <f t="shared" si="4"/>
        <v>Unique</v>
      </c>
      <c r="W159" s="4" t="str">
        <f t="shared" si="5"/>
        <v>green</v>
      </c>
      <c r="X159" s="4" t="str">
        <f t="shared" ref="X159:Z159" si="163">IF(Q159="","Unknown",Q159)</f>
        <v>Laiwui, Indonesia</v>
      </c>
      <c r="Y159" s="4" t="str">
        <f t="shared" si="163"/>
        <v>Unknown</v>
      </c>
      <c r="Z159" s="4" t="str">
        <f t="shared" si="163"/>
        <v>Indonesia</v>
      </c>
      <c r="AA159" s="4" t="str">
        <f t="shared" si="7"/>
        <v>mww</v>
      </c>
    </row>
    <row r="160">
      <c r="A160" s="3" t="s">
        <v>507</v>
      </c>
      <c r="B160" s="3">
        <v>6.6</v>
      </c>
      <c r="C160" s="19">
        <f>Raw_Data!T160</f>
        <v>43660.23542</v>
      </c>
      <c r="D160" s="3">
        <v>5.0</v>
      </c>
      <c r="E160" s="3">
        <v>5.0</v>
      </c>
      <c r="F160" s="3" t="s">
        <v>109</v>
      </c>
      <c r="G160" s="3">
        <v>0.0</v>
      </c>
      <c r="H160" s="3">
        <v>791.0</v>
      </c>
      <c r="I160" s="3" t="s">
        <v>110</v>
      </c>
      <c r="J160" s="3">
        <v>0.0</v>
      </c>
      <c r="K160" s="3">
        <v>2.978</v>
      </c>
      <c r="L160" s="3">
        <v>32.0</v>
      </c>
      <c r="M160" s="4" t="str">
        <f>Raw_Data!X160</f>
        <v>mww</v>
      </c>
      <c r="N160" s="3">
        <v>10.0</v>
      </c>
      <c r="O160" s="3">
        <v>-18.2242</v>
      </c>
      <c r="P160" s="3">
        <v>120.358</v>
      </c>
      <c r="Q160" s="3" t="s">
        <v>509</v>
      </c>
      <c r="R160" s="4"/>
      <c r="S160" s="4"/>
      <c r="T160" s="4" t="str">
        <f t="shared" si="2"/>
        <v>Valid</v>
      </c>
      <c r="U160" s="4">
        <f t="shared" si="3"/>
        <v>1</v>
      </c>
      <c r="V160" s="4" t="str">
        <f t="shared" si="4"/>
        <v>Unique</v>
      </c>
      <c r="W160" s="4" t="str">
        <f t="shared" si="5"/>
        <v>green</v>
      </c>
      <c r="X160" s="4" t="str">
        <f t="shared" ref="X160:Z160" si="164">IF(Q160="","Unknown",Q160)</f>
        <v>Broome, Australia</v>
      </c>
      <c r="Y160" s="4" t="str">
        <f t="shared" si="164"/>
        <v>Unknown</v>
      </c>
      <c r="Z160" s="4" t="str">
        <f t="shared" si="164"/>
        <v>Unknown</v>
      </c>
      <c r="AA160" s="4" t="str">
        <f t="shared" si="7"/>
        <v>mww</v>
      </c>
    </row>
    <row r="161">
      <c r="A161" s="3" t="s">
        <v>510</v>
      </c>
      <c r="B161" s="3">
        <v>6.9</v>
      </c>
      <c r="C161" s="19">
        <f>Raw_Data!T161</f>
        <v>43653.63056</v>
      </c>
      <c r="D161" s="3">
        <v>7.0</v>
      </c>
      <c r="E161" s="3">
        <v>5.0</v>
      </c>
      <c r="F161" s="3" t="s">
        <v>109</v>
      </c>
      <c r="G161" s="3">
        <v>0.0</v>
      </c>
      <c r="H161" s="3">
        <v>747.0</v>
      </c>
      <c r="I161" s="3" t="s">
        <v>110</v>
      </c>
      <c r="J161" s="3">
        <v>0.0</v>
      </c>
      <c r="K161" s="3">
        <v>1.205</v>
      </c>
      <c r="L161" s="3">
        <v>21.0</v>
      </c>
      <c r="M161" s="4" t="str">
        <f>Raw_Data!X161</f>
        <v>mww</v>
      </c>
      <c r="N161" s="3">
        <v>35.0</v>
      </c>
      <c r="O161" s="3">
        <v>0.5126</v>
      </c>
      <c r="P161" s="3">
        <v>126.189</v>
      </c>
      <c r="Q161" s="3" t="s">
        <v>511</v>
      </c>
      <c r="R161" s="4"/>
      <c r="S161" s="3" t="s">
        <v>153</v>
      </c>
      <c r="T161" s="4" t="str">
        <f t="shared" si="2"/>
        <v>Valid</v>
      </c>
      <c r="U161" s="4">
        <f t="shared" si="3"/>
        <v>1</v>
      </c>
      <c r="V161" s="4" t="str">
        <f t="shared" si="4"/>
        <v>Unique</v>
      </c>
      <c r="W161" s="4" t="str">
        <f t="shared" si="5"/>
        <v>green</v>
      </c>
      <c r="X161" s="4" t="str">
        <f t="shared" ref="X161:Z161" si="165">IF(Q161="","Unknown",Q161)</f>
        <v>Kota Ternate, Indonesia</v>
      </c>
      <c r="Y161" s="4" t="str">
        <f t="shared" si="165"/>
        <v>Unknown</v>
      </c>
      <c r="Z161" s="4" t="str">
        <f t="shared" si="165"/>
        <v>Indonesia</v>
      </c>
      <c r="AA161" s="4" t="str">
        <f t="shared" si="7"/>
        <v>mww</v>
      </c>
    </row>
    <row r="162">
      <c r="A162" s="3" t="s">
        <v>512</v>
      </c>
      <c r="B162" s="3">
        <v>7.1</v>
      </c>
      <c r="C162" s="19">
        <f>Raw_Data!T162</f>
        <v>43652.13819</v>
      </c>
      <c r="D162" s="3">
        <v>9.0</v>
      </c>
      <c r="E162" s="3">
        <v>9.0</v>
      </c>
      <c r="F162" s="3" t="s">
        <v>116</v>
      </c>
      <c r="G162" s="3">
        <v>0.0</v>
      </c>
      <c r="H162" s="3">
        <v>1646.0</v>
      </c>
      <c r="I162" s="3" t="s">
        <v>513</v>
      </c>
      <c r="J162" s="3">
        <v>77.0</v>
      </c>
      <c r="K162" s="3">
        <v>0.04616</v>
      </c>
      <c r="L162" s="3">
        <v>43.0</v>
      </c>
      <c r="M162" s="4" t="str">
        <f>Raw_Data!X162</f>
        <v>mw</v>
      </c>
      <c r="N162" s="3">
        <v>8.0</v>
      </c>
      <c r="O162" s="3">
        <v>35.7695</v>
      </c>
      <c r="P162" s="3">
        <v>-117.599</v>
      </c>
      <c r="Q162" s="3" t="s">
        <v>515</v>
      </c>
      <c r="R162" s="3" t="s">
        <v>233</v>
      </c>
      <c r="S162" s="3" t="s">
        <v>318</v>
      </c>
      <c r="T162" s="4" t="str">
        <f t="shared" si="2"/>
        <v>Valid</v>
      </c>
      <c r="U162" s="4">
        <f t="shared" si="3"/>
        <v>1</v>
      </c>
      <c r="V162" s="4" t="str">
        <f t="shared" si="4"/>
        <v>Unique</v>
      </c>
      <c r="W162" s="4" t="str">
        <f t="shared" si="5"/>
        <v>yellow</v>
      </c>
      <c r="X162" s="4" t="str">
        <f t="shared" ref="X162:Z162" si="166">IF(Q162="","Unknown",Q162)</f>
        <v>Searles Valley, CA</v>
      </c>
      <c r="Y162" s="4" t="str">
        <f t="shared" si="166"/>
        <v>North America</v>
      </c>
      <c r="Z162" s="4" t="str">
        <f t="shared" si="166"/>
        <v>United States of America</v>
      </c>
      <c r="AA162" s="4" t="str">
        <f t="shared" si="7"/>
        <v>mw</v>
      </c>
    </row>
    <row r="163">
      <c r="A163" s="3" t="s">
        <v>516</v>
      </c>
      <c r="B163" s="3">
        <v>7.3</v>
      </c>
      <c r="C163" s="19">
        <f>Raw_Data!T163</f>
        <v>43640.12014</v>
      </c>
      <c r="D163" s="3">
        <v>4.0</v>
      </c>
      <c r="E163" s="3">
        <v>6.0</v>
      </c>
      <c r="F163" s="3" t="s">
        <v>109</v>
      </c>
      <c r="G163" s="3">
        <v>1.0</v>
      </c>
      <c r="H163" s="3">
        <v>952.0</v>
      </c>
      <c r="I163" s="3" t="s">
        <v>110</v>
      </c>
      <c r="J163" s="3">
        <v>0.0</v>
      </c>
      <c r="K163" s="3">
        <v>2.629</v>
      </c>
      <c r="L163" s="3">
        <v>16.0</v>
      </c>
      <c r="M163" s="4" t="str">
        <f>Raw_Data!X163</f>
        <v>mww</v>
      </c>
      <c r="N163" s="3">
        <v>212.0</v>
      </c>
      <c r="O163" s="3">
        <v>-6.4078</v>
      </c>
      <c r="P163" s="3">
        <v>129.169</v>
      </c>
      <c r="Q163" s="3" t="s">
        <v>518</v>
      </c>
      <c r="R163" s="4"/>
      <c r="S163" s="3" t="s">
        <v>153</v>
      </c>
      <c r="T163" s="4" t="str">
        <f t="shared" si="2"/>
        <v>Valid</v>
      </c>
      <c r="U163" s="4">
        <f t="shared" si="3"/>
        <v>1</v>
      </c>
      <c r="V163" s="4" t="str">
        <f t="shared" si="4"/>
        <v>Unique</v>
      </c>
      <c r="W163" s="4" t="str">
        <f t="shared" si="5"/>
        <v>green</v>
      </c>
      <c r="X163" s="4" t="str">
        <f t="shared" ref="X163:Z163" si="167">IF(Q163="","Unknown",Q163)</f>
        <v>Saumlaki, Indonesia</v>
      </c>
      <c r="Y163" s="4" t="str">
        <f t="shared" si="167"/>
        <v>Unknown</v>
      </c>
      <c r="Z163" s="4" t="str">
        <f t="shared" si="167"/>
        <v>Indonesia</v>
      </c>
      <c r="AA163" s="4" t="str">
        <f t="shared" si="7"/>
        <v>mww</v>
      </c>
    </row>
    <row r="164">
      <c r="A164" s="3" t="s">
        <v>519</v>
      </c>
      <c r="B164" s="3">
        <v>7.3</v>
      </c>
      <c r="C164" s="19">
        <f>Raw_Data!T164</f>
        <v>43631.95486</v>
      </c>
      <c r="D164" s="3">
        <v>8.0</v>
      </c>
      <c r="E164" s="3">
        <v>6.0</v>
      </c>
      <c r="F164" s="3" t="s">
        <v>109</v>
      </c>
      <c r="G164" s="3">
        <v>1.0</v>
      </c>
      <c r="H164" s="3">
        <v>830.0</v>
      </c>
      <c r="I164" s="3" t="s">
        <v>110</v>
      </c>
      <c r="J164" s="3">
        <v>0.0</v>
      </c>
      <c r="K164" s="3">
        <v>1.402</v>
      </c>
      <c r="L164" s="3">
        <v>11.0</v>
      </c>
      <c r="M164" s="4" t="str">
        <f>Raw_Data!X164</f>
        <v>mww</v>
      </c>
      <c r="N164" s="3">
        <v>46.0</v>
      </c>
      <c r="O164" s="3">
        <v>-30.6441</v>
      </c>
      <c r="P164" s="3">
        <v>-178.1</v>
      </c>
      <c r="Q164" s="3" t="s">
        <v>521</v>
      </c>
      <c r="R164" s="4"/>
      <c r="S164" s="4"/>
      <c r="T164" s="4" t="str">
        <f t="shared" si="2"/>
        <v>Valid</v>
      </c>
      <c r="U164" s="4">
        <f t="shared" si="3"/>
        <v>1</v>
      </c>
      <c r="V164" s="4" t="str">
        <f t="shared" si="4"/>
        <v>Unique</v>
      </c>
      <c r="W164" s="4" t="str">
        <f t="shared" si="5"/>
        <v>green</v>
      </c>
      <c r="X164" s="4" t="str">
        <f t="shared" ref="X164:Z164" si="168">IF(Q164="","Unknown",Q164)</f>
        <v>L'Esperance Rock, New Zealand</v>
      </c>
      <c r="Y164" s="4" t="str">
        <f t="shared" si="168"/>
        <v>Unknown</v>
      </c>
      <c r="Z164" s="4" t="str">
        <f t="shared" si="168"/>
        <v>Unknown</v>
      </c>
      <c r="AA164" s="4" t="str">
        <f t="shared" si="7"/>
        <v>mww</v>
      </c>
    </row>
    <row r="165">
      <c r="A165" s="3" t="s">
        <v>522</v>
      </c>
      <c r="B165" s="3">
        <v>6.6</v>
      </c>
      <c r="C165" s="19">
        <f>Raw_Data!T165</f>
        <v>43615.37708</v>
      </c>
      <c r="D165" s="3">
        <v>7.0</v>
      </c>
      <c r="E165" s="3">
        <v>6.0</v>
      </c>
      <c r="F165" s="3" t="s">
        <v>116</v>
      </c>
      <c r="G165" s="3">
        <v>1.0</v>
      </c>
      <c r="H165" s="3">
        <v>886.0</v>
      </c>
      <c r="I165" s="3" t="s">
        <v>110</v>
      </c>
      <c r="J165" s="3">
        <v>0.0</v>
      </c>
      <c r="K165" s="3">
        <v>1.193</v>
      </c>
      <c r="L165" s="3">
        <v>22.0</v>
      </c>
      <c r="M165" s="4" t="str">
        <f>Raw_Data!X165</f>
        <v>mww</v>
      </c>
      <c r="N165" s="3">
        <v>57.92</v>
      </c>
      <c r="O165" s="3">
        <v>13.1994</v>
      </c>
      <c r="P165" s="3">
        <v>-89.3056</v>
      </c>
      <c r="Q165" s="3" t="s">
        <v>524</v>
      </c>
      <c r="R165" s="4"/>
      <c r="S165" s="4"/>
      <c r="T165" s="4" t="str">
        <f t="shared" si="2"/>
        <v>Valid</v>
      </c>
      <c r="U165" s="4">
        <f t="shared" si="3"/>
        <v>1</v>
      </c>
      <c r="V165" s="4" t="str">
        <f t="shared" si="4"/>
        <v>Unique</v>
      </c>
      <c r="W165" s="4" t="str">
        <f t="shared" si="5"/>
        <v>yellow</v>
      </c>
      <c r="X165" s="4" t="str">
        <f t="shared" ref="X165:Z165" si="169">IF(Q165="","Unknown",Q165)</f>
        <v>La Libertad, El Salvador</v>
      </c>
      <c r="Y165" s="4" t="str">
        <f t="shared" si="169"/>
        <v>Unknown</v>
      </c>
      <c r="Z165" s="4" t="str">
        <f t="shared" si="169"/>
        <v>Unknown</v>
      </c>
      <c r="AA165" s="4" t="str">
        <f t="shared" si="7"/>
        <v>mww</v>
      </c>
    </row>
    <row r="166">
      <c r="A166" s="3" t="s">
        <v>525</v>
      </c>
      <c r="B166" s="3">
        <v>8.0</v>
      </c>
      <c r="C166" s="19">
        <f>Raw_Data!T166</f>
        <v>43611.32014</v>
      </c>
      <c r="D166" s="3">
        <v>9.0</v>
      </c>
      <c r="E166" s="3">
        <v>8.0</v>
      </c>
      <c r="F166" s="3" t="s">
        <v>178</v>
      </c>
      <c r="G166" s="3">
        <v>1.0</v>
      </c>
      <c r="H166" s="3">
        <v>1890.0</v>
      </c>
      <c r="I166" s="3" t="s">
        <v>110</v>
      </c>
      <c r="J166" s="3">
        <v>0.0</v>
      </c>
      <c r="K166" s="3">
        <v>3.18</v>
      </c>
      <c r="L166" s="3">
        <v>17.0</v>
      </c>
      <c r="M166" s="4" t="str">
        <f>Raw_Data!X166</f>
        <v>mww</v>
      </c>
      <c r="N166" s="3">
        <v>122.57</v>
      </c>
      <c r="O166" s="3">
        <v>-5.8119</v>
      </c>
      <c r="P166" s="3">
        <v>-75.2697</v>
      </c>
      <c r="Q166" s="3" t="s">
        <v>527</v>
      </c>
      <c r="R166" s="3" t="s">
        <v>121</v>
      </c>
      <c r="S166" s="3" t="s">
        <v>265</v>
      </c>
      <c r="T166" s="4" t="str">
        <f t="shared" si="2"/>
        <v>Valid</v>
      </c>
      <c r="U166" s="4">
        <f t="shared" si="3"/>
        <v>1</v>
      </c>
      <c r="V166" s="4" t="str">
        <f t="shared" si="4"/>
        <v>Unique</v>
      </c>
      <c r="W166" s="4" t="str">
        <f t="shared" si="5"/>
        <v>orange</v>
      </c>
      <c r="X166" s="4" t="str">
        <f t="shared" ref="X166:Z166" si="170">IF(Q166="","Unknown",Q166)</f>
        <v>Navarro, Peru</v>
      </c>
      <c r="Y166" s="4" t="str">
        <f t="shared" si="170"/>
        <v>South America</v>
      </c>
      <c r="Z166" s="4" t="str">
        <f t="shared" si="170"/>
        <v>Peru</v>
      </c>
      <c r="AA166" s="4" t="str">
        <f t="shared" si="7"/>
        <v>mww</v>
      </c>
    </row>
    <row r="167">
      <c r="A167" s="3" t="s">
        <v>528</v>
      </c>
      <c r="B167" s="3">
        <v>7.6</v>
      </c>
      <c r="C167" s="19">
        <f>Raw_Data!T167</f>
        <v>43599.54028</v>
      </c>
      <c r="D167" s="3">
        <v>7.0</v>
      </c>
      <c r="E167" s="3">
        <v>7.0</v>
      </c>
      <c r="F167" s="3" t="s">
        <v>109</v>
      </c>
      <c r="G167" s="3">
        <v>1.0</v>
      </c>
      <c r="H167" s="3">
        <v>929.0</v>
      </c>
      <c r="I167" s="3" t="s">
        <v>110</v>
      </c>
      <c r="J167" s="3">
        <v>0.0</v>
      </c>
      <c r="K167" s="3">
        <v>0.453</v>
      </c>
      <c r="L167" s="3">
        <v>16.0</v>
      </c>
      <c r="M167" s="4" t="str">
        <f>Raw_Data!X167</f>
        <v>mww</v>
      </c>
      <c r="N167" s="3">
        <v>10.0</v>
      </c>
      <c r="O167" s="3">
        <v>-4.051</v>
      </c>
      <c r="P167" s="3">
        <v>152.597</v>
      </c>
      <c r="Q167" s="3" t="s">
        <v>530</v>
      </c>
      <c r="R167" s="4"/>
      <c r="S167" s="3" t="s">
        <v>168</v>
      </c>
      <c r="T167" s="4" t="str">
        <f t="shared" si="2"/>
        <v>Valid</v>
      </c>
      <c r="U167" s="4">
        <f t="shared" si="3"/>
        <v>1</v>
      </c>
      <c r="V167" s="4" t="str">
        <f t="shared" si="4"/>
        <v>Unique</v>
      </c>
      <c r="W167" s="4" t="str">
        <f t="shared" si="5"/>
        <v>green</v>
      </c>
      <c r="X167" s="4" t="str">
        <f t="shared" ref="X167:Z167" si="171">IF(Q167="","Unknown",Q167)</f>
        <v>Namatanai, Papua New Guinea</v>
      </c>
      <c r="Y167" s="4" t="str">
        <f t="shared" si="171"/>
        <v>Unknown</v>
      </c>
      <c r="Z167" s="4" t="str">
        <f t="shared" si="171"/>
        <v>Papua New Guinea</v>
      </c>
      <c r="AA167" s="4" t="str">
        <f t="shared" si="7"/>
        <v>mww</v>
      </c>
    </row>
    <row r="168">
      <c r="A168" s="3" t="s">
        <v>531</v>
      </c>
      <c r="B168" s="3">
        <v>7.1</v>
      </c>
      <c r="C168" s="19">
        <f>Raw_Data!T168</f>
        <v>43591.88819</v>
      </c>
      <c r="D168" s="3">
        <v>7.0</v>
      </c>
      <c r="E168" s="3">
        <v>6.0</v>
      </c>
      <c r="F168" s="3" t="s">
        <v>116</v>
      </c>
      <c r="G168" s="3">
        <v>1.0</v>
      </c>
      <c r="H168" s="3">
        <v>826.0</v>
      </c>
      <c r="I168" s="3" t="s">
        <v>110</v>
      </c>
      <c r="J168" s="3">
        <v>0.0</v>
      </c>
      <c r="K168" s="3">
        <v>2.514</v>
      </c>
      <c r="L168" s="3">
        <v>16.0</v>
      </c>
      <c r="M168" s="4" t="str">
        <f>Raw_Data!X168</f>
        <v>mww</v>
      </c>
      <c r="N168" s="3">
        <v>146.0</v>
      </c>
      <c r="O168" s="3">
        <v>-6.9746</v>
      </c>
      <c r="P168" s="3">
        <v>146.449</v>
      </c>
      <c r="Q168" s="3" t="s">
        <v>532</v>
      </c>
      <c r="R168" s="4"/>
      <c r="S168" s="3" t="s">
        <v>168</v>
      </c>
      <c r="T168" s="4" t="str">
        <f t="shared" si="2"/>
        <v>Valid</v>
      </c>
      <c r="U168" s="4">
        <f t="shared" si="3"/>
        <v>1</v>
      </c>
      <c r="V168" s="4" t="str">
        <f t="shared" si="4"/>
        <v>Unique</v>
      </c>
      <c r="W168" s="4" t="str">
        <f t="shared" si="5"/>
        <v>yellow</v>
      </c>
      <c r="X168" s="4" t="str">
        <f t="shared" ref="X168:Z168" si="172">IF(Q168="","Unknown",Q168)</f>
        <v>Bulolo, Papua New Guinea</v>
      </c>
      <c r="Y168" s="4" t="str">
        <f t="shared" si="172"/>
        <v>Unknown</v>
      </c>
      <c r="Z168" s="4" t="str">
        <f t="shared" si="172"/>
        <v>Papua New Guinea</v>
      </c>
      <c r="AA168" s="4" t="str">
        <f t="shared" si="7"/>
        <v>mww</v>
      </c>
    </row>
    <row r="169">
      <c r="A169" s="3" t="s">
        <v>533</v>
      </c>
      <c r="B169" s="3">
        <v>6.8</v>
      </c>
      <c r="C169" s="19">
        <f>Raw_Data!T169</f>
        <v>43567.48611</v>
      </c>
      <c r="D169" s="3">
        <v>5.0</v>
      </c>
      <c r="E169" s="3">
        <v>6.0</v>
      </c>
      <c r="F169" s="3" t="s">
        <v>109</v>
      </c>
      <c r="G169" s="3">
        <v>1.0</v>
      </c>
      <c r="H169" s="3">
        <v>717.0</v>
      </c>
      <c r="I169" s="3" t="s">
        <v>110</v>
      </c>
      <c r="J169" s="3">
        <v>0.0</v>
      </c>
      <c r="K169" s="3">
        <v>0.791</v>
      </c>
      <c r="L169" s="3">
        <v>28.0</v>
      </c>
      <c r="M169" s="4" t="str">
        <f>Raw_Data!X169</f>
        <v>mww</v>
      </c>
      <c r="N169" s="3">
        <v>15.46</v>
      </c>
      <c r="O169" s="3">
        <v>-1.8146</v>
      </c>
      <c r="P169" s="3">
        <v>122.58</v>
      </c>
      <c r="Q169" s="3" t="s">
        <v>534</v>
      </c>
      <c r="R169" s="4"/>
      <c r="S169" s="3" t="s">
        <v>153</v>
      </c>
      <c r="T169" s="4" t="str">
        <f t="shared" si="2"/>
        <v>Valid</v>
      </c>
      <c r="U169" s="4">
        <f t="shared" si="3"/>
        <v>1</v>
      </c>
      <c r="V169" s="4" t="str">
        <f t="shared" si="4"/>
        <v>Unique</v>
      </c>
      <c r="W169" s="4" t="str">
        <f t="shared" si="5"/>
        <v>green</v>
      </c>
      <c r="X169" s="4" t="str">
        <f t="shared" ref="X169:Z169" si="173">IF(Q169="","Unknown",Q169)</f>
        <v>Luwuk, Indonesia</v>
      </c>
      <c r="Y169" s="4" t="str">
        <f t="shared" si="173"/>
        <v>Unknown</v>
      </c>
      <c r="Z169" s="4" t="str">
        <f t="shared" si="173"/>
        <v>Indonesia</v>
      </c>
      <c r="AA169" s="4" t="str">
        <f t="shared" si="7"/>
        <v>mww</v>
      </c>
    </row>
    <row r="170">
      <c r="A170" s="3" t="s">
        <v>535</v>
      </c>
      <c r="B170" s="3">
        <v>6.5</v>
      </c>
      <c r="C170" s="19">
        <f>Raw_Data!T170</f>
        <v>43564.74514</v>
      </c>
      <c r="D170" s="3">
        <v>0.0</v>
      </c>
      <c r="E170" s="3">
        <v>5.0</v>
      </c>
      <c r="F170" s="3" t="s">
        <v>109</v>
      </c>
      <c r="G170" s="3">
        <v>1.0</v>
      </c>
      <c r="H170" s="3">
        <v>650.0</v>
      </c>
      <c r="I170" s="3" t="s">
        <v>110</v>
      </c>
      <c r="J170" s="3">
        <v>0.0</v>
      </c>
      <c r="K170" s="3">
        <v>7.568</v>
      </c>
      <c r="L170" s="3">
        <v>18.0</v>
      </c>
      <c r="M170" s="4" t="str">
        <f>Raw_Data!X170</f>
        <v>mww</v>
      </c>
      <c r="N170" s="3">
        <v>38.0</v>
      </c>
      <c r="O170" s="3">
        <v>-58.6262</v>
      </c>
      <c r="P170" s="3">
        <v>-25.304</v>
      </c>
      <c r="Q170" s="3" t="s">
        <v>496</v>
      </c>
      <c r="R170" s="4"/>
      <c r="S170" s="4"/>
      <c r="T170" s="4" t="str">
        <f t="shared" si="2"/>
        <v>Valid</v>
      </c>
      <c r="U170" s="4">
        <f t="shared" si="3"/>
        <v>1</v>
      </c>
      <c r="V170" s="4" t="str">
        <f t="shared" si="4"/>
        <v>Unique</v>
      </c>
      <c r="W170" s="4" t="str">
        <f t="shared" si="5"/>
        <v>green</v>
      </c>
      <c r="X170" s="4" t="str">
        <f t="shared" ref="X170:Z170" si="174">IF(Q170="","Unknown",Q170)</f>
        <v>Bristol Island, South Sandwich Islands</v>
      </c>
      <c r="Y170" s="4" t="str">
        <f t="shared" si="174"/>
        <v>Unknown</v>
      </c>
      <c r="Z170" s="4" t="str">
        <f t="shared" si="174"/>
        <v>Unknown</v>
      </c>
      <c r="AA170" s="4" t="str">
        <f t="shared" si="7"/>
        <v>mww</v>
      </c>
    </row>
    <row r="171">
      <c r="A171" s="3" t="s">
        <v>536</v>
      </c>
      <c r="B171" s="3">
        <v>7.0</v>
      </c>
      <c r="C171" s="19">
        <f>Raw_Data!T171</f>
        <v>43525.36806</v>
      </c>
      <c r="D171" s="3">
        <v>7.0</v>
      </c>
      <c r="E171" s="3">
        <v>4.0</v>
      </c>
      <c r="F171" s="3" t="s">
        <v>109</v>
      </c>
      <c r="G171" s="3">
        <v>1.0</v>
      </c>
      <c r="H171" s="3">
        <v>869.0</v>
      </c>
      <c r="I171" s="3" t="s">
        <v>110</v>
      </c>
      <c r="J171" s="3">
        <v>0.0</v>
      </c>
      <c r="K171" s="3">
        <v>2.501</v>
      </c>
      <c r="L171" s="3">
        <v>42.0</v>
      </c>
      <c r="M171" s="4" t="str">
        <f>Raw_Data!X171</f>
        <v>mww</v>
      </c>
      <c r="N171" s="3">
        <v>267.0</v>
      </c>
      <c r="O171" s="3">
        <v>-14.7131</v>
      </c>
      <c r="P171" s="3">
        <v>-70.1546</v>
      </c>
      <c r="Q171" s="3" t="s">
        <v>264</v>
      </c>
      <c r="R171" s="3" t="s">
        <v>121</v>
      </c>
      <c r="S171" s="3" t="s">
        <v>265</v>
      </c>
      <c r="T171" s="4" t="str">
        <f t="shared" si="2"/>
        <v>Valid</v>
      </c>
      <c r="U171" s="4">
        <f t="shared" si="3"/>
        <v>1</v>
      </c>
      <c r="V171" s="4" t="str">
        <f t="shared" si="4"/>
        <v>Unique</v>
      </c>
      <c r="W171" s="4" t="str">
        <f t="shared" si="5"/>
        <v>green</v>
      </c>
      <c r="X171" s="4" t="str">
        <f t="shared" ref="X171:Z171" si="175">IF(Q171="","Unknown",Q171)</f>
        <v>Azángaro, Peru</v>
      </c>
      <c r="Y171" s="4" t="str">
        <f t="shared" si="175"/>
        <v>South America</v>
      </c>
      <c r="Z171" s="4" t="str">
        <f t="shared" si="175"/>
        <v>Peru</v>
      </c>
      <c r="AA171" s="4" t="str">
        <f t="shared" si="7"/>
        <v>mww</v>
      </c>
    </row>
    <row r="172">
      <c r="A172" s="3" t="s">
        <v>537</v>
      </c>
      <c r="B172" s="3">
        <v>7.5</v>
      </c>
      <c r="C172" s="19">
        <f>Raw_Data!T172</f>
        <v>43518.42847</v>
      </c>
      <c r="D172" s="3">
        <v>7.0</v>
      </c>
      <c r="E172" s="3">
        <v>7.0</v>
      </c>
      <c r="F172" s="3" t="s">
        <v>116</v>
      </c>
      <c r="G172" s="3">
        <v>1.0</v>
      </c>
      <c r="H172" s="3">
        <v>1145.0</v>
      </c>
      <c r="I172" s="3" t="s">
        <v>110</v>
      </c>
      <c r="J172" s="3">
        <v>0.0</v>
      </c>
      <c r="K172" s="3">
        <v>2.045</v>
      </c>
      <c r="L172" s="3">
        <v>15.0</v>
      </c>
      <c r="M172" s="4" t="str">
        <f>Raw_Data!X172</f>
        <v>mww</v>
      </c>
      <c r="N172" s="3">
        <v>145.0</v>
      </c>
      <c r="O172" s="3">
        <v>-2.1862</v>
      </c>
      <c r="P172" s="3">
        <v>-77.0505</v>
      </c>
      <c r="Q172" s="3" t="s">
        <v>539</v>
      </c>
      <c r="R172" s="3" t="s">
        <v>121</v>
      </c>
      <c r="S172" s="3" t="s">
        <v>179</v>
      </c>
      <c r="T172" s="4" t="str">
        <f t="shared" si="2"/>
        <v>Valid</v>
      </c>
      <c r="U172" s="4">
        <f t="shared" si="3"/>
        <v>1</v>
      </c>
      <c r="V172" s="4" t="str">
        <f t="shared" si="4"/>
        <v>Unique</v>
      </c>
      <c r="W172" s="4" t="str">
        <f t="shared" si="5"/>
        <v>yellow</v>
      </c>
      <c r="X172" s="4" t="str">
        <f t="shared" ref="X172:Z172" si="176">IF(Q172="","Unknown",Q172)</f>
        <v>Palora, Ecuador</v>
      </c>
      <c r="Y172" s="4" t="str">
        <f t="shared" si="176"/>
        <v>South America</v>
      </c>
      <c r="Z172" s="4" t="str">
        <f t="shared" si="176"/>
        <v>Ecuador</v>
      </c>
      <c r="AA172" s="4" t="str">
        <f t="shared" si="7"/>
        <v>mww</v>
      </c>
    </row>
    <row r="173">
      <c r="A173" s="3" t="s">
        <v>540</v>
      </c>
      <c r="B173" s="3">
        <v>6.7</v>
      </c>
      <c r="C173" s="19">
        <f>Raw_Data!T173</f>
        <v>43497.67639</v>
      </c>
      <c r="D173" s="3">
        <v>6.0</v>
      </c>
      <c r="E173" s="3">
        <v>6.0</v>
      </c>
      <c r="F173" s="3" t="s">
        <v>116</v>
      </c>
      <c r="G173" s="3">
        <v>1.0</v>
      </c>
      <c r="H173" s="3">
        <v>909.0</v>
      </c>
      <c r="I173" s="3" t="s">
        <v>110</v>
      </c>
      <c r="J173" s="3">
        <v>0.0</v>
      </c>
      <c r="K173" s="3">
        <v>0.289</v>
      </c>
      <c r="L173" s="3">
        <v>43.0</v>
      </c>
      <c r="M173" s="4" t="str">
        <f>Raw_Data!X173</f>
        <v>mww</v>
      </c>
      <c r="N173" s="3">
        <v>66.0</v>
      </c>
      <c r="O173" s="3">
        <v>14.6802</v>
      </c>
      <c r="P173" s="3">
        <v>-92.4527</v>
      </c>
      <c r="Q173" s="3" t="s">
        <v>541</v>
      </c>
      <c r="R173" s="4"/>
      <c r="S173" s="3" t="s">
        <v>234</v>
      </c>
      <c r="T173" s="4" t="str">
        <f t="shared" si="2"/>
        <v>Valid</v>
      </c>
      <c r="U173" s="4">
        <f t="shared" si="3"/>
        <v>1</v>
      </c>
      <c r="V173" s="4" t="str">
        <f t="shared" si="4"/>
        <v>Unique</v>
      </c>
      <c r="W173" s="4" t="str">
        <f t="shared" si="5"/>
        <v>yellow</v>
      </c>
      <c r="X173" s="4" t="str">
        <f t="shared" ref="X173:Z173" si="177">IF(Q173="","Unknown",Q173)</f>
        <v>Puerto Madero, Mexico</v>
      </c>
      <c r="Y173" s="4" t="str">
        <f t="shared" si="177"/>
        <v>Unknown</v>
      </c>
      <c r="Z173" s="4" t="str">
        <f t="shared" si="177"/>
        <v>Mexico</v>
      </c>
      <c r="AA173" s="4" t="str">
        <f t="shared" si="7"/>
        <v>mww</v>
      </c>
    </row>
    <row r="174">
      <c r="A174" s="3" t="s">
        <v>542</v>
      </c>
      <c r="B174" s="3">
        <v>6.7</v>
      </c>
      <c r="C174" s="19">
        <f>Raw_Data!T174</f>
        <v>43487.79236</v>
      </c>
      <c r="D174" s="3">
        <v>0.0</v>
      </c>
      <c r="E174" s="3">
        <v>3.0</v>
      </c>
      <c r="F174" s="3" t="s">
        <v>109</v>
      </c>
      <c r="G174" s="3">
        <v>0.0</v>
      </c>
      <c r="H174" s="3">
        <v>691.0</v>
      </c>
      <c r="I174" s="3" t="s">
        <v>110</v>
      </c>
      <c r="J174" s="3">
        <v>0.0</v>
      </c>
      <c r="K174" s="3">
        <v>7.527</v>
      </c>
      <c r="L174" s="3">
        <v>17.0</v>
      </c>
      <c r="M174" s="4" t="str">
        <f>Raw_Data!X174</f>
        <v>mww</v>
      </c>
      <c r="N174" s="3">
        <v>13.0</v>
      </c>
      <c r="O174" s="3">
        <v>-43.1219</v>
      </c>
      <c r="P174" s="3">
        <v>42.3568</v>
      </c>
      <c r="Q174" s="3" t="s">
        <v>544</v>
      </c>
      <c r="R174" s="4"/>
      <c r="S174" s="4"/>
      <c r="T174" s="4" t="str">
        <f t="shared" si="2"/>
        <v>Valid</v>
      </c>
      <c r="U174" s="4">
        <f t="shared" si="3"/>
        <v>1</v>
      </c>
      <c r="V174" s="4" t="str">
        <f t="shared" si="4"/>
        <v>Unique</v>
      </c>
      <c r="W174" s="4" t="str">
        <f t="shared" si="5"/>
        <v>green</v>
      </c>
      <c r="X174" s="4" t="str">
        <f t="shared" ref="X174:Z174" si="178">IF(Q174="","Unknown",Q174)</f>
        <v>Prince Edward Islands region</v>
      </c>
      <c r="Y174" s="4" t="str">
        <f t="shared" si="178"/>
        <v>Unknown</v>
      </c>
      <c r="Z174" s="4" t="str">
        <f t="shared" si="178"/>
        <v>Unknown</v>
      </c>
      <c r="AA174" s="4" t="str">
        <f t="shared" si="7"/>
        <v>mww</v>
      </c>
    </row>
    <row r="175">
      <c r="A175" s="3" t="s">
        <v>545</v>
      </c>
      <c r="B175" s="3">
        <v>6.7</v>
      </c>
      <c r="C175" s="19">
        <f>Raw_Data!T175</f>
        <v>43485.06389</v>
      </c>
      <c r="D175" s="3">
        <v>8.0</v>
      </c>
      <c r="E175" s="3">
        <v>8.0</v>
      </c>
      <c r="F175" s="3" t="s">
        <v>178</v>
      </c>
      <c r="G175" s="3">
        <v>1.0</v>
      </c>
      <c r="H175" s="3">
        <v>1600.0</v>
      </c>
      <c r="I175" s="3" t="s">
        <v>110</v>
      </c>
      <c r="J175" s="3">
        <v>0.0</v>
      </c>
      <c r="K175" s="3">
        <v>0.173</v>
      </c>
      <c r="L175" s="3">
        <v>22.0</v>
      </c>
      <c r="M175" s="4" t="str">
        <f>Raw_Data!X175</f>
        <v>mww</v>
      </c>
      <c r="N175" s="3">
        <v>63.0</v>
      </c>
      <c r="O175" s="3">
        <v>-30.0404</v>
      </c>
      <c r="P175" s="3">
        <v>-71.3815</v>
      </c>
      <c r="Q175" s="3" t="s">
        <v>547</v>
      </c>
      <c r="R175" s="3" t="s">
        <v>121</v>
      </c>
      <c r="S175" s="3" t="s">
        <v>414</v>
      </c>
      <c r="T175" s="4" t="str">
        <f t="shared" si="2"/>
        <v>Valid</v>
      </c>
      <c r="U175" s="4">
        <f t="shared" si="3"/>
        <v>1</v>
      </c>
      <c r="V175" s="4" t="str">
        <f t="shared" si="4"/>
        <v>Unique</v>
      </c>
      <c r="W175" s="4" t="str">
        <f t="shared" si="5"/>
        <v>orange</v>
      </c>
      <c r="X175" s="4" t="str">
        <f t="shared" ref="X175:Z175" si="179">IF(Q175="","Unknown",Q175)</f>
        <v>Coquimbo, Chile</v>
      </c>
      <c r="Y175" s="4" t="str">
        <f t="shared" si="179"/>
        <v>South America</v>
      </c>
      <c r="Z175" s="4" t="str">
        <f t="shared" si="179"/>
        <v>Chile</v>
      </c>
      <c r="AA175" s="4" t="str">
        <f t="shared" si="7"/>
        <v>mww</v>
      </c>
    </row>
    <row r="176">
      <c r="A176" s="3" t="s">
        <v>548</v>
      </c>
      <c r="B176" s="3">
        <v>6.6</v>
      </c>
      <c r="C176" s="19">
        <f>Raw_Data!T176</f>
        <v>43480.75417</v>
      </c>
      <c r="D176" s="3">
        <v>5.0</v>
      </c>
      <c r="E176" s="3">
        <v>4.0</v>
      </c>
      <c r="F176" s="3" t="s">
        <v>109</v>
      </c>
      <c r="G176" s="3">
        <v>1.0</v>
      </c>
      <c r="H176" s="3">
        <v>671.0</v>
      </c>
      <c r="I176" s="3" t="s">
        <v>110</v>
      </c>
      <c r="J176" s="3">
        <v>0.0</v>
      </c>
      <c r="K176" s="3">
        <v>7.818</v>
      </c>
      <c r="L176" s="3">
        <v>18.0</v>
      </c>
      <c r="M176" s="4" t="str">
        <f>Raw_Data!X176</f>
        <v>mww</v>
      </c>
      <c r="N176" s="3">
        <v>35.0</v>
      </c>
      <c r="O176" s="3">
        <v>-13.336</v>
      </c>
      <c r="P176" s="3">
        <v>166.875</v>
      </c>
      <c r="Q176" s="3" t="s">
        <v>112</v>
      </c>
      <c r="R176" s="4"/>
      <c r="S176" s="3" t="s">
        <v>113</v>
      </c>
      <c r="T176" s="4" t="str">
        <f t="shared" si="2"/>
        <v>Valid</v>
      </c>
      <c r="U176" s="4">
        <f t="shared" si="3"/>
        <v>1</v>
      </c>
      <c r="V176" s="4" t="str">
        <f t="shared" si="4"/>
        <v>Unique</v>
      </c>
      <c r="W176" s="4" t="str">
        <f t="shared" si="5"/>
        <v>green</v>
      </c>
      <c r="X176" s="4" t="str">
        <f t="shared" ref="X176:Z176" si="180">IF(Q176="","Unknown",Q176)</f>
        <v>Sola, Vanuatu</v>
      </c>
      <c r="Y176" s="4" t="str">
        <f t="shared" si="180"/>
        <v>Unknown</v>
      </c>
      <c r="Z176" s="4" t="str">
        <f t="shared" si="180"/>
        <v>Vanuatu</v>
      </c>
      <c r="AA176" s="4" t="str">
        <f t="shared" si="7"/>
        <v>mww</v>
      </c>
    </row>
    <row r="177">
      <c r="A177" s="3" t="s">
        <v>550</v>
      </c>
      <c r="B177" s="3">
        <v>6.6</v>
      </c>
      <c r="C177" s="19">
        <f>Raw_Data!T177</f>
        <v>43471.72708</v>
      </c>
      <c r="D177" s="3">
        <v>2.0</v>
      </c>
      <c r="E177" s="3">
        <v>4.0</v>
      </c>
      <c r="F177" s="3" t="s">
        <v>109</v>
      </c>
      <c r="G177" s="3">
        <v>1.0</v>
      </c>
      <c r="H177" s="3">
        <v>672.0</v>
      </c>
      <c r="I177" s="3" t="s">
        <v>110</v>
      </c>
      <c r="J177" s="3">
        <v>0.0</v>
      </c>
      <c r="K177" s="3">
        <v>1.596</v>
      </c>
      <c r="L177" s="3">
        <v>33.0</v>
      </c>
      <c r="M177" s="4" t="str">
        <f>Raw_Data!X177</f>
        <v>mww</v>
      </c>
      <c r="N177" s="3">
        <v>43.21</v>
      </c>
      <c r="O177" s="3">
        <v>2.258</v>
      </c>
      <c r="P177" s="3">
        <v>126.758</v>
      </c>
      <c r="Q177" s="3" t="s">
        <v>551</v>
      </c>
      <c r="R177" s="4"/>
      <c r="S177" s="3" t="s">
        <v>153</v>
      </c>
      <c r="T177" s="4" t="str">
        <f t="shared" si="2"/>
        <v>Valid</v>
      </c>
      <c r="U177" s="4">
        <f t="shared" si="3"/>
        <v>1</v>
      </c>
      <c r="V177" s="4" t="str">
        <f t="shared" si="4"/>
        <v>Unique</v>
      </c>
      <c r="W177" s="4" t="str">
        <f t="shared" si="5"/>
        <v>green</v>
      </c>
      <c r="X177" s="4" t="str">
        <f t="shared" ref="X177:Z177" si="181">IF(Q177="","Unknown",Q177)</f>
        <v>Molucca Sea</v>
      </c>
      <c r="Y177" s="4" t="str">
        <f t="shared" si="181"/>
        <v>Unknown</v>
      </c>
      <c r="Z177" s="4" t="str">
        <f t="shared" si="181"/>
        <v>Indonesia</v>
      </c>
      <c r="AA177" s="4" t="str">
        <f t="shared" si="7"/>
        <v>mww</v>
      </c>
    </row>
    <row r="178">
      <c r="A178" s="3" t="s">
        <v>552</v>
      </c>
      <c r="B178" s="3">
        <v>6.8</v>
      </c>
      <c r="C178" s="19">
        <f>Raw_Data!T178</f>
        <v>43470.80903</v>
      </c>
      <c r="D178" s="3">
        <v>3.0</v>
      </c>
      <c r="E178" s="3">
        <v>3.0</v>
      </c>
      <c r="F178" s="3" t="s">
        <v>109</v>
      </c>
      <c r="G178" s="3">
        <v>0.0</v>
      </c>
      <c r="H178" s="3">
        <v>715.0</v>
      </c>
      <c r="I178" s="3" t="s">
        <v>110</v>
      </c>
      <c r="J178" s="3">
        <v>0.0</v>
      </c>
      <c r="K178" s="3">
        <v>1.181</v>
      </c>
      <c r="L178" s="3">
        <v>16.0</v>
      </c>
      <c r="M178" s="4" t="str">
        <f>Raw_Data!X178</f>
        <v>mww</v>
      </c>
      <c r="N178" s="3">
        <v>570.41</v>
      </c>
      <c r="O178" s="3">
        <v>-8.144</v>
      </c>
      <c r="P178" s="3">
        <v>-71.587</v>
      </c>
      <c r="Q178" s="3" t="s">
        <v>553</v>
      </c>
      <c r="R178" s="3" t="s">
        <v>121</v>
      </c>
      <c r="S178" s="3" t="s">
        <v>261</v>
      </c>
      <c r="T178" s="4" t="str">
        <f t="shared" si="2"/>
        <v>Valid</v>
      </c>
      <c r="U178" s="4">
        <f t="shared" si="3"/>
        <v>1</v>
      </c>
      <c r="V178" s="4" t="str">
        <f t="shared" si="4"/>
        <v>Unique</v>
      </c>
      <c r="W178" s="4" t="str">
        <f t="shared" si="5"/>
        <v>green</v>
      </c>
      <c r="X178" s="4" t="str">
        <f t="shared" ref="X178:Z178" si="182">IF(Q178="","Unknown",Q178)</f>
        <v>Tarauaca, Brazil</v>
      </c>
      <c r="Y178" s="4" t="str">
        <f t="shared" si="182"/>
        <v>South America</v>
      </c>
      <c r="Z178" s="4" t="str">
        <f t="shared" si="182"/>
        <v>Brazil</v>
      </c>
      <c r="AA178" s="4" t="str">
        <f t="shared" si="7"/>
        <v>mww</v>
      </c>
    </row>
    <row r="179">
      <c r="A179" s="3" t="s">
        <v>554</v>
      </c>
      <c r="B179" s="3">
        <v>7.0</v>
      </c>
      <c r="C179" s="19">
        <f>Raw_Data!T179</f>
        <v>43463.15208</v>
      </c>
      <c r="D179" s="3">
        <v>5.0</v>
      </c>
      <c r="E179" s="3">
        <v>5.0</v>
      </c>
      <c r="F179" s="3" t="s">
        <v>109</v>
      </c>
      <c r="G179" s="3">
        <v>1.0</v>
      </c>
      <c r="H179" s="3">
        <v>803.0</v>
      </c>
      <c r="I179" s="3" t="s">
        <v>110</v>
      </c>
      <c r="J179" s="3">
        <v>0.0</v>
      </c>
      <c r="K179" s="3">
        <v>1.769</v>
      </c>
      <c r="L179" s="3">
        <v>21.0</v>
      </c>
      <c r="M179" s="4" t="str">
        <f>Raw_Data!X179</f>
        <v>mww</v>
      </c>
      <c r="N179" s="3">
        <v>60.21</v>
      </c>
      <c r="O179" s="3">
        <v>5.8983</v>
      </c>
      <c r="P179" s="3">
        <v>126.921</v>
      </c>
      <c r="Q179" s="3" t="s">
        <v>348</v>
      </c>
      <c r="R179" s="4"/>
      <c r="S179" s="4"/>
      <c r="T179" s="4" t="str">
        <f t="shared" si="2"/>
        <v>Valid</v>
      </c>
      <c r="U179" s="4">
        <f t="shared" si="3"/>
        <v>1</v>
      </c>
      <c r="V179" s="4" t="str">
        <f t="shared" si="4"/>
        <v>Unique</v>
      </c>
      <c r="W179" s="4" t="str">
        <f t="shared" si="5"/>
        <v>green</v>
      </c>
      <c r="X179" s="4" t="str">
        <f t="shared" ref="X179:Z179" si="183">IF(Q179="","Unknown",Q179)</f>
        <v>Pondaguitan, Philippines</v>
      </c>
      <c r="Y179" s="4" t="str">
        <f t="shared" si="183"/>
        <v>Unknown</v>
      </c>
      <c r="Z179" s="4" t="str">
        <f t="shared" si="183"/>
        <v>Unknown</v>
      </c>
      <c r="AA179" s="4" t="str">
        <f t="shared" si="7"/>
        <v>mww</v>
      </c>
    </row>
    <row r="180">
      <c r="A180" s="3" t="s">
        <v>556</v>
      </c>
      <c r="B180" s="3">
        <v>7.3</v>
      </c>
      <c r="C180" s="19">
        <f>Raw_Data!T180</f>
        <v>43454.70903</v>
      </c>
      <c r="D180" s="3">
        <v>3.0</v>
      </c>
      <c r="E180" s="3">
        <v>7.0</v>
      </c>
      <c r="F180" s="3" t="s">
        <v>109</v>
      </c>
      <c r="G180" s="3">
        <v>1.0</v>
      </c>
      <c r="H180" s="3">
        <v>822.0</v>
      </c>
      <c r="I180" s="3" t="s">
        <v>110</v>
      </c>
      <c r="J180" s="3">
        <v>0.0</v>
      </c>
      <c r="K180" s="3">
        <v>4.126</v>
      </c>
      <c r="L180" s="3">
        <v>23.0</v>
      </c>
      <c r="M180" s="4" t="str">
        <f>Raw_Data!X180</f>
        <v>mww</v>
      </c>
      <c r="N180" s="3">
        <v>16.56</v>
      </c>
      <c r="O180" s="3">
        <v>55.0999</v>
      </c>
      <c r="P180" s="3">
        <v>164.699</v>
      </c>
      <c r="Q180" s="3" t="s">
        <v>383</v>
      </c>
      <c r="R180" s="4"/>
      <c r="S180" s="4"/>
      <c r="T180" s="4" t="str">
        <f t="shared" si="2"/>
        <v>Valid</v>
      </c>
      <c r="U180" s="4">
        <f t="shared" si="3"/>
        <v>1</v>
      </c>
      <c r="V180" s="4" t="str">
        <f t="shared" si="4"/>
        <v>Unique</v>
      </c>
      <c r="W180" s="4" t="str">
        <f t="shared" si="5"/>
        <v>green</v>
      </c>
      <c r="X180" s="4" t="str">
        <f t="shared" ref="X180:Z180" si="184">IF(Q180="","Unknown",Q180)</f>
        <v>Ust’-Kamchatsk Staryy, Russia</v>
      </c>
      <c r="Y180" s="4" t="str">
        <f t="shared" si="184"/>
        <v>Unknown</v>
      </c>
      <c r="Z180" s="4" t="str">
        <f t="shared" si="184"/>
        <v>Unknown</v>
      </c>
      <c r="AA180" s="4" t="str">
        <f t="shared" si="7"/>
        <v>mww</v>
      </c>
    </row>
    <row r="181">
      <c r="A181" s="3" t="s">
        <v>327</v>
      </c>
      <c r="B181" s="3">
        <v>7.1</v>
      </c>
      <c r="C181" s="19">
        <f>Raw_Data!T181</f>
        <v>43445.10139</v>
      </c>
      <c r="D181" s="3">
        <v>0.0</v>
      </c>
      <c r="E181" s="3">
        <v>5.0</v>
      </c>
      <c r="F181" s="3" t="s">
        <v>109</v>
      </c>
      <c r="G181" s="3">
        <v>1.0</v>
      </c>
      <c r="H181" s="3">
        <v>776.0</v>
      </c>
      <c r="I181" s="3" t="s">
        <v>110</v>
      </c>
      <c r="J181" s="3">
        <v>0.0</v>
      </c>
      <c r="K181" s="3">
        <v>7.043</v>
      </c>
      <c r="L181" s="3">
        <v>20.0</v>
      </c>
      <c r="M181" s="4" t="str">
        <f>Raw_Data!X181</f>
        <v>mww</v>
      </c>
      <c r="N181" s="3">
        <v>133.0</v>
      </c>
      <c r="O181" s="3">
        <v>-58.5446</v>
      </c>
      <c r="P181" s="3">
        <v>-26.3856</v>
      </c>
      <c r="Q181" s="3" t="s">
        <v>329</v>
      </c>
      <c r="R181" s="4"/>
      <c r="S181" s="3" t="s">
        <v>558</v>
      </c>
      <c r="T181" s="4" t="str">
        <f t="shared" si="2"/>
        <v>Valid</v>
      </c>
      <c r="U181" s="4">
        <f t="shared" si="3"/>
        <v>1</v>
      </c>
      <c r="V181" s="4" t="str">
        <f t="shared" si="4"/>
        <v>Unique</v>
      </c>
      <c r="W181" s="4" t="str">
        <f t="shared" si="5"/>
        <v>green</v>
      </c>
      <c r="X181" s="4" t="str">
        <f t="shared" ref="X181:Z181" si="185">IF(Q181="","Unknown",Q181)</f>
        <v>South Sandwich Islands region</v>
      </c>
      <c r="Y181" s="4" t="str">
        <f t="shared" si="185"/>
        <v>Unknown</v>
      </c>
      <c r="Z181" s="4" t="str">
        <f t="shared" si="185"/>
        <v>South Georgia and the South Sandwich Islands</v>
      </c>
      <c r="AA181" s="4" t="str">
        <f t="shared" si="7"/>
        <v>mww</v>
      </c>
    </row>
    <row r="182">
      <c r="A182" s="3" t="s">
        <v>559</v>
      </c>
      <c r="B182" s="3">
        <v>6.6</v>
      </c>
      <c r="C182" s="19">
        <f>Raw_Data!T182</f>
        <v>43439.27986</v>
      </c>
      <c r="D182" s="3">
        <v>0.0</v>
      </c>
      <c r="E182" s="3">
        <v>4.0</v>
      </c>
      <c r="F182" s="3" t="s">
        <v>109</v>
      </c>
      <c r="G182" s="3">
        <v>1.0</v>
      </c>
      <c r="H182" s="3">
        <v>670.0</v>
      </c>
      <c r="I182" s="3" t="s">
        <v>110</v>
      </c>
      <c r="J182" s="3">
        <v>0.0</v>
      </c>
      <c r="K182" s="3">
        <v>2.679</v>
      </c>
      <c r="L182" s="3">
        <v>31.0</v>
      </c>
      <c r="M182" s="4" t="str">
        <f>Raw_Data!X182</f>
        <v>mww</v>
      </c>
      <c r="N182" s="3">
        <v>10.0</v>
      </c>
      <c r="O182" s="3">
        <v>-22.0629</v>
      </c>
      <c r="P182" s="3">
        <v>169.733</v>
      </c>
      <c r="Q182" s="3" t="s">
        <v>276</v>
      </c>
      <c r="R182" s="4"/>
      <c r="S182" s="4"/>
      <c r="T182" s="4" t="str">
        <f t="shared" si="2"/>
        <v>Valid</v>
      </c>
      <c r="U182" s="4">
        <f t="shared" si="3"/>
        <v>1</v>
      </c>
      <c r="V182" s="4" t="str">
        <f t="shared" si="4"/>
        <v>Unique</v>
      </c>
      <c r="W182" s="4" t="str">
        <f t="shared" si="5"/>
        <v>green</v>
      </c>
      <c r="X182" s="4" t="str">
        <f t="shared" ref="X182:Z182" si="186">IF(Q182="","Unknown",Q182)</f>
        <v>Tadine, New Caledonia</v>
      </c>
      <c r="Y182" s="4" t="str">
        <f t="shared" si="186"/>
        <v>Unknown</v>
      </c>
      <c r="Z182" s="4" t="str">
        <f t="shared" si="186"/>
        <v>Unknown</v>
      </c>
      <c r="AA182" s="4" t="str">
        <f t="shared" si="7"/>
        <v>mww</v>
      </c>
    </row>
    <row r="183">
      <c r="A183" s="3" t="s">
        <v>560</v>
      </c>
      <c r="B183" s="3">
        <v>7.5</v>
      </c>
      <c r="C183" s="19">
        <f>Raw_Data!T183</f>
        <v>43439.17917</v>
      </c>
      <c r="D183" s="3">
        <v>3.0</v>
      </c>
      <c r="E183" s="3">
        <v>6.0</v>
      </c>
      <c r="F183" s="3" t="s">
        <v>109</v>
      </c>
      <c r="G183" s="3">
        <v>1.0</v>
      </c>
      <c r="H183" s="3">
        <v>871.0</v>
      </c>
      <c r="I183" s="3" t="s">
        <v>110</v>
      </c>
      <c r="J183" s="3">
        <v>0.0</v>
      </c>
      <c r="K183" s="3">
        <v>2.405</v>
      </c>
      <c r="L183" s="3">
        <v>18.0</v>
      </c>
      <c r="M183" s="4" t="str">
        <f>Raw_Data!X183</f>
        <v>mww</v>
      </c>
      <c r="N183" s="3">
        <v>10.0</v>
      </c>
      <c r="O183" s="3">
        <v>-21.9496</v>
      </c>
      <c r="P183" s="3">
        <v>169.427</v>
      </c>
      <c r="Q183" s="3" t="s">
        <v>276</v>
      </c>
      <c r="R183" s="4"/>
      <c r="S183" s="4"/>
      <c r="T183" s="4" t="str">
        <f t="shared" si="2"/>
        <v>Valid</v>
      </c>
      <c r="U183" s="4">
        <f t="shared" si="3"/>
        <v>1</v>
      </c>
      <c r="V183" s="4" t="str">
        <f t="shared" si="4"/>
        <v>Unique</v>
      </c>
      <c r="W183" s="4" t="str">
        <f t="shared" si="5"/>
        <v>green</v>
      </c>
      <c r="X183" s="4" t="str">
        <f t="shared" ref="X183:Z183" si="187">IF(Q183="","Unknown",Q183)</f>
        <v>Tadine, New Caledonia</v>
      </c>
      <c r="Y183" s="4" t="str">
        <f t="shared" si="187"/>
        <v>Unknown</v>
      </c>
      <c r="Z183" s="4" t="str">
        <f t="shared" si="187"/>
        <v>Unknown</v>
      </c>
      <c r="AA183" s="4" t="str">
        <f t="shared" si="7"/>
        <v>mww</v>
      </c>
    </row>
    <row r="184">
      <c r="A184" s="3" t="s">
        <v>561</v>
      </c>
      <c r="B184" s="3">
        <v>7.1</v>
      </c>
      <c r="C184" s="19">
        <f>Raw_Data!T184</f>
        <v>43434.72847</v>
      </c>
      <c r="D184" s="3">
        <v>8.0</v>
      </c>
      <c r="E184" s="3">
        <v>8.0</v>
      </c>
      <c r="F184" s="3" t="s">
        <v>178</v>
      </c>
      <c r="G184" s="3">
        <v>1.0</v>
      </c>
      <c r="H184" s="3">
        <v>1790.0</v>
      </c>
      <c r="I184" s="3" t="s">
        <v>316</v>
      </c>
      <c r="J184" s="3">
        <v>0.0</v>
      </c>
      <c r="K184" s="3">
        <v>0.0</v>
      </c>
      <c r="L184" s="3">
        <v>0.0</v>
      </c>
      <c r="M184" s="4" t="str">
        <f>Raw_Data!X184</f>
        <v>mw</v>
      </c>
      <c r="N184" s="3">
        <v>46.7</v>
      </c>
      <c r="O184" s="3">
        <v>61.3464</v>
      </c>
      <c r="P184" s="3">
        <v>-149.955</v>
      </c>
      <c r="Q184" s="3" t="s">
        <v>563</v>
      </c>
      <c r="R184" s="3" t="s">
        <v>233</v>
      </c>
      <c r="S184" s="3" t="s">
        <v>318</v>
      </c>
      <c r="T184" s="4" t="str">
        <f t="shared" si="2"/>
        <v>Valid</v>
      </c>
      <c r="U184" s="4">
        <f t="shared" si="3"/>
        <v>1</v>
      </c>
      <c r="V184" s="4" t="str">
        <f t="shared" si="4"/>
        <v>Unique</v>
      </c>
      <c r="W184" s="4" t="str">
        <f t="shared" si="5"/>
        <v>orange</v>
      </c>
      <c r="X184" s="4" t="str">
        <f t="shared" ref="X184:Z184" si="188">IF(Q184="","Unknown",Q184)</f>
        <v>Point MacKenzie, Alaska</v>
      </c>
      <c r="Y184" s="4" t="str">
        <f t="shared" si="188"/>
        <v>North America</v>
      </c>
      <c r="Z184" s="4" t="str">
        <f t="shared" si="188"/>
        <v>United States of America</v>
      </c>
      <c r="AA184" s="4" t="str">
        <f t="shared" si="7"/>
        <v>mw</v>
      </c>
    </row>
    <row r="185">
      <c r="A185" s="3" t="s">
        <v>564</v>
      </c>
      <c r="B185" s="3">
        <v>6.8</v>
      </c>
      <c r="C185" s="19">
        <f>Raw_Data!T185</f>
        <v>43422.85069</v>
      </c>
      <c r="D185" s="3">
        <v>0.0</v>
      </c>
      <c r="E185" s="3">
        <v>3.0</v>
      </c>
      <c r="F185" s="3" t="s">
        <v>109</v>
      </c>
      <c r="G185" s="3">
        <v>1.0</v>
      </c>
      <c r="H185" s="3">
        <v>711.0</v>
      </c>
      <c r="I185" s="3" t="s">
        <v>110</v>
      </c>
      <c r="J185" s="3">
        <v>0.0</v>
      </c>
      <c r="K185" s="3">
        <v>2.879</v>
      </c>
      <c r="L185" s="3">
        <v>39.0</v>
      </c>
      <c r="M185" s="4" t="str">
        <f>Raw_Data!X185</f>
        <v>mww</v>
      </c>
      <c r="N185" s="3">
        <v>540.0</v>
      </c>
      <c r="O185" s="3">
        <v>-17.8735</v>
      </c>
      <c r="P185" s="3">
        <v>-178.927</v>
      </c>
      <c r="Q185" s="3" t="s">
        <v>566</v>
      </c>
      <c r="R185" s="4"/>
      <c r="S185" s="3" t="s">
        <v>219</v>
      </c>
      <c r="T185" s="4" t="str">
        <f t="shared" si="2"/>
        <v>Valid</v>
      </c>
      <c r="U185" s="4">
        <f t="shared" si="3"/>
        <v>1</v>
      </c>
      <c r="V185" s="4" t="str">
        <f t="shared" si="4"/>
        <v>Unique</v>
      </c>
      <c r="W185" s="4" t="str">
        <f t="shared" si="5"/>
        <v>green</v>
      </c>
      <c r="X185" s="4" t="str">
        <f t="shared" ref="X185:Z185" si="189">IF(Q185="","Unknown",Q185)</f>
        <v>Levuka, Fiji</v>
      </c>
      <c r="Y185" s="4" t="str">
        <f t="shared" si="189"/>
        <v>Unknown</v>
      </c>
      <c r="Z185" s="4" t="str">
        <f t="shared" si="189"/>
        <v>Fiji</v>
      </c>
      <c r="AA185" s="4" t="str">
        <f t="shared" si="7"/>
        <v>mww</v>
      </c>
    </row>
    <row r="186">
      <c r="A186" s="3" t="s">
        <v>567</v>
      </c>
      <c r="B186" s="3">
        <v>6.7</v>
      </c>
      <c r="C186" s="19">
        <f>Raw_Data!T186</f>
        <v>43413.07569</v>
      </c>
      <c r="D186" s="3">
        <v>3.0</v>
      </c>
      <c r="E186" s="3">
        <v>4.0</v>
      </c>
      <c r="F186" s="3" t="s">
        <v>109</v>
      </c>
      <c r="G186" s="3">
        <v>1.0</v>
      </c>
      <c r="H186" s="3">
        <v>693.0</v>
      </c>
      <c r="I186" s="3" t="s">
        <v>110</v>
      </c>
      <c r="J186" s="3">
        <v>0.0</v>
      </c>
      <c r="K186" s="3">
        <v>7.853</v>
      </c>
      <c r="L186" s="3">
        <v>19.0</v>
      </c>
      <c r="M186" s="4" t="str">
        <f>Raw_Data!X186</f>
        <v>mww</v>
      </c>
      <c r="N186" s="3">
        <v>10.0</v>
      </c>
      <c r="O186" s="3">
        <v>71.6312</v>
      </c>
      <c r="P186" s="3">
        <v>-11.2431</v>
      </c>
      <c r="Q186" s="3" t="s">
        <v>568</v>
      </c>
      <c r="R186" s="4"/>
      <c r="S186" s="4"/>
      <c r="T186" s="4" t="str">
        <f t="shared" si="2"/>
        <v>Valid</v>
      </c>
      <c r="U186" s="4">
        <f t="shared" si="3"/>
        <v>1</v>
      </c>
      <c r="V186" s="4" t="str">
        <f t="shared" si="4"/>
        <v>Unique</v>
      </c>
      <c r="W186" s="4" t="str">
        <f t="shared" si="5"/>
        <v>green</v>
      </c>
      <c r="X186" s="4" t="str">
        <f t="shared" ref="X186:Z186" si="190">IF(Q186="","Unknown",Q186)</f>
        <v>Olonkinbyen, Svalbard and Jan Mayen</v>
      </c>
      <c r="Y186" s="4" t="str">
        <f t="shared" si="190"/>
        <v>Unknown</v>
      </c>
      <c r="Z186" s="4" t="str">
        <f t="shared" si="190"/>
        <v>Unknown</v>
      </c>
      <c r="AA186" s="4" t="str">
        <f t="shared" si="7"/>
        <v>mww</v>
      </c>
    </row>
    <row r="187">
      <c r="A187" s="3" t="s">
        <v>569</v>
      </c>
      <c r="B187" s="3">
        <v>6.8</v>
      </c>
      <c r="C187" s="19">
        <f>Raw_Data!T187</f>
        <v>43398.95417</v>
      </c>
      <c r="D187" s="3">
        <v>8.0</v>
      </c>
      <c r="E187" s="3">
        <v>7.0</v>
      </c>
      <c r="F187" s="3" t="s">
        <v>116</v>
      </c>
      <c r="G187" s="3">
        <v>0.0</v>
      </c>
      <c r="H187" s="3">
        <v>954.0</v>
      </c>
      <c r="I187" s="3" t="s">
        <v>110</v>
      </c>
      <c r="J187" s="3">
        <v>0.0</v>
      </c>
      <c r="K187" s="3">
        <v>2.268</v>
      </c>
      <c r="L187" s="3">
        <v>15.0</v>
      </c>
      <c r="M187" s="4" t="str">
        <f>Raw_Data!X187</f>
        <v>mww</v>
      </c>
      <c r="N187" s="3">
        <v>14.0</v>
      </c>
      <c r="O187" s="3">
        <v>37.5203</v>
      </c>
      <c r="P187" s="3">
        <v>20.5565</v>
      </c>
      <c r="Q187" s="3" t="s">
        <v>571</v>
      </c>
      <c r="R187" s="3" t="s">
        <v>404</v>
      </c>
      <c r="S187" s="4"/>
      <c r="T187" s="4" t="str">
        <f t="shared" si="2"/>
        <v>Valid</v>
      </c>
      <c r="U187" s="4">
        <f t="shared" si="3"/>
        <v>1</v>
      </c>
      <c r="V187" s="4" t="str">
        <f t="shared" si="4"/>
        <v>Unique</v>
      </c>
      <c r="W187" s="4" t="str">
        <f t="shared" si="5"/>
        <v>yellow</v>
      </c>
      <c r="X187" s="4" t="str">
        <f t="shared" ref="X187:Z187" si="191">IF(Q187="","Unknown",Q187)</f>
        <v>Lithakiá, Greece</v>
      </c>
      <c r="Y187" s="4" t="str">
        <f t="shared" si="191"/>
        <v>Europe</v>
      </c>
      <c r="Z187" s="4" t="str">
        <f t="shared" si="191"/>
        <v>Unknown</v>
      </c>
      <c r="AA187" s="4" t="str">
        <f t="shared" si="7"/>
        <v>mww</v>
      </c>
    </row>
    <row r="188">
      <c r="A188" s="3" t="s">
        <v>572</v>
      </c>
      <c r="B188" s="3">
        <v>6.5</v>
      </c>
      <c r="C188" s="19">
        <f>Raw_Data!T188</f>
        <v>43395.26528</v>
      </c>
      <c r="D188" s="3">
        <v>2.0</v>
      </c>
      <c r="E188" s="3">
        <v>4.0</v>
      </c>
      <c r="F188" s="3" t="s">
        <v>109</v>
      </c>
      <c r="G188" s="3">
        <v>0.0</v>
      </c>
      <c r="H188" s="3">
        <v>655.0</v>
      </c>
      <c r="I188" s="3" t="s">
        <v>110</v>
      </c>
      <c r="J188" s="3">
        <v>0.0</v>
      </c>
      <c r="K188" s="3">
        <v>1.692</v>
      </c>
      <c r="L188" s="3">
        <v>68.0</v>
      </c>
      <c r="M188" s="4" t="str">
        <f>Raw_Data!X188</f>
        <v>mww</v>
      </c>
      <c r="N188" s="3">
        <v>10.0</v>
      </c>
      <c r="O188" s="3">
        <v>49.297</v>
      </c>
      <c r="P188" s="3">
        <v>-129.724</v>
      </c>
      <c r="Q188" s="3" t="s">
        <v>574</v>
      </c>
      <c r="R188" s="4"/>
      <c r="S188" s="4"/>
      <c r="T188" s="4" t="str">
        <f t="shared" si="2"/>
        <v>Valid</v>
      </c>
      <c r="U188" s="4">
        <f t="shared" si="3"/>
        <v>1</v>
      </c>
      <c r="V188" s="4" t="str">
        <f t="shared" si="4"/>
        <v>Unique</v>
      </c>
      <c r="W188" s="4" t="str">
        <f t="shared" si="5"/>
        <v>green</v>
      </c>
      <c r="X188" s="4" t="str">
        <f t="shared" ref="X188:Z188" si="192">IF(Q188="","Unknown",Q188)</f>
        <v>Port McNeill, Canada</v>
      </c>
      <c r="Y188" s="4" t="str">
        <f t="shared" si="192"/>
        <v>Unknown</v>
      </c>
      <c r="Z188" s="4" t="str">
        <f t="shared" si="192"/>
        <v>Unknown</v>
      </c>
      <c r="AA188" s="4" t="str">
        <f t="shared" si="7"/>
        <v>mww</v>
      </c>
    </row>
    <row r="189">
      <c r="A189" s="3" t="s">
        <v>575</v>
      </c>
      <c r="B189" s="3">
        <v>6.8</v>
      </c>
      <c r="C189" s="19">
        <f>Raw_Data!T189</f>
        <v>43395.26111</v>
      </c>
      <c r="D189" s="3">
        <v>4.0</v>
      </c>
      <c r="E189" s="3">
        <v>4.0</v>
      </c>
      <c r="F189" s="3" t="s">
        <v>109</v>
      </c>
      <c r="G189" s="3">
        <v>1.0</v>
      </c>
      <c r="H189" s="3">
        <v>776.0</v>
      </c>
      <c r="I189" s="3" t="s">
        <v>110</v>
      </c>
      <c r="J189" s="3">
        <v>0.0</v>
      </c>
      <c r="K189" s="3">
        <v>1.505</v>
      </c>
      <c r="L189" s="3">
        <v>36.0</v>
      </c>
      <c r="M189" s="4" t="str">
        <f>Raw_Data!X189</f>
        <v>mww</v>
      </c>
      <c r="N189" s="3">
        <v>10.0</v>
      </c>
      <c r="O189" s="3">
        <v>49.3346</v>
      </c>
      <c r="P189" s="3">
        <v>-129.289</v>
      </c>
      <c r="Q189" s="3" t="s">
        <v>574</v>
      </c>
      <c r="R189" s="4"/>
      <c r="S189" s="4"/>
      <c r="T189" s="4" t="str">
        <f t="shared" si="2"/>
        <v>Valid</v>
      </c>
      <c r="U189" s="4">
        <f t="shared" si="3"/>
        <v>1</v>
      </c>
      <c r="V189" s="4" t="str">
        <f t="shared" si="4"/>
        <v>Unique</v>
      </c>
      <c r="W189" s="4" t="str">
        <f t="shared" si="5"/>
        <v>green</v>
      </c>
      <c r="X189" s="4" t="str">
        <f t="shared" ref="X189:Z189" si="193">IF(Q189="","Unknown",Q189)</f>
        <v>Port McNeill, Canada</v>
      </c>
      <c r="Y189" s="4" t="str">
        <f t="shared" si="193"/>
        <v>Unknown</v>
      </c>
      <c r="Z189" s="4" t="str">
        <f t="shared" si="193"/>
        <v>Unknown</v>
      </c>
      <c r="AA189" s="4" t="str">
        <f t="shared" si="7"/>
        <v>mww</v>
      </c>
    </row>
    <row r="190">
      <c r="A190" s="3" t="s">
        <v>577</v>
      </c>
      <c r="B190" s="3">
        <v>6.5</v>
      </c>
      <c r="C190" s="19">
        <f>Raw_Data!T190</f>
        <v>43395.23542</v>
      </c>
      <c r="D190" s="3">
        <v>3.0</v>
      </c>
      <c r="E190" s="3">
        <v>4.0</v>
      </c>
      <c r="F190" s="3" t="s">
        <v>109</v>
      </c>
      <c r="G190" s="3">
        <v>1.0</v>
      </c>
      <c r="H190" s="3">
        <v>669.0</v>
      </c>
      <c r="I190" s="3" t="s">
        <v>110</v>
      </c>
      <c r="J190" s="3">
        <v>0.0</v>
      </c>
      <c r="K190" s="3">
        <v>1.611</v>
      </c>
      <c r="L190" s="3">
        <v>63.0</v>
      </c>
      <c r="M190" s="4" t="str">
        <f>Raw_Data!X190</f>
        <v>mww</v>
      </c>
      <c r="N190" s="3">
        <v>10.0</v>
      </c>
      <c r="O190" s="3">
        <v>49.2586</v>
      </c>
      <c r="P190" s="3">
        <v>-129.412</v>
      </c>
      <c r="Q190" s="3" t="s">
        <v>574</v>
      </c>
      <c r="R190" s="4"/>
      <c r="S190" s="4"/>
      <c r="T190" s="4" t="str">
        <f t="shared" si="2"/>
        <v>Valid</v>
      </c>
      <c r="U190" s="4">
        <f t="shared" si="3"/>
        <v>1</v>
      </c>
      <c r="V190" s="4" t="str">
        <f t="shared" si="4"/>
        <v>Unique</v>
      </c>
      <c r="W190" s="4" t="str">
        <f t="shared" si="5"/>
        <v>green</v>
      </c>
      <c r="X190" s="4" t="str">
        <f t="shared" ref="X190:Z190" si="194">IF(Q190="","Unknown",Q190)</f>
        <v>Port McNeill, Canada</v>
      </c>
      <c r="Y190" s="4" t="str">
        <f t="shared" si="194"/>
        <v>Unknown</v>
      </c>
      <c r="Z190" s="4" t="str">
        <f t="shared" si="194"/>
        <v>Unknown</v>
      </c>
      <c r="AA190" s="4" t="str">
        <f t="shared" si="7"/>
        <v>mww</v>
      </c>
    </row>
    <row r="191">
      <c r="A191" s="3" t="s">
        <v>579</v>
      </c>
      <c r="B191" s="3">
        <v>6.5</v>
      </c>
      <c r="C191" s="19">
        <f>Raw_Data!T191</f>
        <v>43389.04375</v>
      </c>
      <c r="D191" s="3">
        <v>0.0</v>
      </c>
      <c r="E191" s="3">
        <v>4.0</v>
      </c>
      <c r="F191" s="3" t="s">
        <v>109</v>
      </c>
      <c r="G191" s="3">
        <v>1.0</v>
      </c>
      <c r="H191" s="3">
        <v>650.0</v>
      </c>
      <c r="I191" s="3" t="s">
        <v>110</v>
      </c>
      <c r="J191" s="3">
        <v>0.0</v>
      </c>
      <c r="K191" s="3">
        <v>2.109</v>
      </c>
      <c r="L191" s="3">
        <v>22.0</v>
      </c>
      <c r="M191" s="4" t="str">
        <f>Raw_Data!X191</f>
        <v>mww</v>
      </c>
      <c r="N191" s="3">
        <v>17.0</v>
      </c>
      <c r="O191" s="3">
        <v>-21.7427</v>
      </c>
      <c r="P191" s="3">
        <v>169.522</v>
      </c>
      <c r="Q191" s="3" t="s">
        <v>276</v>
      </c>
      <c r="R191" s="4"/>
      <c r="S191" s="4"/>
      <c r="T191" s="4" t="str">
        <f t="shared" si="2"/>
        <v>Valid</v>
      </c>
      <c r="U191" s="4">
        <f t="shared" si="3"/>
        <v>1</v>
      </c>
      <c r="V191" s="4" t="str">
        <f t="shared" si="4"/>
        <v>Unique</v>
      </c>
      <c r="W191" s="4" t="str">
        <f t="shared" si="5"/>
        <v>green</v>
      </c>
      <c r="X191" s="4" t="str">
        <f t="shared" ref="X191:Z191" si="195">IF(Q191="","Unknown",Q191)</f>
        <v>Tadine, New Caledonia</v>
      </c>
      <c r="Y191" s="4" t="str">
        <f t="shared" si="195"/>
        <v>Unknown</v>
      </c>
      <c r="Z191" s="4" t="str">
        <f t="shared" si="195"/>
        <v>Unknown</v>
      </c>
      <c r="AA191" s="4" t="str">
        <f t="shared" si="7"/>
        <v>mww</v>
      </c>
    </row>
    <row r="192">
      <c r="A192" s="3" t="s">
        <v>581</v>
      </c>
      <c r="B192" s="3">
        <v>6.7</v>
      </c>
      <c r="C192" s="19">
        <f>Raw_Data!T192</f>
        <v>43386.46528</v>
      </c>
      <c r="D192" s="3">
        <v>0.0</v>
      </c>
      <c r="E192" s="3">
        <v>3.0</v>
      </c>
      <c r="F192" s="3" t="s">
        <v>109</v>
      </c>
      <c r="G192" s="3">
        <v>1.0</v>
      </c>
      <c r="H192" s="3">
        <v>691.0</v>
      </c>
      <c r="I192" s="3" t="s">
        <v>110</v>
      </c>
      <c r="J192" s="3">
        <v>0.0</v>
      </c>
      <c r="K192" s="3">
        <v>2.705</v>
      </c>
      <c r="L192" s="3">
        <v>17.0</v>
      </c>
      <c r="M192" s="4" t="str">
        <f>Raw_Data!X192</f>
        <v>mww</v>
      </c>
      <c r="N192" s="3">
        <v>461.0</v>
      </c>
      <c r="O192" s="3">
        <v>52.8549</v>
      </c>
      <c r="P192" s="3">
        <v>153.243</v>
      </c>
      <c r="Q192" s="3" t="s">
        <v>583</v>
      </c>
      <c r="R192" s="4"/>
      <c r="S192" s="4"/>
      <c r="T192" s="4" t="str">
        <f t="shared" si="2"/>
        <v>Valid</v>
      </c>
      <c r="U192" s="4">
        <f t="shared" si="3"/>
        <v>1</v>
      </c>
      <c r="V192" s="4" t="str">
        <f t="shared" si="4"/>
        <v>Unique</v>
      </c>
      <c r="W192" s="4" t="str">
        <f t="shared" si="5"/>
        <v>green</v>
      </c>
      <c r="X192" s="4" t="str">
        <f t="shared" ref="X192:Z192" si="196">IF(Q192="","Unknown",Q192)</f>
        <v>Ozernovskiy, Russia</v>
      </c>
      <c r="Y192" s="4" t="str">
        <f t="shared" si="196"/>
        <v>Unknown</v>
      </c>
      <c r="Z192" s="4" t="str">
        <f t="shared" si="196"/>
        <v>Unknown</v>
      </c>
      <c r="AA192" s="4" t="str">
        <f t="shared" si="7"/>
        <v>mww</v>
      </c>
    </row>
    <row r="193">
      <c r="A193" s="3" t="s">
        <v>584</v>
      </c>
      <c r="B193" s="3">
        <v>6.5</v>
      </c>
      <c r="C193" s="19">
        <f>Raw_Data!T193</f>
        <v>43383.96944</v>
      </c>
      <c r="D193" s="3">
        <v>0.0</v>
      </c>
      <c r="E193" s="3">
        <v>4.0</v>
      </c>
      <c r="F193" s="3" t="s">
        <v>109</v>
      </c>
      <c r="G193" s="3">
        <v>1.0</v>
      </c>
      <c r="H193" s="3">
        <v>650.0</v>
      </c>
      <c r="I193" s="3" t="s">
        <v>110</v>
      </c>
      <c r="J193" s="3">
        <v>0.0</v>
      </c>
      <c r="K193" s="3">
        <v>3.923</v>
      </c>
      <c r="L193" s="3">
        <v>14.0</v>
      </c>
      <c r="M193" s="4" t="str">
        <f>Raw_Data!X193</f>
        <v>mww</v>
      </c>
      <c r="N193" s="3">
        <v>20.0</v>
      </c>
      <c r="O193" s="3">
        <v>49.2902</v>
      </c>
      <c r="P193" s="3">
        <v>156.297</v>
      </c>
      <c r="Q193" s="3" t="s">
        <v>460</v>
      </c>
      <c r="R193" s="4"/>
      <c r="S193" s="4"/>
      <c r="T193" s="4" t="str">
        <f t="shared" si="2"/>
        <v>Valid</v>
      </c>
      <c r="U193" s="4">
        <f t="shared" si="3"/>
        <v>1</v>
      </c>
      <c r="V193" s="4" t="str">
        <f t="shared" si="4"/>
        <v>Unique</v>
      </c>
      <c r="W193" s="4" t="str">
        <f t="shared" si="5"/>
        <v>green</v>
      </c>
      <c r="X193" s="4" t="str">
        <f t="shared" ref="X193:Z193" si="197">IF(Q193="","Unknown",Q193)</f>
        <v>Severo-Kuril’sk, Russia</v>
      </c>
      <c r="Y193" s="4" t="str">
        <f t="shared" si="197"/>
        <v>Unknown</v>
      </c>
      <c r="Z193" s="4" t="str">
        <f t="shared" si="197"/>
        <v>Unknown</v>
      </c>
      <c r="AA193" s="4" t="str">
        <f t="shared" si="7"/>
        <v>mww</v>
      </c>
    </row>
    <row r="194">
      <c r="A194" s="3" t="s">
        <v>585</v>
      </c>
      <c r="B194" s="3">
        <v>7.0</v>
      </c>
      <c r="C194" s="19">
        <f>Raw_Data!T194</f>
        <v>43383.86667</v>
      </c>
      <c r="D194" s="3">
        <v>6.0</v>
      </c>
      <c r="E194" s="3">
        <v>6.0</v>
      </c>
      <c r="F194" s="3" t="s">
        <v>109</v>
      </c>
      <c r="G194" s="3">
        <v>1.0</v>
      </c>
      <c r="H194" s="3">
        <v>758.0</v>
      </c>
      <c r="I194" s="3" t="s">
        <v>110</v>
      </c>
      <c r="J194" s="3">
        <v>0.0</v>
      </c>
      <c r="K194" s="3">
        <v>1.778</v>
      </c>
      <c r="L194" s="3">
        <v>18.0</v>
      </c>
      <c r="M194" s="4" t="str">
        <f>Raw_Data!X194</f>
        <v>mww</v>
      </c>
      <c r="N194" s="3">
        <v>39.0</v>
      </c>
      <c r="O194" s="3">
        <v>-5.7012</v>
      </c>
      <c r="P194" s="3">
        <v>151.205</v>
      </c>
      <c r="Q194" s="3" t="s">
        <v>187</v>
      </c>
      <c r="R194" s="4"/>
      <c r="S194" s="3" t="s">
        <v>168</v>
      </c>
      <c r="T194" s="4" t="str">
        <f t="shared" si="2"/>
        <v>Valid</v>
      </c>
      <c r="U194" s="4">
        <f t="shared" si="3"/>
        <v>1</v>
      </c>
      <c r="V194" s="4" t="str">
        <f t="shared" si="4"/>
        <v>Unique</v>
      </c>
      <c r="W194" s="4" t="str">
        <f t="shared" si="5"/>
        <v>green</v>
      </c>
      <c r="X194" s="4" t="str">
        <f t="shared" ref="X194:Z194" si="198">IF(Q194="","Unknown",Q194)</f>
        <v>Kimbe, Papua New Guinea</v>
      </c>
      <c r="Y194" s="4" t="str">
        <f t="shared" si="198"/>
        <v>Unknown</v>
      </c>
      <c r="Z194" s="4" t="str">
        <f t="shared" si="198"/>
        <v>Papua New Guinea</v>
      </c>
      <c r="AA194" s="4" t="str">
        <f t="shared" si="7"/>
        <v>mww</v>
      </c>
    </row>
    <row r="195">
      <c r="A195" s="3" t="s">
        <v>586</v>
      </c>
      <c r="B195" s="3">
        <v>6.7</v>
      </c>
      <c r="C195" s="19">
        <f>Raw_Data!T195</f>
        <v>43373.45278</v>
      </c>
      <c r="D195" s="3">
        <v>2.0</v>
      </c>
      <c r="E195" s="3">
        <v>3.0</v>
      </c>
      <c r="F195" s="3" t="s">
        <v>109</v>
      </c>
      <c r="G195" s="3">
        <v>1.0</v>
      </c>
      <c r="H195" s="3">
        <v>691.0</v>
      </c>
      <c r="I195" s="3" t="s">
        <v>110</v>
      </c>
      <c r="J195" s="3">
        <v>0.0</v>
      </c>
      <c r="K195" s="3">
        <v>3.745</v>
      </c>
      <c r="L195" s="3">
        <v>23.0</v>
      </c>
      <c r="M195" s="4" t="str">
        <f>Raw_Data!X195</f>
        <v>mww</v>
      </c>
      <c r="N195" s="3">
        <v>550.0</v>
      </c>
      <c r="O195" s="3">
        <v>-18.3604</v>
      </c>
      <c r="P195" s="3">
        <v>-178.063</v>
      </c>
      <c r="Q195" s="3" t="s">
        <v>566</v>
      </c>
      <c r="R195" s="4"/>
      <c r="S195" s="3" t="s">
        <v>219</v>
      </c>
      <c r="T195" s="4" t="str">
        <f t="shared" si="2"/>
        <v>Valid</v>
      </c>
      <c r="U195" s="4">
        <f t="shared" si="3"/>
        <v>1</v>
      </c>
      <c r="V195" s="4" t="str">
        <f t="shared" si="4"/>
        <v>Unique</v>
      </c>
      <c r="W195" s="4" t="str">
        <f t="shared" si="5"/>
        <v>green</v>
      </c>
      <c r="X195" s="4" t="str">
        <f t="shared" ref="X195:Z195" si="199">IF(Q195="","Unknown",Q195)</f>
        <v>Levuka, Fiji</v>
      </c>
      <c r="Y195" s="4" t="str">
        <f t="shared" si="199"/>
        <v>Unknown</v>
      </c>
      <c r="Z195" s="4" t="str">
        <f t="shared" si="199"/>
        <v>Fiji</v>
      </c>
      <c r="AA195" s="4" t="str">
        <f t="shared" si="7"/>
        <v>mww</v>
      </c>
    </row>
    <row r="196">
      <c r="A196" s="3" t="s">
        <v>588</v>
      </c>
      <c r="B196" s="3">
        <v>7.5</v>
      </c>
      <c r="C196" s="19">
        <f>Raw_Data!T196</f>
        <v>43371.41806</v>
      </c>
      <c r="D196" s="3">
        <v>8.0</v>
      </c>
      <c r="E196" s="3">
        <v>8.0</v>
      </c>
      <c r="F196" s="3" t="s">
        <v>198</v>
      </c>
      <c r="G196" s="3">
        <v>0.0</v>
      </c>
      <c r="H196" s="3">
        <v>2026.0</v>
      </c>
      <c r="I196" s="3" t="s">
        <v>110</v>
      </c>
      <c r="J196" s="3">
        <v>0.0</v>
      </c>
      <c r="K196" s="3">
        <v>1.649</v>
      </c>
      <c r="L196" s="3">
        <v>13.0</v>
      </c>
      <c r="M196" s="4" t="str">
        <f>Raw_Data!X196</f>
        <v>mww</v>
      </c>
      <c r="N196" s="3">
        <v>20.0</v>
      </c>
      <c r="O196" s="3">
        <v>-0.2559</v>
      </c>
      <c r="P196" s="3">
        <v>119.846</v>
      </c>
      <c r="Q196" s="3" t="s">
        <v>590</v>
      </c>
      <c r="R196" s="4"/>
      <c r="S196" s="3" t="s">
        <v>153</v>
      </c>
      <c r="T196" s="4" t="str">
        <f t="shared" si="2"/>
        <v>Valid</v>
      </c>
      <c r="U196" s="4">
        <f t="shared" si="3"/>
        <v>1</v>
      </c>
      <c r="V196" s="4" t="str">
        <f t="shared" si="4"/>
        <v>Unique</v>
      </c>
      <c r="W196" s="4" t="str">
        <f t="shared" si="5"/>
        <v>red</v>
      </c>
      <c r="X196" s="4" t="str">
        <f t="shared" ref="X196:Z196" si="200">IF(Q196="","Unknown",Q196)</f>
        <v>Palu, Indonesia</v>
      </c>
      <c r="Y196" s="4" t="str">
        <f t="shared" si="200"/>
        <v>Unknown</v>
      </c>
      <c r="Z196" s="4" t="str">
        <f t="shared" si="200"/>
        <v>Indonesia</v>
      </c>
      <c r="AA196" s="4" t="str">
        <f t="shared" si="7"/>
        <v>mww</v>
      </c>
    </row>
    <row r="197">
      <c r="A197" s="3" t="s">
        <v>591</v>
      </c>
      <c r="B197" s="3">
        <v>6.5</v>
      </c>
      <c r="C197" s="19">
        <f>Raw_Data!T197</f>
        <v>43359.88264</v>
      </c>
      <c r="D197" s="3">
        <v>4.0</v>
      </c>
      <c r="E197" s="3">
        <v>1.0</v>
      </c>
      <c r="F197" s="3" t="s">
        <v>109</v>
      </c>
      <c r="G197" s="3">
        <v>0.0</v>
      </c>
      <c r="H197" s="3">
        <v>651.0</v>
      </c>
      <c r="I197" s="3" t="s">
        <v>110</v>
      </c>
      <c r="J197" s="3">
        <v>0.0</v>
      </c>
      <c r="K197" s="3">
        <v>5.139</v>
      </c>
      <c r="L197" s="3">
        <v>18.0</v>
      </c>
      <c r="M197" s="4" t="str">
        <f>Raw_Data!X197</f>
        <v>mww</v>
      </c>
      <c r="N197" s="3">
        <v>576.0</v>
      </c>
      <c r="O197" s="3">
        <v>-25.415</v>
      </c>
      <c r="P197" s="3">
        <v>178.199</v>
      </c>
      <c r="Q197" s="3" t="s">
        <v>136</v>
      </c>
      <c r="R197" s="4"/>
      <c r="S197" s="4"/>
      <c r="T197" s="4" t="str">
        <f t="shared" si="2"/>
        <v>Valid</v>
      </c>
      <c r="U197" s="4">
        <f t="shared" si="3"/>
        <v>1</v>
      </c>
      <c r="V197" s="4" t="str">
        <f t="shared" si="4"/>
        <v>Unique</v>
      </c>
      <c r="W197" s="4" t="str">
        <f t="shared" si="5"/>
        <v>green</v>
      </c>
      <c r="X197" s="4" t="str">
        <f t="shared" ref="X197:Z197" si="201">IF(Q197="","Unknown",Q197)</f>
        <v>the Fiji Islands</v>
      </c>
      <c r="Y197" s="4" t="str">
        <f t="shared" si="201"/>
        <v>Unknown</v>
      </c>
      <c r="Z197" s="4" t="str">
        <f t="shared" si="201"/>
        <v>Unknown</v>
      </c>
      <c r="AA197" s="4" t="str">
        <f t="shared" si="7"/>
        <v>mww</v>
      </c>
    </row>
    <row r="198">
      <c r="A198" s="3" t="s">
        <v>593</v>
      </c>
      <c r="B198" s="3">
        <v>6.9</v>
      </c>
      <c r="C198" s="19">
        <f>Raw_Data!T198</f>
        <v>43353.17986</v>
      </c>
      <c r="D198" s="3">
        <v>3.0</v>
      </c>
      <c r="E198" s="3">
        <v>4.0</v>
      </c>
      <c r="F198" s="3" t="s">
        <v>109</v>
      </c>
      <c r="G198" s="3">
        <v>0.0</v>
      </c>
      <c r="H198" s="3">
        <v>735.0</v>
      </c>
      <c r="I198" s="3" t="s">
        <v>110</v>
      </c>
      <c r="J198" s="3">
        <v>0.0</v>
      </c>
      <c r="K198" s="3">
        <v>2.785</v>
      </c>
      <c r="L198" s="3">
        <v>18.0</v>
      </c>
      <c r="M198" s="4" t="str">
        <f>Raw_Data!X198</f>
        <v>mww</v>
      </c>
      <c r="N198" s="3">
        <v>115.0</v>
      </c>
      <c r="O198" s="3">
        <v>-31.7447</v>
      </c>
      <c r="P198" s="3">
        <v>-179.373</v>
      </c>
      <c r="Q198" s="3" t="s">
        <v>182</v>
      </c>
      <c r="R198" s="4"/>
      <c r="S198" s="4"/>
      <c r="T198" s="4" t="str">
        <f t="shared" si="2"/>
        <v>Valid</v>
      </c>
      <c r="U198" s="4">
        <f t="shared" si="3"/>
        <v>1</v>
      </c>
      <c r="V198" s="4" t="str">
        <f t="shared" si="4"/>
        <v>Unique</v>
      </c>
      <c r="W198" s="4" t="str">
        <f t="shared" si="5"/>
        <v>green</v>
      </c>
      <c r="X198" s="4" t="str">
        <f t="shared" ref="X198:Z198" si="202">IF(Q198="","Unknown",Q198)</f>
        <v>Kermadec Islands region</v>
      </c>
      <c r="Y198" s="4" t="str">
        <f t="shared" si="202"/>
        <v>Unknown</v>
      </c>
      <c r="Z198" s="4" t="str">
        <f t="shared" si="202"/>
        <v>Unknown</v>
      </c>
      <c r="AA198" s="4" t="str">
        <f t="shared" si="7"/>
        <v>mww</v>
      </c>
    </row>
    <row r="199">
      <c r="A199" s="3" t="s">
        <v>594</v>
      </c>
      <c r="B199" s="3">
        <v>6.5</v>
      </c>
      <c r="C199" s="19">
        <f>Raw_Data!T199</f>
        <v>43352.81319</v>
      </c>
      <c r="D199" s="3">
        <v>3.0</v>
      </c>
      <c r="E199" s="3">
        <v>6.0</v>
      </c>
      <c r="F199" s="3" t="s">
        <v>109</v>
      </c>
      <c r="G199" s="3">
        <v>1.0</v>
      </c>
      <c r="H199" s="3">
        <v>651.0</v>
      </c>
      <c r="I199" s="3" t="s">
        <v>110</v>
      </c>
      <c r="J199" s="3">
        <v>0.0</v>
      </c>
      <c r="K199" s="3">
        <v>1.638</v>
      </c>
      <c r="L199" s="3">
        <v>25.0</v>
      </c>
      <c r="M199" s="4" t="str">
        <f>Raw_Data!X199</f>
        <v>mww</v>
      </c>
      <c r="N199" s="3">
        <v>68.0</v>
      </c>
      <c r="O199" s="3">
        <v>-10.0207</v>
      </c>
      <c r="P199" s="3">
        <v>161.503</v>
      </c>
      <c r="Q199" s="3" t="s">
        <v>595</v>
      </c>
      <c r="R199" s="4"/>
      <c r="S199" s="3" t="s">
        <v>214</v>
      </c>
      <c r="T199" s="4" t="str">
        <f t="shared" si="2"/>
        <v>Valid</v>
      </c>
      <c r="U199" s="4">
        <f t="shared" si="3"/>
        <v>1</v>
      </c>
      <c r="V199" s="4" t="str">
        <f t="shared" si="4"/>
        <v>Unique</v>
      </c>
      <c r="W199" s="4" t="str">
        <f t="shared" si="5"/>
        <v>green</v>
      </c>
      <c r="X199" s="4" t="str">
        <f t="shared" ref="X199:Z199" si="203">IF(Q199="","Unknown",Q199)</f>
        <v>Kirakira, Solomon Islands</v>
      </c>
      <c r="Y199" s="4" t="str">
        <f t="shared" si="203"/>
        <v>Unknown</v>
      </c>
      <c r="Z199" s="4" t="str">
        <f t="shared" si="203"/>
        <v>Solomon Islands</v>
      </c>
      <c r="AA199" s="4" t="str">
        <f t="shared" si="7"/>
        <v>mww</v>
      </c>
    </row>
    <row r="200">
      <c r="A200" s="3" t="s">
        <v>596</v>
      </c>
      <c r="B200" s="3">
        <v>7.9</v>
      </c>
      <c r="C200" s="19">
        <f>Raw_Data!T200</f>
        <v>43349.65903</v>
      </c>
      <c r="D200" s="3">
        <v>7.0</v>
      </c>
      <c r="E200" s="3">
        <v>4.0</v>
      </c>
      <c r="F200" s="3" t="s">
        <v>109</v>
      </c>
      <c r="G200" s="3">
        <v>1.0</v>
      </c>
      <c r="H200" s="3">
        <v>979.0</v>
      </c>
      <c r="I200" s="3" t="s">
        <v>110</v>
      </c>
      <c r="J200" s="3">
        <v>0.0</v>
      </c>
      <c r="K200" s="3">
        <v>1.431</v>
      </c>
      <c r="L200" s="3">
        <v>12.0</v>
      </c>
      <c r="M200" s="4" t="str">
        <f>Raw_Data!X200</f>
        <v>mww</v>
      </c>
      <c r="N200" s="3">
        <v>670.81</v>
      </c>
      <c r="O200" s="3">
        <v>-18.4743</v>
      </c>
      <c r="P200" s="3">
        <v>179.35</v>
      </c>
      <c r="Q200" s="3" t="s">
        <v>566</v>
      </c>
      <c r="R200" s="4"/>
      <c r="S200" s="3" t="s">
        <v>219</v>
      </c>
      <c r="T200" s="4" t="str">
        <f t="shared" si="2"/>
        <v>Valid</v>
      </c>
      <c r="U200" s="4">
        <f t="shared" si="3"/>
        <v>1</v>
      </c>
      <c r="V200" s="4" t="str">
        <f t="shared" si="4"/>
        <v>Unique</v>
      </c>
      <c r="W200" s="4" t="str">
        <f t="shared" si="5"/>
        <v>green</v>
      </c>
      <c r="X200" s="4" t="str">
        <f t="shared" ref="X200:Z200" si="204">IF(Q200="","Unknown",Q200)</f>
        <v>Levuka, Fiji</v>
      </c>
      <c r="Y200" s="4" t="str">
        <f t="shared" si="204"/>
        <v>Unknown</v>
      </c>
      <c r="Z200" s="4" t="str">
        <f t="shared" si="204"/>
        <v>Fiji</v>
      </c>
      <c r="AA200" s="4" t="str">
        <f t="shared" si="7"/>
        <v>mww</v>
      </c>
    </row>
    <row r="201">
      <c r="A201" s="3" t="s">
        <v>597</v>
      </c>
      <c r="B201" s="3">
        <v>6.6</v>
      </c>
      <c r="C201" s="19">
        <f>Raw_Data!T201</f>
        <v>43348.75486</v>
      </c>
      <c r="D201" s="3">
        <v>8.0</v>
      </c>
      <c r="E201" s="3">
        <v>9.0</v>
      </c>
      <c r="F201" s="3" t="s">
        <v>178</v>
      </c>
      <c r="G201" s="3">
        <v>1.0</v>
      </c>
      <c r="H201" s="3">
        <v>1075.0</v>
      </c>
      <c r="I201" s="3" t="s">
        <v>110</v>
      </c>
      <c r="J201" s="3">
        <v>0.0</v>
      </c>
      <c r="K201" s="3">
        <v>1.13</v>
      </c>
      <c r="L201" s="3">
        <v>32.0</v>
      </c>
      <c r="M201" s="4" t="str">
        <f>Raw_Data!X201</f>
        <v>mww</v>
      </c>
      <c r="N201" s="3">
        <v>35.0</v>
      </c>
      <c r="O201" s="3">
        <v>42.6861</v>
      </c>
      <c r="P201" s="3">
        <v>141.929</v>
      </c>
      <c r="Q201" s="3" t="s">
        <v>598</v>
      </c>
      <c r="R201" s="3" t="s">
        <v>164</v>
      </c>
      <c r="S201" s="3" t="s">
        <v>371</v>
      </c>
      <c r="T201" s="4" t="str">
        <f t="shared" si="2"/>
        <v>Valid</v>
      </c>
      <c r="U201" s="4">
        <f t="shared" si="3"/>
        <v>1</v>
      </c>
      <c r="V201" s="4" t="str">
        <f t="shared" si="4"/>
        <v>Unique</v>
      </c>
      <c r="W201" s="4" t="str">
        <f t="shared" si="5"/>
        <v>orange</v>
      </c>
      <c r="X201" s="4" t="str">
        <f t="shared" ref="X201:Z201" si="205">IF(Q201="","Unknown",Q201)</f>
        <v>Chitose, Japan</v>
      </c>
      <c r="Y201" s="4" t="str">
        <f t="shared" si="205"/>
        <v>Asia</v>
      </c>
      <c r="Z201" s="4" t="str">
        <f t="shared" si="205"/>
        <v>Japan</v>
      </c>
      <c r="AA201" s="4" t="str">
        <f t="shared" si="7"/>
        <v>mww</v>
      </c>
    </row>
    <row r="202">
      <c r="A202" s="3" t="s">
        <v>599</v>
      </c>
      <c r="B202" s="3">
        <v>7.1</v>
      </c>
      <c r="C202" s="19">
        <f>Raw_Data!T202</f>
        <v>43341.16042</v>
      </c>
      <c r="D202" s="3">
        <v>2.0</v>
      </c>
      <c r="E202" s="3">
        <v>5.0</v>
      </c>
      <c r="F202" s="3" t="s">
        <v>109</v>
      </c>
      <c r="G202" s="3">
        <v>1.0</v>
      </c>
      <c r="H202" s="3">
        <v>776.0</v>
      </c>
      <c r="I202" s="3" t="s">
        <v>110</v>
      </c>
      <c r="J202" s="3">
        <v>0.0</v>
      </c>
      <c r="K202" s="3">
        <v>2.548</v>
      </c>
      <c r="L202" s="3">
        <v>23.0</v>
      </c>
      <c r="M202" s="4" t="str">
        <f>Raw_Data!X202</f>
        <v>mww</v>
      </c>
      <c r="N202" s="3">
        <v>21.43</v>
      </c>
      <c r="O202" s="3">
        <v>-22.0295</v>
      </c>
      <c r="P202" s="3">
        <v>170.126</v>
      </c>
      <c r="Q202" s="3" t="s">
        <v>276</v>
      </c>
      <c r="R202" s="4"/>
      <c r="S202" s="4"/>
      <c r="T202" s="4" t="str">
        <f t="shared" si="2"/>
        <v>Valid</v>
      </c>
      <c r="U202" s="4">
        <f t="shared" si="3"/>
        <v>1</v>
      </c>
      <c r="V202" s="4" t="str">
        <f t="shared" si="4"/>
        <v>Unique</v>
      </c>
      <c r="W202" s="4" t="str">
        <f t="shared" si="5"/>
        <v>green</v>
      </c>
      <c r="X202" s="4" t="str">
        <f t="shared" ref="X202:Z202" si="206">IF(Q202="","Unknown",Q202)</f>
        <v>Tadine, New Caledonia</v>
      </c>
      <c r="Y202" s="4" t="str">
        <f t="shared" si="206"/>
        <v>Unknown</v>
      </c>
      <c r="Z202" s="4" t="str">
        <f t="shared" si="206"/>
        <v>Unknown</v>
      </c>
      <c r="AA202" s="4" t="str">
        <f t="shared" si="7"/>
        <v>mww</v>
      </c>
    </row>
    <row r="203">
      <c r="A203" s="3" t="s">
        <v>601</v>
      </c>
      <c r="B203" s="3">
        <v>7.1</v>
      </c>
      <c r="C203" s="19">
        <f>Raw_Data!T203</f>
        <v>43336.37778</v>
      </c>
      <c r="D203" s="3">
        <v>0.0</v>
      </c>
      <c r="E203" s="3">
        <v>3.0</v>
      </c>
      <c r="F203" s="3" t="s">
        <v>109</v>
      </c>
      <c r="G203" s="3">
        <v>0.0</v>
      </c>
      <c r="H203" s="3">
        <v>776.0</v>
      </c>
      <c r="I203" s="3" t="s">
        <v>110</v>
      </c>
      <c r="J203" s="3">
        <v>0.0</v>
      </c>
      <c r="K203" s="3">
        <v>3.77</v>
      </c>
      <c r="L203" s="3">
        <v>12.0</v>
      </c>
      <c r="M203" s="4" t="str">
        <f>Raw_Data!X203</f>
        <v>mww</v>
      </c>
      <c r="N203" s="3">
        <v>630.0</v>
      </c>
      <c r="O203" s="3">
        <v>-11.0355</v>
      </c>
      <c r="P203" s="3">
        <v>-70.8284</v>
      </c>
      <c r="Q203" s="3" t="s">
        <v>603</v>
      </c>
      <c r="R203" s="3" t="s">
        <v>121</v>
      </c>
      <c r="S203" s="3" t="s">
        <v>265</v>
      </c>
      <c r="T203" s="4" t="str">
        <f t="shared" si="2"/>
        <v>Valid</v>
      </c>
      <c r="U203" s="4">
        <f t="shared" si="3"/>
        <v>1</v>
      </c>
      <c r="V203" s="4" t="str">
        <f t="shared" si="4"/>
        <v>Unique</v>
      </c>
      <c r="W203" s="4" t="str">
        <f t="shared" si="5"/>
        <v>green</v>
      </c>
      <c r="X203" s="4" t="str">
        <f t="shared" ref="X203:Z203" si="207">IF(Q203="","Unknown",Q203)</f>
        <v>Iñapari, Peru</v>
      </c>
      <c r="Y203" s="4" t="str">
        <f t="shared" si="207"/>
        <v>South America</v>
      </c>
      <c r="Z203" s="4" t="str">
        <f t="shared" si="207"/>
        <v>Peru</v>
      </c>
      <c r="AA203" s="4" t="str">
        <f t="shared" si="7"/>
        <v>mww</v>
      </c>
    </row>
    <row r="204">
      <c r="A204" s="3" t="s">
        <v>604</v>
      </c>
      <c r="B204" s="3">
        <v>6.5</v>
      </c>
      <c r="C204" s="19">
        <f>Raw_Data!T204</f>
        <v>43333.93889</v>
      </c>
      <c r="D204" s="3">
        <v>6.0</v>
      </c>
      <c r="E204" s="3">
        <v>7.0</v>
      </c>
      <c r="F204" s="3" t="s">
        <v>109</v>
      </c>
      <c r="G204" s="3">
        <v>1.0</v>
      </c>
      <c r="H204" s="3">
        <v>652.0</v>
      </c>
      <c r="I204" s="3" t="s">
        <v>110</v>
      </c>
      <c r="J204" s="3">
        <v>0.0</v>
      </c>
      <c r="K204" s="3">
        <v>4.797</v>
      </c>
      <c r="L204" s="3">
        <v>10.0</v>
      </c>
      <c r="M204" s="4" t="str">
        <f>Raw_Data!X204</f>
        <v>mww</v>
      </c>
      <c r="N204" s="3">
        <v>9.0</v>
      </c>
      <c r="O204" s="3">
        <v>-16.0315</v>
      </c>
      <c r="P204" s="3">
        <v>168.143</v>
      </c>
      <c r="Q204" s="3" t="s">
        <v>503</v>
      </c>
      <c r="R204" s="4"/>
      <c r="S204" s="3" t="s">
        <v>113</v>
      </c>
      <c r="T204" s="4" t="str">
        <f t="shared" si="2"/>
        <v>Valid</v>
      </c>
      <c r="U204" s="4">
        <f t="shared" si="3"/>
        <v>1</v>
      </c>
      <c r="V204" s="4" t="str">
        <f t="shared" si="4"/>
        <v>Unique</v>
      </c>
      <c r="W204" s="4" t="str">
        <f t="shared" si="5"/>
        <v>green</v>
      </c>
      <c r="X204" s="4" t="str">
        <f t="shared" ref="X204:Z204" si="208">IF(Q204="","Unknown",Q204)</f>
        <v>Lakatoro, Vanuatu</v>
      </c>
      <c r="Y204" s="4" t="str">
        <f t="shared" si="208"/>
        <v>Unknown</v>
      </c>
      <c r="Z204" s="4" t="str">
        <f t="shared" si="208"/>
        <v>Vanuatu</v>
      </c>
      <c r="AA204" s="4" t="str">
        <f t="shared" si="7"/>
        <v>mww</v>
      </c>
    </row>
    <row r="205">
      <c r="A205" s="3" t="s">
        <v>606</v>
      </c>
      <c r="B205" s="3">
        <v>7.3</v>
      </c>
      <c r="C205" s="19">
        <f>Raw_Data!T205</f>
        <v>43333.89653</v>
      </c>
      <c r="D205" s="3">
        <v>8.0</v>
      </c>
      <c r="E205" s="3">
        <v>6.0</v>
      </c>
      <c r="F205" s="3" t="s">
        <v>116</v>
      </c>
      <c r="G205" s="3">
        <v>1.0</v>
      </c>
      <c r="H205" s="3">
        <v>1570.0</v>
      </c>
      <c r="I205" s="3" t="s">
        <v>110</v>
      </c>
      <c r="J205" s="3">
        <v>0.0</v>
      </c>
      <c r="K205" s="3">
        <v>1.822</v>
      </c>
      <c r="L205" s="3">
        <v>15.0</v>
      </c>
      <c r="M205" s="4" t="str">
        <f>Raw_Data!X205</f>
        <v>mww</v>
      </c>
      <c r="N205" s="3">
        <v>146.82</v>
      </c>
      <c r="O205" s="3">
        <v>10.7731</v>
      </c>
      <c r="P205" s="3">
        <v>-62.9019</v>
      </c>
      <c r="Q205" s="3" t="s">
        <v>608</v>
      </c>
      <c r="R205" s="4"/>
      <c r="S205" s="3" t="s">
        <v>609</v>
      </c>
      <c r="T205" s="4" t="str">
        <f t="shared" si="2"/>
        <v>Valid</v>
      </c>
      <c r="U205" s="4">
        <f t="shared" si="3"/>
        <v>1</v>
      </c>
      <c r="V205" s="4" t="str">
        <f t="shared" si="4"/>
        <v>Unique</v>
      </c>
      <c r="W205" s="4" t="str">
        <f t="shared" si="5"/>
        <v>yellow</v>
      </c>
      <c r="X205" s="4" t="str">
        <f t="shared" ref="X205:Z205" si="209">IF(Q205="","Unknown",Q205)</f>
        <v>Carúpano, Venezuela</v>
      </c>
      <c r="Y205" s="4" t="str">
        <f t="shared" si="209"/>
        <v>Unknown</v>
      </c>
      <c r="Z205" s="4" t="str">
        <f t="shared" si="209"/>
        <v>Venezuela</v>
      </c>
      <c r="AA205" s="4" t="str">
        <f t="shared" si="7"/>
        <v>mww</v>
      </c>
    </row>
    <row r="206">
      <c r="A206" s="3" t="s">
        <v>610</v>
      </c>
      <c r="B206" s="3">
        <v>6.9</v>
      </c>
      <c r="C206" s="19">
        <f>Raw_Data!T206</f>
        <v>43331.62222</v>
      </c>
      <c r="D206" s="3">
        <v>7.0</v>
      </c>
      <c r="E206" s="3">
        <v>7.0</v>
      </c>
      <c r="F206" s="3" t="s">
        <v>109</v>
      </c>
      <c r="G206" s="3">
        <v>0.0</v>
      </c>
      <c r="H206" s="3">
        <v>1206.0</v>
      </c>
      <c r="I206" s="3" t="s">
        <v>110</v>
      </c>
      <c r="J206" s="3">
        <v>0.0</v>
      </c>
      <c r="K206" s="3">
        <v>2.453</v>
      </c>
      <c r="L206" s="3">
        <v>31.0</v>
      </c>
      <c r="M206" s="4" t="str">
        <f>Raw_Data!X206</f>
        <v>mww</v>
      </c>
      <c r="N206" s="3">
        <v>21.0</v>
      </c>
      <c r="O206" s="3">
        <v>-8.319</v>
      </c>
      <c r="P206" s="3">
        <v>116.627</v>
      </c>
      <c r="Q206" s="3" t="s">
        <v>612</v>
      </c>
      <c r="R206" s="4"/>
      <c r="S206" s="3" t="s">
        <v>153</v>
      </c>
      <c r="T206" s="4" t="str">
        <f t="shared" si="2"/>
        <v>Valid</v>
      </c>
      <c r="U206" s="4">
        <f t="shared" si="3"/>
        <v>1</v>
      </c>
      <c r="V206" s="4" t="str">
        <f t="shared" si="4"/>
        <v>Unique</v>
      </c>
      <c r="W206" s="4" t="str">
        <f t="shared" si="5"/>
        <v>green</v>
      </c>
      <c r="X206" s="4" t="str">
        <f t="shared" ref="X206:Z206" si="210">IF(Q206="","Unknown",Q206)</f>
        <v>Labuan Lombok, Indonesia</v>
      </c>
      <c r="Y206" s="4" t="str">
        <f t="shared" si="210"/>
        <v>Unknown</v>
      </c>
      <c r="Z206" s="4" t="str">
        <f t="shared" si="210"/>
        <v>Indonesia</v>
      </c>
      <c r="AA206" s="4" t="str">
        <f t="shared" si="7"/>
        <v>mww</v>
      </c>
    </row>
    <row r="207">
      <c r="A207" s="3" t="s">
        <v>613</v>
      </c>
      <c r="B207" s="3">
        <v>8.2</v>
      </c>
      <c r="C207" s="19">
        <f>Raw_Data!T207</f>
        <v>43331.01319</v>
      </c>
      <c r="D207" s="3">
        <v>5.0</v>
      </c>
      <c r="E207" s="3">
        <v>4.0</v>
      </c>
      <c r="F207" s="3" t="s">
        <v>109</v>
      </c>
      <c r="G207" s="3">
        <v>1.0</v>
      </c>
      <c r="H207" s="3">
        <v>1050.0</v>
      </c>
      <c r="I207" s="3" t="s">
        <v>110</v>
      </c>
      <c r="J207" s="3">
        <v>0.0</v>
      </c>
      <c r="K207" s="3">
        <v>3.63</v>
      </c>
      <c r="L207" s="3">
        <v>13.0</v>
      </c>
      <c r="M207" s="4" t="str">
        <f>Raw_Data!X207</f>
        <v>mww</v>
      </c>
      <c r="N207" s="3">
        <v>600.0</v>
      </c>
      <c r="O207" s="3">
        <v>-18.1125</v>
      </c>
      <c r="P207" s="3">
        <v>-178.153</v>
      </c>
      <c r="Q207" s="3" t="s">
        <v>566</v>
      </c>
      <c r="R207" s="4"/>
      <c r="S207" s="3" t="s">
        <v>219</v>
      </c>
      <c r="T207" s="4" t="str">
        <f t="shared" si="2"/>
        <v>Valid</v>
      </c>
      <c r="U207" s="4">
        <f t="shared" si="3"/>
        <v>1</v>
      </c>
      <c r="V207" s="4" t="str">
        <f t="shared" si="4"/>
        <v>Unique</v>
      </c>
      <c r="W207" s="4" t="str">
        <f t="shared" si="5"/>
        <v>green</v>
      </c>
      <c r="X207" s="4" t="str">
        <f t="shared" ref="X207:Z207" si="211">IF(Q207="","Unknown",Q207)</f>
        <v>Levuka, Fiji</v>
      </c>
      <c r="Y207" s="4" t="str">
        <f t="shared" si="211"/>
        <v>Unknown</v>
      </c>
      <c r="Z207" s="4" t="str">
        <f t="shared" si="211"/>
        <v>Fiji</v>
      </c>
      <c r="AA207" s="4" t="str">
        <f t="shared" si="7"/>
        <v>mww</v>
      </c>
    </row>
    <row r="208">
      <c r="A208" s="3" t="s">
        <v>615</v>
      </c>
      <c r="B208" s="3">
        <v>6.5</v>
      </c>
      <c r="C208" s="19">
        <f>Raw_Data!T208</f>
        <v>43329.64931</v>
      </c>
      <c r="D208" s="3">
        <v>5.0</v>
      </c>
      <c r="E208" s="3">
        <v>3.0</v>
      </c>
      <c r="F208" s="3" t="s">
        <v>109</v>
      </c>
      <c r="G208" s="3">
        <v>0.0</v>
      </c>
      <c r="H208" s="3">
        <v>743.0</v>
      </c>
      <c r="I208" s="3" t="s">
        <v>110</v>
      </c>
      <c r="J208" s="3">
        <v>0.0</v>
      </c>
      <c r="K208" s="3">
        <v>2.719</v>
      </c>
      <c r="L208" s="3">
        <v>23.0</v>
      </c>
      <c r="M208" s="4" t="str">
        <f>Raw_Data!X208</f>
        <v>mww</v>
      </c>
      <c r="N208" s="3">
        <v>529.0</v>
      </c>
      <c r="O208" s="3">
        <v>-7.3718</v>
      </c>
      <c r="P208" s="3">
        <v>119.802</v>
      </c>
      <c r="Q208" s="3" t="s">
        <v>617</v>
      </c>
      <c r="R208" s="4"/>
      <c r="S208" s="3" t="s">
        <v>153</v>
      </c>
      <c r="T208" s="4" t="str">
        <f t="shared" si="2"/>
        <v>Valid</v>
      </c>
      <c r="U208" s="4">
        <f t="shared" si="3"/>
        <v>1</v>
      </c>
      <c r="V208" s="4" t="str">
        <f t="shared" si="4"/>
        <v>Unique</v>
      </c>
      <c r="W208" s="4" t="str">
        <f t="shared" si="5"/>
        <v>green</v>
      </c>
      <c r="X208" s="4" t="str">
        <f t="shared" ref="X208:Z208" si="212">IF(Q208="","Unknown",Q208)</f>
        <v>Labuan Bajo, Indonesia</v>
      </c>
      <c r="Y208" s="4" t="str">
        <f t="shared" si="212"/>
        <v>Unknown</v>
      </c>
      <c r="Z208" s="4" t="str">
        <f t="shared" si="212"/>
        <v>Indonesia</v>
      </c>
      <c r="AA208" s="4" t="str">
        <f t="shared" si="7"/>
        <v>mww</v>
      </c>
    </row>
    <row r="209">
      <c r="A209" s="3" t="s">
        <v>618</v>
      </c>
      <c r="B209" s="3">
        <v>6.5</v>
      </c>
      <c r="C209" s="19">
        <f>Raw_Data!T209</f>
        <v>43327.91389</v>
      </c>
      <c r="D209" s="3">
        <v>6.0</v>
      </c>
      <c r="E209" s="3">
        <v>6.0</v>
      </c>
      <c r="F209" s="3" t="s">
        <v>109</v>
      </c>
      <c r="G209" s="3">
        <v>1.0</v>
      </c>
      <c r="H209" s="3">
        <v>655.0</v>
      </c>
      <c r="I209" s="3" t="s">
        <v>110</v>
      </c>
      <c r="J209" s="3">
        <v>0.0</v>
      </c>
      <c r="K209" s="3">
        <v>0.576</v>
      </c>
      <c r="L209" s="3">
        <v>22.0</v>
      </c>
      <c r="M209" s="4" t="str">
        <f>Raw_Data!X209</f>
        <v>mww</v>
      </c>
      <c r="N209" s="3">
        <v>33.93</v>
      </c>
      <c r="O209" s="3">
        <v>51.4234</v>
      </c>
      <c r="P209" s="3">
        <v>-178.026</v>
      </c>
      <c r="Q209" s="3" t="s">
        <v>620</v>
      </c>
      <c r="R209" s="3" t="s">
        <v>233</v>
      </c>
      <c r="S209" s="3" t="s">
        <v>318</v>
      </c>
      <c r="T209" s="4" t="str">
        <f t="shared" si="2"/>
        <v>Valid</v>
      </c>
      <c r="U209" s="4">
        <f t="shared" si="3"/>
        <v>1</v>
      </c>
      <c r="V209" s="4" t="str">
        <f t="shared" si="4"/>
        <v>Unique</v>
      </c>
      <c r="W209" s="4" t="str">
        <f t="shared" si="5"/>
        <v>green</v>
      </c>
      <c r="X209" s="4" t="str">
        <f t="shared" ref="X209:Z209" si="213">IF(Q209="","Unknown",Q209)</f>
        <v>Adak, Alaska</v>
      </c>
      <c r="Y209" s="4" t="str">
        <f t="shared" si="213"/>
        <v>North America</v>
      </c>
      <c r="Z209" s="4" t="str">
        <f t="shared" si="213"/>
        <v>United States of America</v>
      </c>
      <c r="AA209" s="4" t="str">
        <f t="shared" si="7"/>
        <v>mww</v>
      </c>
    </row>
    <row r="210">
      <c r="A210" s="3" t="s">
        <v>621</v>
      </c>
      <c r="B210" s="3">
        <v>6.9</v>
      </c>
      <c r="C210" s="19">
        <f>Raw_Data!T210</f>
        <v>43317.49028</v>
      </c>
      <c r="D210" s="3">
        <v>9.0</v>
      </c>
      <c r="E210" s="3">
        <v>8.0</v>
      </c>
      <c r="F210" s="3" t="s">
        <v>178</v>
      </c>
      <c r="G210" s="3">
        <v>0.0</v>
      </c>
      <c r="H210" s="3">
        <v>1704.0</v>
      </c>
      <c r="I210" s="3" t="s">
        <v>110</v>
      </c>
      <c r="J210" s="3">
        <v>0.0</v>
      </c>
      <c r="K210" s="3">
        <v>2.271</v>
      </c>
      <c r="L210" s="3">
        <v>15.0</v>
      </c>
      <c r="M210" s="4" t="str">
        <f>Raw_Data!X210</f>
        <v>mww</v>
      </c>
      <c r="N210" s="3">
        <v>34.0</v>
      </c>
      <c r="O210" s="3">
        <v>-8.2581</v>
      </c>
      <c r="P210" s="3">
        <v>116.438</v>
      </c>
      <c r="Q210" s="3" t="s">
        <v>612</v>
      </c>
      <c r="R210" s="4"/>
      <c r="S210" s="3" t="s">
        <v>153</v>
      </c>
      <c r="T210" s="4" t="str">
        <f t="shared" si="2"/>
        <v>Valid</v>
      </c>
      <c r="U210" s="4">
        <f t="shared" si="3"/>
        <v>1</v>
      </c>
      <c r="V210" s="4" t="str">
        <f t="shared" si="4"/>
        <v>Unique</v>
      </c>
      <c r="W210" s="4" t="str">
        <f t="shared" si="5"/>
        <v>orange</v>
      </c>
      <c r="X210" s="4" t="str">
        <f t="shared" ref="X210:Z210" si="214">IF(Q210="","Unknown",Q210)</f>
        <v>Labuan Lombok, Indonesia</v>
      </c>
      <c r="Y210" s="4" t="str">
        <f t="shared" si="214"/>
        <v>Unknown</v>
      </c>
      <c r="Z210" s="4" t="str">
        <f t="shared" si="214"/>
        <v>Indonesia</v>
      </c>
      <c r="AA210" s="4" t="str">
        <f t="shared" si="7"/>
        <v>mww</v>
      </c>
    </row>
    <row r="211">
      <c r="A211" s="3" t="s">
        <v>622</v>
      </c>
      <c r="B211" s="3">
        <v>6.9</v>
      </c>
      <c r="C211" s="19">
        <f>Raw_Data!T211</f>
        <v>43224.93889</v>
      </c>
      <c r="D211" s="3">
        <v>7.0</v>
      </c>
      <c r="E211" s="3">
        <v>8.0</v>
      </c>
      <c r="F211" s="3" t="s">
        <v>116</v>
      </c>
      <c r="G211" s="3">
        <v>1.0</v>
      </c>
      <c r="H211" s="3">
        <v>1392.0</v>
      </c>
      <c r="I211" s="3" t="s">
        <v>623</v>
      </c>
      <c r="J211" s="3">
        <v>63.0</v>
      </c>
      <c r="K211" s="3">
        <v>0.11</v>
      </c>
      <c r="L211" s="3">
        <v>210.0</v>
      </c>
      <c r="M211" s="4" t="str">
        <f>Raw_Data!X211</f>
        <v>mw</v>
      </c>
      <c r="N211" s="3">
        <v>5.81</v>
      </c>
      <c r="O211" s="3">
        <v>19.3182</v>
      </c>
      <c r="P211" s="3">
        <v>-155.0</v>
      </c>
      <c r="Q211" s="3" t="s">
        <v>624</v>
      </c>
      <c r="R211" s="4"/>
      <c r="S211" s="3" t="s">
        <v>318</v>
      </c>
      <c r="T211" s="4" t="str">
        <f t="shared" si="2"/>
        <v>Valid</v>
      </c>
      <c r="U211" s="4">
        <f t="shared" si="3"/>
        <v>1</v>
      </c>
      <c r="V211" s="4" t="str">
        <f t="shared" si="4"/>
        <v>Unique</v>
      </c>
      <c r="W211" s="4" t="str">
        <f t="shared" si="5"/>
        <v>yellow</v>
      </c>
      <c r="X211" s="4" t="str">
        <f t="shared" ref="X211:Z211" si="215">IF(Q211="","Unknown",Q211)</f>
        <v>Leilani Estates, Hawaii</v>
      </c>
      <c r="Y211" s="4" t="str">
        <f t="shared" si="215"/>
        <v>Unknown</v>
      </c>
      <c r="Z211" s="4" t="str">
        <f t="shared" si="215"/>
        <v>United States of America</v>
      </c>
      <c r="AA211" s="4" t="str">
        <f t="shared" si="7"/>
        <v>mw</v>
      </c>
    </row>
    <row r="212">
      <c r="A212" s="3" t="s">
        <v>625</v>
      </c>
      <c r="B212" s="3">
        <v>6.8</v>
      </c>
      <c r="C212" s="19">
        <f>Raw_Data!T212</f>
        <v>43192.56944</v>
      </c>
      <c r="D212" s="3">
        <v>5.0</v>
      </c>
      <c r="E212" s="3">
        <v>3.0</v>
      </c>
      <c r="F212" s="3" t="s">
        <v>109</v>
      </c>
      <c r="G212" s="3">
        <v>0.0</v>
      </c>
      <c r="H212" s="3">
        <v>733.0</v>
      </c>
      <c r="I212" s="3" t="s">
        <v>110</v>
      </c>
      <c r="J212" s="3">
        <v>0.0</v>
      </c>
      <c r="K212" s="3">
        <v>5.32</v>
      </c>
      <c r="L212" s="3">
        <v>16.0</v>
      </c>
      <c r="M212" s="4" t="str">
        <f>Raw_Data!X212</f>
        <v>mww</v>
      </c>
      <c r="N212" s="3">
        <v>559.0</v>
      </c>
      <c r="O212" s="3">
        <v>-20.6588</v>
      </c>
      <c r="P212" s="3">
        <v>-63.0058</v>
      </c>
      <c r="Q212" s="3" t="s">
        <v>626</v>
      </c>
      <c r="R212" s="3" t="s">
        <v>121</v>
      </c>
      <c r="S212" s="3" t="s">
        <v>627</v>
      </c>
      <c r="T212" s="4" t="str">
        <f t="shared" si="2"/>
        <v>Valid</v>
      </c>
      <c r="U212" s="4">
        <f t="shared" si="3"/>
        <v>1</v>
      </c>
      <c r="V212" s="4" t="str">
        <f t="shared" si="4"/>
        <v>Unique</v>
      </c>
      <c r="W212" s="4" t="str">
        <f t="shared" si="5"/>
        <v>green</v>
      </c>
      <c r="X212" s="4" t="str">
        <f t="shared" ref="X212:Z212" si="216">IF(Q212="","Unknown",Q212)</f>
        <v>Boyuibe, Bolivia</v>
      </c>
      <c r="Y212" s="4" t="str">
        <f t="shared" si="216"/>
        <v>South America</v>
      </c>
      <c r="Z212" s="4" t="str">
        <f t="shared" si="216"/>
        <v>Bolivia</v>
      </c>
      <c r="AA212" s="4" t="str">
        <f t="shared" si="7"/>
        <v>mww</v>
      </c>
    </row>
    <row r="213">
      <c r="A213" s="3" t="s">
        <v>628</v>
      </c>
      <c r="B213" s="3">
        <v>6.9</v>
      </c>
      <c r="C213" s="19">
        <f>Raw_Data!T213</f>
        <v>43188.89236</v>
      </c>
      <c r="D213" s="3">
        <v>9.0</v>
      </c>
      <c r="E213" s="3">
        <v>6.0</v>
      </c>
      <c r="F213" s="3" t="s">
        <v>109</v>
      </c>
      <c r="G213" s="3">
        <v>1.0</v>
      </c>
      <c r="H213" s="3">
        <v>741.0</v>
      </c>
      <c r="I213" s="3" t="s">
        <v>110</v>
      </c>
      <c r="J213" s="3">
        <v>0.0</v>
      </c>
      <c r="K213" s="3">
        <v>1.487</v>
      </c>
      <c r="L213" s="3">
        <v>18.0</v>
      </c>
      <c r="M213" s="4" t="str">
        <f>Raw_Data!X213</f>
        <v>mww</v>
      </c>
      <c r="N213" s="3">
        <v>35.0</v>
      </c>
      <c r="O213" s="3">
        <v>-5.5321</v>
      </c>
      <c r="P213" s="3">
        <v>151.5</v>
      </c>
      <c r="Q213" s="3" t="s">
        <v>187</v>
      </c>
      <c r="R213" s="4"/>
      <c r="S213" s="3" t="s">
        <v>168</v>
      </c>
      <c r="T213" s="4" t="str">
        <f t="shared" si="2"/>
        <v>Valid</v>
      </c>
      <c r="U213" s="4">
        <f t="shared" si="3"/>
        <v>1</v>
      </c>
      <c r="V213" s="4" t="str">
        <f t="shared" si="4"/>
        <v>Unique</v>
      </c>
      <c r="W213" s="4" t="str">
        <f t="shared" si="5"/>
        <v>green</v>
      </c>
      <c r="X213" s="4" t="str">
        <f t="shared" ref="X213:Z213" si="217">IF(Q213="","Unknown",Q213)</f>
        <v>Kimbe, Papua New Guinea</v>
      </c>
      <c r="Y213" s="4" t="str">
        <f t="shared" si="217"/>
        <v>Unknown</v>
      </c>
      <c r="Z213" s="4" t="str">
        <f t="shared" si="217"/>
        <v>Papua New Guinea</v>
      </c>
      <c r="AA213" s="4" t="str">
        <f t="shared" si="7"/>
        <v>mww</v>
      </c>
    </row>
    <row r="214">
      <c r="A214" s="3" t="s">
        <v>630</v>
      </c>
      <c r="B214" s="3">
        <v>6.7</v>
      </c>
      <c r="C214" s="19">
        <f>Raw_Data!T214</f>
        <v>43185.41042</v>
      </c>
      <c r="D214" s="3">
        <v>5.0</v>
      </c>
      <c r="E214" s="3">
        <v>6.0</v>
      </c>
      <c r="F214" s="3" t="s">
        <v>109</v>
      </c>
      <c r="G214" s="3">
        <v>1.0</v>
      </c>
      <c r="H214" s="3">
        <v>696.0</v>
      </c>
      <c r="I214" s="3" t="s">
        <v>110</v>
      </c>
      <c r="J214" s="3">
        <v>0.0</v>
      </c>
      <c r="K214" s="3">
        <v>1.507</v>
      </c>
      <c r="L214" s="3">
        <v>15.0</v>
      </c>
      <c r="M214" s="4" t="str">
        <f>Raw_Data!X214</f>
        <v>mww</v>
      </c>
      <c r="N214" s="3">
        <v>40.0</v>
      </c>
      <c r="O214" s="3">
        <v>-5.5024</v>
      </c>
      <c r="P214" s="3">
        <v>151.402</v>
      </c>
      <c r="Q214" s="3" t="s">
        <v>187</v>
      </c>
      <c r="R214" s="4"/>
      <c r="S214" s="3" t="s">
        <v>168</v>
      </c>
      <c r="T214" s="4" t="str">
        <f t="shared" si="2"/>
        <v>Valid</v>
      </c>
      <c r="U214" s="4">
        <f t="shared" si="3"/>
        <v>1</v>
      </c>
      <c r="V214" s="4" t="str">
        <f t="shared" si="4"/>
        <v>Unique</v>
      </c>
      <c r="W214" s="4" t="str">
        <f t="shared" si="5"/>
        <v>green</v>
      </c>
      <c r="X214" s="4" t="str">
        <f t="shared" ref="X214:Z214" si="218">IF(Q214="","Unknown",Q214)</f>
        <v>Kimbe, Papua New Guinea</v>
      </c>
      <c r="Y214" s="4" t="str">
        <f t="shared" si="218"/>
        <v>Unknown</v>
      </c>
      <c r="Z214" s="4" t="str">
        <f t="shared" si="218"/>
        <v>Papua New Guinea</v>
      </c>
      <c r="AA214" s="4" t="str">
        <f t="shared" si="7"/>
        <v>mww</v>
      </c>
    </row>
    <row r="215">
      <c r="A215" s="3" t="s">
        <v>632</v>
      </c>
      <c r="B215" s="3">
        <v>6.8</v>
      </c>
      <c r="C215" s="19">
        <f>Raw_Data!T215</f>
        <v>43167.73542</v>
      </c>
      <c r="D215" s="3">
        <v>6.0</v>
      </c>
      <c r="E215" s="3">
        <v>6.0</v>
      </c>
      <c r="F215" s="3" t="s">
        <v>109</v>
      </c>
      <c r="G215" s="3">
        <v>1.0</v>
      </c>
      <c r="H215" s="3">
        <v>719.0</v>
      </c>
      <c r="I215" s="3" t="s">
        <v>110</v>
      </c>
      <c r="J215" s="3">
        <v>0.0</v>
      </c>
      <c r="K215" s="3">
        <v>1.049</v>
      </c>
      <c r="L215" s="3">
        <v>16.0</v>
      </c>
      <c r="M215" s="4" t="str">
        <f>Raw_Data!X215</f>
        <v>mww</v>
      </c>
      <c r="N215" s="3">
        <v>22.86</v>
      </c>
      <c r="O215" s="3">
        <v>-4.3762</v>
      </c>
      <c r="P215" s="3">
        <v>153.2</v>
      </c>
      <c r="Q215" s="3" t="s">
        <v>633</v>
      </c>
      <c r="R215" s="4"/>
      <c r="S215" s="3" t="s">
        <v>168</v>
      </c>
      <c r="T215" s="4" t="str">
        <f t="shared" si="2"/>
        <v>Valid</v>
      </c>
      <c r="U215" s="4">
        <f t="shared" si="3"/>
        <v>1</v>
      </c>
      <c r="V215" s="4" t="str">
        <f t="shared" si="4"/>
        <v>Unique</v>
      </c>
      <c r="W215" s="4" t="str">
        <f t="shared" si="5"/>
        <v>green</v>
      </c>
      <c r="X215" s="4" t="str">
        <f t="shared" ref="X215:Z215" si="219">IF(Q215="","Unknown",Q215)</f>
        <v>Kokopo, Papua New Guinea</v>
      </c>
      <c r="Y215" s="4" t="str">
        <f t="shared" si="219"/>
        <v>Unknown</v>
      </c>
      <c r="Z215" s="4" t="str">
        <f t="shared" si="219"/>
        <v>Papua New Guinea</v>
      </c>
      <c r="AA215" s="4" t="str">
        <f t="shared" si="7"/>
        <v>mww</v>
      </c>
    </row>
    <row r="216">
      <c r="A216" s="3" t="s">
        <v>634</v>
      </c>
      <c r="B216" s="3">
        <v>6.7</v>
      </c>
      <c r="C216" s="19">
        <f>Raw_Data!T216</f>
        <v>43165.59236</v>
      </c>
      <c r="D216" s="3">
        <v>8.0</v>
      </c>
      <c r="E216" s="3">
        <v>7.0</v>
      </c>
      <c r="F216" s="3" t="s">
        <v>109</v>
      </c>
      <c r="G216" s="3">
        <v>1.0</v>
      </c>
      <c r="H216" s="3">
        <v>697.0</v>
      </c>
      <c r="I216" s="3" t="s">
        <v>110</v>
      </c>
      <c r="J216" s="3">
        <v>0.0</v>
      </c>
      <c r="K216" s="3">
        <v>5.457</v>
      </c>
      <c r="L216" s="3">
        <v>19.0</v>
      </c>
      <c r="M216" s="4" t="str">
        <f>Raw_Data!X216</f>
        <v>mww</v>
      </c>
      <c r="N216" s="3">
        <v>20.49</v>
      </c>
      <c r="O216" s="3">
        <v>-6.3043</v>
      </c>
      <c r="P216" s="3">
        <v>142.612</v>
      </c>
      <c r="Q216" s="3" t="s">
        <v>635</v>
      </c>
      <c r="R216" s="4"/>
      <c r="S216" s="3" t="s">
        <v>168</v>
      </c>
      <c r="T216" s="4" t="str">
        <f t="shared" si="2"/>
        <v>Valid</v>
      </c>
      <c r="U216" s="4">
        <f t="shared" si="3"/>
        <v>1</v>
      </c>
      <c r="V216" s="4" t="str">
        <f t="shared" si="4"/>
        <v>Unique</v>
      </c>
      <c r="W216" s="4" t="str">
        <f t="shared" si="5"/>
        <v>green</v>
      </c>
      <c r="X216" s="4" t="str">
        <f t="shared" ref="X216:Z216" si="220">IF(Q216="","Unknown",Q216)</f>
        <v>Tari, Papua New Guinea</v>
      </c>
      <c r="Y216" s="4" t="str">
        <f t="shared" si="220"/>
        <v>Unknown</v>
      </c>
      <c r="Z216" s="4" t="str">
        <f t="shared" si="220"/>
        <v>Papua New Guinea</v>
      </c>
      <c r="AA216" s="4" t="str">
        <f t="shared" si="7"/>
        <v>mww</v>
      </c>
    </row>
    <row r="217">
      <c r="A217" s="3" t="s">
        <v>636</v>
      </c>
      <c r="B217" s="3">
        <v>7.5</v>
      </c>
      <c r="C217" s="19">
        <f>Raw_Data!T217</f>
        <v>43156.73889</v>
      </c>
      <c r="D217" s="3">
        <v>9.0</v>
      </c>
      <c r="E217" s="3">
        <v>8.0</v>
      </c>
      <c r="F217" s="3" t="s">
        <v>116</v>
      </c>
      <c r="G217" s="3">
        <v>1.0</v>
      </c>
      <c r="H217" s="3">
        <v>943.0</v>
      </c>
      <c r="I217" s="3" t="s">
        <v>110</v>
      </c>
      <c r="J217" s="3">
        <v>0.0</v>
      </c>
      <c r="K217" s="3">
        <v>5.48</v>
      </c>
      <c r="L217" s="3">
        <v>17.0</v>
      </c>
      <c r="M217" s="4" t="str">
        <f>Raw_Data!X217</f>
        <v>mww</v>
      </c>
      <c r="N217" s="3">
        <v>25.21</v>
      </c>
      <c r="O217" s="3">
        <v>-6.0699</v>
      </c>
      <c r="P217" s="3">
        <v>142.754</v>
      </c>
      <c r="Q217" s="3" t="s">
        <v>635</v>
      </c>
      <c r="R217" s="4"/>
      <c r="S217" s="3" t="s">
        <v>168</v>
      </c>
      <c r="T217" s="4" t="str">
        <f t="shared" si="2"/>
        <v>Valid</v>
      </c>
      <c r="U217" s="4">
        <f t="shared" si="3"/>
        <v>1</v>
      </c>
      <c r="V217" s="4" t="str">
        <f t="shared" si="4"/>
        <v>Unique</v>
      </c>
      <c r="W217" s="4" t="str">
        <f t="shared" si="5"/>
        <v>yellow</v>
      </c>
      <c r="X217" s="4" t="str">
        <f t="shared" ref="X217:Z217" si="221">IF(Q217="","Unknown",Q217)</f>
        <v>Tari, Papua New Guinea</v>
      </c>
      <c r="Y217" s="4" t="str">
        <f t="shared" si="221"/>
        <v>Unknown</v>
      </c>
      <c r="Z217" s="4" t="str">
        <f t="shared" si="221"/>
        <v>Papua New Guinea</v>
      </c>
      <c r="AA217" s="4" t="str">
        <f t="shared" si="7"/>
        <v>mww</v>
      </c>
    </row>
    <row r="218">
      <c r="A218" s="3" t="s">
        <v>638</v>
      </c>
      <c r="B218" s="3">
        <v>7.2</v>
      </c>
      <c r="C218" s="19">
        <f>Raw_Data!T218</f>
        <v>43147.98542</v>
      </c>
      <c r="D218" s="3">
        <v>7.0</v>
      </c>
      <c r="E218" s="3">
        <v>7.0</v>
      </c>
      <c r="F218" s="3" t="s">
        <v>116</v>
      </c>
      <c r="G218" s="3">
        <v>1.0</v>
      </c>
      <c r="H218" s="3">
        <v>1384.0</v>
      </c>
      <c r="I218" s="3" t="s">
        <v>110</v>
      </c>
      <c r="J218" s="3">
        <v>0.0</v>
      </c>
      <c r="K218" s="3">
        <v>0.142</v>
      </c>
      <c r="L218" s="3">
        <v>82.0</v>
      </c>
      <c r="M218" s="4" t="str">
        <f>Raw_Data!X218</f>
        <v>mww</v>
      </c>
      <c r="N218" s="3">
        <v>22.0</v>
      </c>
      <c r="O218" s="3">
        <v>16.3855</v>
      </c>
      <c r="P218" s="3">
        <v>-97.9787</v>
      </c>
      <c r="Q218" s="3" t="s">
        <v>640</v>
      </c>
      <c r="R218" s="3" t="s">
        <v>233</v>
      </c>
      <c r="S218" s="3" t="s">
        <v>234</v>
      </c>
      <c r="T218" s="4" t="str">
        <f t="shared" si="2"/>
        <v>Valid</v>
      </c>
      <c r="U218" s="4">
        <f t="shared" si="3"/>
        <v>1</v>
      </c>
      <c r="V218" s="4" t="str">
        <f t="shared" si="4"/>
        <v>Unique</v>
      </c>
      <c r="W218" s="4" t="str">
        <f t="shared" si="5"/>
        <v>yellow</v>
      </c>
      <c r="X218" s="4" t="str">
        <f t="shared" ref="X218:Z218" si="222">IF(Q218="","Unknown",Q218)</f>
        <v>Pinotepa de Don Luis, Mexico</v>
      </c>
      <c r="Y218" s="4" t="str">
        <f t="shared" si="222"/>
        <v>North America</v>
      </c>
      <c r="Z218" s="4" t="str">
        <f t="shared" si="222"/>
        <v>Mexico</v>
      </c>
      <c r="AA218" s="4" t="str">
        <f t="shared" si="7"/>
        <v>mww</v>
      </c>
    </row>
    <row r="219">
      <c r="A219" s="3" t="s">
        <v>641</v>
      </c>
      <c r="B219" s="3">
        <v>7.9</v>
      </c>
      <c r="C219" s="19">
        <f>Raw_Data!T219</f>
        <v>43123.39653</v>
      </c>
      <c r="D219" s="3">
        <v>9.0</v>
      </c>
      <c r="E219" s="3">
        <v>4.0</v>
      </c>
      <c r="F219" s="3" t="s">
        <v>109</v>
      </c>
      <c r="G219" s="3">
        <v>1.0</v>
      </c>
      <c r="H219" s="3">
        <v>1870.0</v>
      </c>
      <c r="I219" s="3" t="s">
        <v>110</v>
      </c>
      <c r="J219" s="3">
        <v>0.0</v>
      </c>
      <c r="K219" s="3">
        <v>2.585</v>
      </c>
      <c r="L219" s="3">
        <v>30.0</v>
      </c>
      <c r="M219" s="4" t="str">
        <f>Raw_Data!X219</f>
        <v>mww</v>
      </c>
      <c r="N219" s="3">
        <v>14.06</v>
      </c>
      <c r="O219" s="3">
        <v>56.0039</v>
      </c>
      <c r="P219" s="3">
        <v>-149.166</v>
      </c>
      <c r="Q219" s="3" t="s">
        <v>643</v>
      </c>
      <c r="R219" s="4"/>
      <c r="S219" s="4"/>
      <c r="T219" s="4" t="str">
        <f t="shared" si="2"/>
        <v>Valid</v>
      </c>
      <c r="U219" s="4">
        <f t="shared" si="3"/>
        <v>1</v>
      </c>
      <c r="V219" s="4" t="str">
        <f t="shared" si="4"/>
        <v>Unique</v>
      </c>
      <c r="W219" s="4" t="str">
        <f t="shared" si="5"/>
        <v>green</v>
      </c>
      <c r="X219" s="4" t="str">
        <f t="shared" ref="X219:Z219" si="223">IF(Q219="","Unknown",Q219)</f>
        <v>Chiniak, Alaska</v>
      </c>
      <c r="Y219" s="4" t="str">
        <f t="shared" si="223"/>
        <v>Unknown</v>
      </c>
      <c r="Z219" s="4" t="str">
        <f t="shared" si="223"/>
        <v>Unknown</v>
      </c>
      <c r="AA219" s="4" t="str">
        <f t="shared" si="7"/>
        <v>mww</v>
      </c>
    </row>
    <row r="220">
      <c r="A220" s="3" t="s">
        <v>644</v>
      </c>
      <c r="B220" s="3">
        <v>7.1</v>
      </c>
      <c r="C220" s="19">
        <f>Raw_Data!T220</f>
        <v>43114.3875</v>
      </c>
      <c r="D220" s="3">
        <v>9.0</v>
      </c>
      <c r="E220" s="3">
        <v>7.0</v>
      </c>
      <c r="F220" s="3" t="s">
        <v>109</v>
      </c>
      <c r="G220" s="3">
        <v>1.0</v>
      </c>
      <c r="H220" s="3">
        <v>1075.0</v>
      </c>
      <c r="I220" s="3" t="s">
        <v>110</v>
      </c>
      <c r="J220" s="3">
        <v>0.0</v>
      </c>
      <c r="K220" s="3">
        <v>4.29</v>
      </c>
      <c r="L220" s="3">
        <v>23.0</v>
      </c>
      <c r="M220" s="4" t="str">
        <f>Raw_Data!X220</f>
        <v>mww</v>
      </c>
      <c r="N220" s="3">
        <v>39.0</v>
      </c>
      <c r="O220" s="3">
        <v>-15.7675</v>
      </c>
      <c r="P220" s="3">
        <v>-74.7092</v>
      </c>
      <c r="Q220" s="3" t="s">
        <v>646</v>
      </c>
      <c r="R220" s="4"/>
      <c r="S220" s="3" t="s">
        <v>265</v>
      </c>
      <c r="T220" s="4" t="str">
        <f t="shared" si="2"/>
        <v>Valid</v>
      </c>
      <c r="U220" s="4">
        <f t="shared" si="3"/>
        <v>1</v>
      </c>
      <c r="V220" s="4" t="str">
        <f t="shared" si="4"/>
        <v>Unique</v>
      </c>
      <c r="W220" s="4" t="str">
        <f t="shared" si="5"/>
        <v>green</v>
      </c>
      <c r="X220" s="4" t="str">
        <f t="shared" ref="X220:Z220" si="224">IF(Q220="","Unknown",Q220)</f>
        <v>Atiquipa, Peru</v>
      </c>
      <c r="Y220" s="4" t="str">
        <f t="shared" si="224"/>
        <v>Unknown</v>
      </c>
      <c r="Z220" s="4" t="str">
        <f t="shared" si="224"/>
        <v>Peru</v>
      </c>
      <c r="AA220" s="4" t="str">
        <f t="shared" si="7"/>
        <v>mww</v>
      </c>
    </row>
    <row r="221">
      <c r="A221" s="3" t="s">
        <v>647</v>
      </c>
      <c r="B221" s="3">
        <v>7.5</v>
      </c>
      <c r="C221" s="19">
        <f>Raw_Data!T221</f>
        <v>43110.11875</v>
      </c>
      <c r="D221" s="3">
        <v>8.0</v>
      </c>
      <c r="E221" s="3">
        <v>5.0</v>
      </c>
      <c r="F221" s="3" t="s">
        <v>109</v>
      </c>
      <c r="G221" s="3">
        <v>1.0</v>
      </c>
      <c r="H221" s="3">
        <v>1623.0</v>
      </c>
      <c r="I221" s="3" t="s">
        <v>110</v>
      </c>
      <c r="J221" s="3">
        <v>0.0</v>
      </c>
      <c r="K221" s="3">
        <v>4.581</v>
      </c>
      <c r="L221" s="3">
        <v>12.0</v>
      </c>
      <c r="M221" s="4" t="str">
        <f>Raw_Data!X221</f>
        <v>mww</v>
      </c>
      <c r="N221" s="3">
        <v>19.0</v>
      </c>
      <c r="O221" s="3">
        <v>17.4825</v>
      </c>
      <c r="P221" s="3">
        <v>-83.52</v>
      </c>
      <c r="Q221" s="3" t="s">
        <v>648</v>
      </c>
      <c r="R221" s="4"/>
      <c r="S221" s="4"/>
      <c r="T221" s="4" t="str">
        <f t="shared" si="2"/>
        <v>Valid</v>
      </c>
      <c r="U221" s="4">
        <f t="shared" si="3"/>
        <v>1</v>
      </c>
      <c r="V221" s="4" t="str">
        <f t="shared" si="4"/>
        <v>Unique</v>
      </c>
      <c r="W221" s="4" t="str">
        <f t="shared" si="5"/>
        <v>green</v>
      </c>
      <c r="X221" s="4" t="str">
        <f t="shared" ref="X221:Z221" si="225">IF(Q221="","Unknown",Q221)</f>
        <v>Barra Patuca, Honduras</v>
      </c>
      <c r="Y221" s="4" t="str">
        <f t="shared" si="225"/>
        <v>Unknown</v>
      </c>
      <c r="Z221" s="4" t="str">
        <f t="shared" si="225"/>
        <v>Unknown</v>
      </c>
      <c r="AA221" s="4" t="str">
        <f t="shared" si="7"/>
        <v>mww</v>
      </c>
    </row>
    <row r="222">
      <c r="A222" s="3" t="s">
        <v>649</v>
      </c>
      <c r="B222" s="3">
        <v>6.5</v>
      </c>
      <c r="C222" s="19">
        <f>Raw_Data!T222</f>
        <v>43084.69931</v>
      </c>
      <c r="D222" s="3">
        <v>8.0</v>
      </c>
      <c r="E222" s="3">
        <v>7.0</v>
      </c>
      <c r="F222" s="3" t="s">
        <v>109</v>
      </c>
      <c r="G222" s="3">
        <v>0.0</v>
      </c>
      <c r="H222" s="3">
        <v>998.0</v>
      </c>
      <c r="I222" s="3" t="s">
        <v>110</v>
      </c>
      <c r="J222" s="3">
        <v>0.0</v>
      </c>
      <c r="K222" s="3">
        <v>2.365</v>
      </c>
      <c r="L222" s="3">
        <v>28.0</v>
      </c>
      <c r="M222" s="4" t="str">
        <f>Raw_Data!X222</f>
        <v>mww</v>
      </c>
      <c r="N222" s="3">
        <v>90.0</v>
      </c>
      <c r="O222" s="3">
        <v>-7.4921</v>
      </c>
      <c r="P222" s="3">
        <v>108.174</v>
      </c>
      <c r="Q222" s="3" t="s">
        <v>651</v>
      </c>
      <c r="R222" s="4"/>
      <c r="S222" s="3" t="s">
        <v>153</v>
      </c>
      <c r="T222" s="4" t="str">
        <f t="shared" si="2"/>
        <v>Valid</v>
      </c>
      <c r="U222" s="4">
        <f t="shared" si="3"/>
        <v>1</v>
      </c>
      <c r="V222" s="4" t="str">
        <f t="shared" si="4"/>
        <v>Unique</v>
      </c>
      <c r="W222" s="4" t="str">
        <f t="shared" si="5"/>
        <v>green</v>
      </c>
      <c r="X222" s="4" t="str">
        <f t="shared" ref="X222:Z222" si="226">IF(Q222="","Unknown",Q222)</f>
        <v>Kawalu, Indonesia</v>
      </c>
      <c r="Y222" s="4" t="str">
        <f t="shared" si="226"/>
        <v>Unknown</v>
      </c>
      <c r="Z222" s="4" t="str">
        <f t="shared" si="226"/>
        <v>Indonesia</v>
      </c>
      <c r="AA222" s="4" t="str">
        <f t="shared" si="7"/>
        <v>mww</v>
      </c>
    </row>
    <row r="223">
      <c r="A223" s="3" t="s">
        <v>652</v>
      </c>
      <c r="B223" s="3">
        <v>6.5</v>
      </c>
      <c r="C223" s="19">
        <f>Raw_Data!T223</f>
        <v>43082.75208</v>
      </c>
      <c r="D223" s="3">
        <v>1.0</v>
      </c>
      <c r="E223" s="3">
        <v>5.0</v>
      </c>
      <c r="F223" s="3" t="s">
        <v>109</v>
      </c>
      <c r="G223" s="3">
        <v>1.0</v>
      </c>
      <c r="H223" s="3">
        <v>651.0</v>
      </c>
      <c r="I223" s="3" t="s">
        <v>110</v>
      </c>
      <c r="J223" s="3">
        <v>0.0</v>
      </c>
      <c r="K223" s="3">
        <v>17.654</v>
      </c>
      <c r="L223" s="3">
        <v>23.0</v>
      </c>
      <c r="M223" s="4" t="str">
        <f>Raw_Data!X223</f>
        <v>mww</v>
      </c>
      <c r="N223" s="3">
        <v>17.0</v>
      </c>
      <c r="O223" s="3">
        <v>-54.2189</v>
      </c>
      <c r="P223" s="3">
        <v>2.1628</v>
      </c>
      <c r="Q223" s="3" t="s">
        <v>654</v>
      </c>
      <c r="R223" s="4"/>
      <c r="S223" s="4"/>
      <c r="T223" s="4" t="str">
        <f t="shared" si="2"/>
        <v>Valid</v>
      </c>
      <c r="U223" s="4">
        <f t="shared" si="3"/>
        <v>1</v>
      </c>
      <c r="V223" s="4" t="str">
        <f t="shared" si="4"/>
        <v>Unique</v>
      </c>
      <c r="W223" s="4" t="str">
        <f t="shared" si="5"/>
        <v>green</v>
      </c>
      <c r="X223" s="4" t="str">
        <f t="shared" ref="X223:Z223" si="227">IF(Q223="","Unknown",Q223)</f>
        <v>Bouvet Island region</v>
      </c>
      <c r="Y223" s="4" t="str">
        <f t="shared" si="227"/>
        <v>Unknown</v>
      </c>
      <c r="Z223" s="4" t="str">
        <f t="shared" si="227"/>
        <v>Unknown</v>
      </c>
      <c r="AA223" s="4" t="str">
        <f t="shared" si="7"/>
        <v>mww</v>
      </c>
    </row>
    <row r="224">
      <c r="A224" s="3" t="s">
        <v>655</v>
      </c>
      <c r="B224" s="3">
        <v>7.0</v>
      </c>
      <c r="C224" s="19">
        <f>Raw_Data!T224</f>
        <v>43058.94653</v>
      </c>
      <c r="D224" s="3">
        <v>4.0</v>
      </c>
      <c r="E224" s="3">
        <v>6.0</v>
      </c>
      <c r="F224" s="3" t="s">
        <v>109</v>
      </c>
      <c r="G224" s="3">
        <v>1.0</v>
      </c>
      <c r="H224" s="3">
        <v>771.0</v>
      </c>
      <c r="I224" s="3" t="s">
        <v>110</v>
      </c>
      <c r="J224" s="3">
        <v>0.0</v>
      </c>
      <c r="K224" s="3">
        <v>0.617</v>
      </c>
      <c r="L224" s="3">
        <v>14.0</v>
      </c>
      <c r="M224" s="4" t="str">
        <f>Raw_Data!X224</f>
        <v>mww</v>
      </c>
      <c r="N224" s="3">
        <v>10.0</v>
      </c>
      <c r="O224" s="3">
        <v>-21.3246</v>
      </c>
      <c r="P224" s="3">
        <v>168.671</v>
      </c>
      <c r="Q224" s="3" t="s">
        <v>276</v>
      </c>
      <c r="R224" s="4"/>
      <c r="S224" s="4"/>
      <c r="T224" s="4" t="str">
        <f t="shared" si="2"/>
        <v>Valid</v>
      </c>
      <c r="U224" s="4">
        <f t="shared" si="3"/>
        <v>1</v>
      </c>
      <c r="V224" s="4" t="str">
        <f t="shared" si="4"/>
        <v>Unique</v>
      </c>
      <c r="W224" s="4" t="str">
        <f t="shared" si="5"/>
        <v>green</v>
      </c>
      <c r="X224" s="4" t="str">
        <f t="shared" ref="X224:Z224" si="228">IF(Q224="","Unknown",Q224)</f>
        <v>Tadine, New Caledonia</v>
      </c>
      <c r="Y224" s="4" t="str">
        <f t="shared" si="228"/>
        <v>Unknown</v>
      </c>
      <c r="Z224" s="4" t="str">
        <f t="shared" si="228"/>
        <v>Unknown</v>
      </c>
      <c r="AA224" s="4" t="str">
        <f t="shared" si="7"/>
        <v>mww</v>
      </c>
    </row>
    <row r="225">
      <c r="A225" s="3" t="s">
        <v>657</v>
      </c>
      <c r="B225" s="3">
        <v>6.6</v>
      </c>
      <c r="C225" s="19">
        <f>Raw_Data!T225</f>
        <v>43058.63125</v>
      </c>
      <c r="D225" s="3">
        <v>4.0</v>
      </c>
      <c r="E225" s="3">
        <v>5.0</v>
      </c>
      <c r="F225" s="3" t="s">
        <v>109</v>
      </c>
      <c r="G225" s="3">
        <v>1.0</v>
      </c>
      <c r="H225" s="3">
        <v>676.0</v>
      </c>
      <c r="I225" s="3" t="s">
        <v>110</v>
      </c>
      <c r="J225" s="3">
        <v>0.0</v>
      </c>
      <c r="K225" s="3">
        <v>0.529</v>
      </c>
      <c r="L225" s="3">
        <v>21.0</v>
      </c>
      <c r="M225" s="4" t="str">
        <f>Raw_Data!X225</f>
        <v>mww</v>
      </c>
      <c r="N225" s="3">
        <v>13.0</v>
      </c>
      <c r="O225" s="3">
        <v>-21.5027</v>
      </c>
      <c r="P225" s="3">
        <v>168.598</v>
      </c>
      <c r="Q225" s="3" t="s">
        <v>276</v>
      </c>
      <c r="R225" s="4"/>
      <c r="S225" s="4"/>
      <c r="T225" s="4" t="str">
        <f t="shared" si="2"/>
        <v>Valid</v>
      </c>
      <c r="U225" s="4">
        <f t="shared" si="3"/>
        <v>1</v>
      </c>
      <c r="V225" s="4" t="str">
        <f t="shared" si="4"/>
        <v>Unique</v>
      </c>
      <c r="W225" s="4" t="str">
        <f t="shared" si="5"/>
        <v>green</v>
      </c>
      <c r="X225" s="4" t="str">
        <f t="shared" ref="X225:Z225" si="229">IF(Q225="","Unknown",Q225)</f>
        <v>Tadine, New Caledonia</v>
      </c>
      <c r="Y225" s="4" t="str">
        <f t="shared" si="229"/>
        <v>Unknown</v>
      </c>
      <c r="Z225" s="4" t="str">
        <f t="shared" si="229"/>
        <v>Unknown</v>
      </c>
      <c r="AA225" s="4" t="str">
        <f t="shared" si="7"/>
        <v>mww</v>
      </c>
    </row>
    <row r="226">
      <c r="A226" s="3" t="s">
        <v>659</v>
      </c>
      <c r="B226" s="3">
        <v>6.5</v>
      </c>
      <c r="C226" s="19">
        <f>Raw_Data!T226</f>
        <v>43052.10278</v>
      </c>
      <c r="D226" s="3">
        <v>8.0</v>
      </c>
      <c r="E226" s="3">
        <v>8.0</v>
      </c>
      <c r="F226" s="3" t="s">
        <v>116</v>
      </c>
      <c r="G226" s="3">
        <v>1.0</v>
      </c>
      <c r="H226" s="3">
        <v>1153.0</v>
      </c>
      <c r="I226" s="3" t="s">
        <v>110</v>
      </c>
      <c r="J226" s="3">
        <v>0.0</v>
      </c>
      <c r="K226" s="3">
        <v>0.225</v>
      </c>
      <c r="L226" s="3">
        <v>37.0</v>
      </c>
      <c r="M226" s="4" t="str">
        <f>Raw_Data!X226</f>
        <v>mww</v>
      </c>
      <c r="N226" s="3">
        <v>19.36</v>
      </c>
      <c r="O226" s="3">
        <v>9.5147</v>
      </c>
      <c r="P226" s="3">
        <v>-84.4865</v>
      </c>
      <c r="Q226" s="3" t="s">
        <v>661</v>
      </c>
      <c r="R226" s="4"/>
      <c r="S226" s="3" t="s">
        <v>662</v>
      </c>
      <c r="T226" s="4" t="str">
        <f t="shared" si="2"/>
        <v>Valid</v>
      </c>
      <c r="U226" s="4">
        <f t="shared" si="3"/>
        <v>1</v>
      </c>
      <c r="V226" s="4" t="str">
        <f t="shared" si="4"/>
        <v>Unique</v>
      </c>
      <c r="W226" s="4" t="str">
        <f t="shared" si="5"/>
        <v>yellow</v>
      </c>
      <c r="X226" s="4" t="str">
        <f t="shared" ref="X226:Z226" si="230">IF(Q226="","Unknown",Q226)</f>
        <v>Parrita, Costa Rica</v>
      </c>
      <c r="Y226" s="4" t="str">
        <f t="shared" si="230"/>
        <v>Unknown</v>
      </c>
      <c r="Z226" s="4" t="str">
        <f t="shared" si="230"/>
        <v>Costa Rica</v>
      </c>
      <c r="AA226" s="4" t="str">
        <f t="shared" si="7"/>
        <v>mww</v>
      </c>
    </row>
    <row r="227">
      <c r="A227" s="3" t="s">
        <v>663</v>
      </c>
      <c r="B227" s="3">
        <v>7.3</v>
      </c>
      <c r="C227" s="19">
        <f>Raw_Data!T227</f>
        <v>43051.7625</v>
      </c>
      <c r="D227" s="3">
        <v>8.0</v>
      </c>
      <c r="E227" s="3">
        <v>9.0</v>
      </c>
      <c r="F227" s="3" t="s">
        <v>198</v>
      </c>
      <c r="G227" s="3">
        <v>0.0</v>
      </c>
      <c r="H227" s="3">
        <v>2790.0</v>
      </c>
      <c r="I227" s="3" t="s">
        <v>110</v>
      </c>
      <c r="J227" s="3">
        <v>0.0</v>
      </c>
      <c r="K227" s="3">
        <v>0.284</v>
      </c>
      <c r="L227" s="3">
        <v>33.0</v>
      </c>
      <c r="M227" s="4" t="str">
        <f>Raw_Data!X227</f>
        <v>mww</v>
      </c>
      <c r="N227" s="3">
        <v>19.0</v>
      </c>
      <c r="O227" s="3">
        <v>34.9109</v>
      </c>
      <c r="P227" s="3">
        <v>45.9592</v>
      </c>
      <c r="Q227" s="3" t="s">
        <v>664</v>
      </c>
      <c r="R227" s="3" t="s">
        <v>164</v>
      </c>
      <c r="S227" s="3" t="s">
        <v>665</v>
      </c>
      <c r="T227" s="4" t="str">
        <f t="shared" si="2"/>
        <v>Valid</v>
      </c>
      <c r="U227" s="4">
        <f t="shared" si="3"/>
        <v>1</v>
      </c>
      <c r="V227" s="4" t="str">
        <f t="shared" si="4"/>
        <v>Unique</v>
      </c>
      <c r="W227" s="4" t="str">
        <f t="shared" si="5"/>
        <v>red</v>
      </c>
      <c r="X227" s="4" t="str">
        <f t="shared" ref="X227:Z227" si="231">IF(Q227="","Unknown",Q227)</f>
        <v>?alabja, Iraq</v>
      </c>
      <c r="Y227" s="4" t="str">
        <f t="shared" si="231"/>
        <v>Asia</v>
      </c>
      <c r="Z227" s="4" t="str">
        <f t="shared" si="231"/>
        <v>Iran</v>
      </c>
      <c r="AA227" s="4" t="str">
        <f t="shared" si="7"/>
        <v>mww</v>
      </c>
    </row>
    <row r="228">
      <c r="A228" s="3" t="s">
        <v>666</v>
      </c>
      <c r="B228" s="3">
        <v>6.5</v>
      </c>
      <c r="C228" s="19">
        <f>Raw_Data!T228</f>
        <v>43046.89306</v>
      </c>
      <c r="D228" s="3">
        <v>6.0</v>
      </c>
      <c r="E228" s="3">
        <v>5.0</v>
      </c>
      <c r="F228" s="3" t="s">
        <v>109</v>
      </c>
      <c r="G228" s="3">
        <v>1.0</v>
      </c>
      <c r="H228" s="3">
        <v>661.0</v>
      </c>
      <c r="I228" s="3" t="s">
        <v>110</v>
      </c>
      <c r="J228" s="3">
        <v>0.0</v>
      </c>
      <c r="K228" s="3">
        <v>4.449</v>
      </c>
      <c r="L228" s="3">
        <v>10.0</v>
      </c>
      <c r="M228" s="4" t="str">
        <f>Raw_Data!X228</f>
        <v>mww</v>
      </c>
      <c r="N228" s="3">
        <v>110.57</v>
      </c>
      <c r="O228" s="3">
        <v>-4.2433</v>
      </c>
      <c r="P228" s="3">
        <v>143.485</v>
      </c>
      <c r="Q228" s="3" t="s">
        <v>667</v>
      </c>
      <c r="R228" s="4"/>
      <c r="S228" s="3" t="s">
        <v>168</v>
      </c>
      <c r="T228" s="4" t="str">
        <f t="shared" si="2"/>
        <v>Valid</v>
      </c>
      <c r="U228" s="4">
        <f t="shared" si="3"/>
        <v>1</v>
      </c>
      <c r="V228" s="4" t="str">
        <f t="shared" si="4"/>
        <v>Unique</v>
      </c>
      <c r="W228" s="4" t="str">
        <f t="shared" si="5"/>
        <v>green</v>
      </c>
      <c r="X228" s="4" t="str">
        <f t="shared" ref="X228:Z228" si="232">IF(Q228="","Unknown",Q228)</f>
        <v>Angoram, Papua New Guinea</v>
      </c>
      <c r="Y228" s="4" t="str">
        <f t="shared" si="232"/>
        <v>Unknown</v>
      </c>
      <c r="Z228" s="4" t="str">
        <f t="shared" si="232"/>
        <v>Papua New Guinea</v>
      </c>
      <c r="AA228" s="4" t="str">
        <f t="shared" si="7"/>
        <v>mww</v>
      </c>
    </row>
    <row r="229">
      <c r="A229" s="3" t="s">
        <v>668</v>
      </c>
      <c r="B229" s="3">
        <v>6.8</v>
      </c>
      <c r="C229" s="19">
        <f>Raw_Data!T229</f>
        <v>43043.375</v>
      </c>
      <c r="D229" s="3">
        <v>5.0</v>
      </c>
      <c r="E229" s="3">
        <v>5.0</v>
      </c>
      <c r="F229" s="3" t="s">
        <v>109</v>
      </c>
      <c r="G229" s="3">
        <v>1.0</v>
      </c>
      <c r="H229" s="3">
        <v>727.0</v>
      </c>
      <c r="I229" s="3" t="s">
        <v>110</v>
      </c>
      <c r="J229" s="3">
        <v>0.0</v>
      </c>
      <c r="K229" s="3">
        <v>4.852</v>
      </c>
      <c r="L229" s="3">
        <v>21.0</v>
      </c>
      <c r="M229" s="4" t="str">
        <f>Raw_Data!X229</f>
        <v>mww</v>
      </c>
      <c r="N229" s="3">
        <v>10.0</v>
      </c>
      <c r="O229" s="3">
        <v>-15.3197</v>
      </c>
      <c r="P229" s="3">
        <v>-173.168</v>
      </c>
      <c r="Q229" s="3" t="s">
        <v>147</v>
      </c>
      <c r="R229" s="4"/>
      <c r="S229" s="4"/>
      <c r="T229" s="4" t="str">
        <f t="shared" si="2"/>
        <v>Valid</v>
      </c>
      <c r="U229" s="4">
        <f t="shared" si="3"/>
        <v>1</v>
      </c>
      <c r="V229" s="4" t="str">
        <f t="shared" si="4"/>
        <v>Unique</v>
      </c>
      <c r="W229" s="4" t="str">
        <f t="shared" si="5"/>
        <v>green</v>
      </c>
      <c r="X229" s="4" t="str">
        <f t="shared" ref="X229:Z229" si="233">IF(Q229="","Unknown",Q229)</f>
        <v>Hihifo, Tonga</v>
      </c>
      <c r="Y229" s="4" t="str">
        <f t="shared" si="233"/>
        <v>Unknown</v>
      </c>
      <c r="Z229" s="4" t="str">
        <f t="shared" si="233"/>
        <v>Unknown</v>
      </c>
      <c r="AA229" s="4" t="str">
        <f t="shared" si="7"/>
        <v>mww</v>
      </c>
    </row>
    <row r="230">
      <c r="A230" s="3" t="s">
        <v>669</v>
      </c>
      <c r="B230" s="3">
        <v>6.6</v>
      </c>
      <c r="C230" s="19">
        <f>Raw_Data!T230</f>
        <v>43040.09931</v>
      </c>
      <c r="D230" s="3">
        <v>3.0</v>
      </c>
      <c r="E230" s="3">
        <v>5.0</v>
      </c>
      <c r="F230" s="3" t="s">
        <v>109</v>
      </c>
      <c r="G230" s="3">
        <v>1.0</v>
      </c>
      <c r="H230" s="3">
        <v>674.0</v>
      </c>
      <c r="I230" s="3" t="s">
        <v>110</v>
      </c>
      <c r="J230" s="3">
        <v>0.0</v>
      </c>
      <c r="K230" s="3">
        <v>0.788</v>
      </c>
      <c r="L230" s="3">
        <v>29.0</v>
      </c>
      <c r="M230" s="4" t="str">
        <f>Raw_Data!X230</f>
        <v>mww</v>
      </c>
      <c r="N230" s="3">
        <v>22.0</v>
      </c>
      <c r="O230" s="3">
        <v>-21.6484</v>
      </c>
      <c r="P230" s="3">
        <v>168.859</v>
      </c>
      <c r="Q230" s="3" t="s">
        <v>276</v>
      </c>
      <c r="R230" s="4"/>
      <c r="S230" s="4"/>
      <c r="T230" s="4" t="str">
        <f t="shared" si="2"/>
        <v>Valid</v>
      </c>
      <c r="U230" s="4">
        <f t="shared" si="3"/>
        <v>1</v>
      </c>
      <c r="V230" s="4" t="str">
        <f t="shared" si="4"/>
        <v>Unique</v>
      </c>
      <c r="W230" s="4" t="str">
        <f t="shared" si="5"/>
        <v>green</v>
      </c>
      <c r="X230" s="4" t="str">
        <f t="shared" ref="X230:Z230" si="234">IF(Q230="","Unknown",Q230)</f>
        <v>Tadine, New Caledonia</v>
      </c>
      <c r="Y230" s="4" t="str">
        <f t="shared" si="234"/>
        <v>Unknown</v>
      </c>
      <c r="Z230" s="4" t="str">
        <f t="shared" si="234"/>
        <v>Unknown</v>
      </c>
      <c r="AA230" s="4" t="str">
        <f t="shared" si="7"/>
        <v>mww</v>
      </c>
    </row>
    <row r="231">
      <c r="A231" s="3" t="s">
        <v>670</v>
      </c>
      <c r="B231" s="3">
        <v>6.7</v>
      </c>
      <c r="C231" s="19">
        <f>Raw_Data!T231</f>
        <v>43039.02917</v>
      </c>
      <c r="D231" s="3">
        <v>3.0</v>
      </c>
      <c r="E231" s="3">
        <v>4.0</v>
      </c>
      <c r="F231" s="3" t="s">
        <v>109</v>
      </c>
      <c r="G231" s="3">
        <v>1.0</v>
      </c>
      <c r="H231" s="3">
        <v>691.0</v>
      </c>
      <c r="I231" s="3" t="s">
        <v>110</v>
      </c>
      <c r="J231" s="3">
        <v>0.0</v>
      </c>
      <c r="K231" s="3">
        <v>1.062</v>
      </c>
      <c r="L231" s="3">
        <v>55.0</v>
      </c>
      <c r="M231" s="4" t="str">
        <f>Raw_Data!X231</f>
        <v>mww</v>
      </c>
      <c r="N231" s="3">
        <v>24.0</v>
      </c>
      <c r="O231" s="3">
        <v>-21.6971</v>
      </c>
      <c r="P231" s="3">
        <v>169.148</v>
      </c>
      <c r="Q231" s="3" t="s">
        <v>276</v>
      </c>
      <c r="R231" s="4"/>
      <c r="S231" s="4"/>
      <c r="T231" s="4" t="str">
        <f t="shared" si="2"/>
        <v>Valid</v>
      </c>
      <c r="U231" s="4">
        <f t="shared" si="3"/>
        <v>1</v>
      </c>
      <c r="V231" s="4" t="str">
        <f t="shared" si="4"/>
        <v>Unique</v>
      </c>
      <c r="W231" s="4" t="str">
        <f t="shared" si="5"/>
        <v>green</v>
      </c>
      <c r="X231" s="4" t="str">
        <f t="shared" ref="X231:Z231" si="235">IF(Q231="","Unknown",Q231)</f>
        <v>Tadine, New Caledonia</v>
      </c>
      <c r="Y231" s="4" t="str">
        <f t="shared" si="235"/>
        <v>Unknown</v>
      </c>
      <c r="Z231" s="4" t="str">
        <f t="shared" si="235"/>
        <v>Unknown</v>
      </c>
      <c r="AA231" s="4" t="str">
        <f t="shared" si="7"/>
        <v>mww</v>
      </c>
    </row>
    <row r="232">
      <c r="A232" s="3" t="s">
        <v>672</v>
      </c>
      <c r="B232" s="3">
        <v>6.7</v>
      </c>
      <c r="C232" s="19">
        <f>Raw_Data!T232</f>
        <v>43032.44931</v>
      </c>
      <c r="D232" s="3">
        <v>3.0</v>
      </c>
      <c r="E232" s="3">
        <v>3.0</v>
      </c>
      <c r="F232" s="3" t="s">
        <v>109</v>
      </c>
      <c r="G232" s="3">
        <v>0.0</v>
      </c>
      <c r="H232" s="3">
        <v>694.0</v>
      </c>
      <c r="I232" s="3" t="s">
        <v>110</v>
      </c>
      <c r="J232" s="3">
        <v>0.0</v>
      </c>
      <c r="K232" s="3">
        <v>1.634</v>
      </c>
      <c r="L232" s="3">
        <v>16.0</v>
      </c>
      <c r="M232" s="4" t="str">
        <f>Raw_Data!X232</f>
        <v>mww</v>
      </c>
      <c r="N232" s="3">
        <v>553.81</v>
      </c>
      <c r="O232" s="3">
        <v>-7.2168</v>
      </c>
      <c r="P232" s="3">
        <v>123.074</v>
      </c>
      <c r="Q232" s="3" t="s">
        <v>674</v>
      </c>
      <c r="R232" s="4"/>
      <c r="S232" s="3" t="s">
        <v>153</v>
      </c>
      <c r="T232" s="4" t="str">
        <f t="shared" si="2"/>
        <v>Valid</v>
      </c>
      <c r="U232" s="4">
        <f t="shared" si="3"/>
        <v>1</v>
      </c>
      <c r="V232" s="4" t="str">
        <f t="shared" si="4"/>
        <v>Unique</v>
      </c>
      <c r="W232" s="4" t="str">
        <f t="shared" si="5"/>
        <v>green</v>
      </c>
      <c r="X232" s="4" t="str">
        <f t="shared" ref="X232:Z232" si="236">IF(Q232="","Unknown",Q232)</f>
        <v>Maumere, Indonesia</v>
      </c>
      <c r="Y232" s="4" t="str">
        <f t="shared" si="236"/>
        <v>Unknown</v>
      </c>
      <c r="Z232" s="4" t="str">
        <f t="shared" si="236"/>
        <v>Indonesia</v>
      </c>
      <c r="AA232" s="4" t="str">
        <f t="shared" si="7"/>
        <v>mww</v>
      </c>
    </row>
    <row r="233">
      <c r="A233" s="3" t="s">
        <v>675</v>
      </c>
      <c r="B233" s="3">
        <v>6.5</v>
      </c>
      <c r="C233" s="19">
        <f>Raw_Data!T233</f>
        <v>43016.94028</v>
      </c>
      <c r="D233" s="3">
        <v>3.0</v>
      </c>
      <c r="E233" s="3">
        <v>5.0</v>
      </c>
      <c r="F233" s="3" t="s">
        <v>109</v>
      </c>
      <c r="G233" s="3">
        <v>1.0</v>
      </c>
      <c r="H233" s="3">
        <v>651.0</v>
      </c>
      <c r="I233" s="3" t="s">
        <v>110</v>
      </c>
      <c r="J233" s="3">
        <v>0.0</v>
      </c>
      <c r="K233" s="3">
        <v>1.154</v>
      </c>
      <c r="L233" s="3">
        <v>11.0</v>
      </c>
      <c r="M233" s="4" t="str">
        <f>Raw_Data!X233</f>
        <v>mww</v>
      </c>
      <c r="N233" s="3">
        <v>119.0</v>
      </c>
      <c r="O233" s="3">
        <v>52.3909</v>
      </c>
      <c r="P233" s="3">
        <v>176.769</v>
      </c>
      <c r="Q233" s="3" t="s">
        <v>676</v>
      </c>
      <c r="R233" s="3" t="s">
        <v>233</v>
      </c>
      <c r="S233" s="4"/>
      <c r="T233" s="4" t="str">
        <f t="shared" si="2"/>
        <v>Valid</v>
      </c>
      <c r="U233" s="4">
        <f t="shared" si="3"/>
        <v>1</v>
      </c>
      <c r="V233" s="4" t="str">
        <f t="shared" si="4"/>
        <v>Unique</v>
      </c>
      <c r="W233" s="4" t="str">
        <f t="shared" si="5"/>
        <v>green</v>
      </c>
      <c r="X233" s="4" t="str">
        <f t="shared" ref="X233:Z233" si="237">IF(Q233="","Unknown",Q233)</f>
        <v>Attu Station, Alaska</v>
      </c>
      <c r="Y233" s="4" t="str">
        <f t="shared" si="237"/>
        <v>North America</v>
      </c>
      <c r="Z233" s="4" t="str">
        <f t="shared" si="237"/>
        <v>Unknown</v>
      </c>
      <c r="AA233" s="4" t="str">
        <f t="shared" si="7"/>
        <v>mww</v>
      </c>
    </row>
    <row r="234">
      <c r="A234" s="3" t="s">
        <v>677</v>
      </c>
      <c r="B234" s="3">
        <v>7.1</v>
      </c>
      <c r="C234" s="19">
        <f>Raw_Data!T234</f>
        <v>42997.75972</v>
      </c>
      <c r="D234" s="3">
        <v>9.0</v>
      </c>
      <c r="E234" s="3">
        <v>8.0</v>
      </c>
      <c r="F234" s="4"/>
      <c r="G234" s="3">
        <v>0.0</v>
      </c>
      <c r="H234" s="3">
        <v>1686.0</v>
      </c>
      <c r="I234" s="3" t="s">
        <v>110</v>
      </c>
      <c r="J234" s="3">
        <v>0.0</v>
      </c>
      <c r="K234" s="3">
        <v>0.984</v>
      </c>
      <c r="L234" s="3">
        <v>23.0</v>
      </c>
      <c r="M234" s="4" t="str">
        <f>Raw_Data!X234</f>
        <v>mww</v>
      </c>
      <c r="N234" s="3">
        <v>48.0</v>
      </c>
      <c r="O234" s="3">
        <v>18.5499</v>
      </c>
      <c r="P234" s="3">
        <v>-98.4887</v>
      </c>
      <c r="Q234" s="3" t="s">
        <v>679</v>
      </c>
      <c r="R234" s="3" t="s">
        <v>233</v>
      </c>
      <c r="S234" s="3" t="s">
        <v>234</v>
      </c>
      <c r="T234" s="4" t="str">
        <f t="shared" si="2"/>
        <v>Valid</v>
      </c>
      <c r="U234" s="4">
        <f t="shared" si="3"/>
        <v>1</v>
      </c>
      <c r="V234" s="4" t="str">
        <f t="shared" si="4"/>
        <v>Unique</v>
      </c>
      <c r="W234" s="4" t="str">
        <f t="shared" si="5"/>
        <v>Unknown</v>
      </c>
      <c r="X234" s="4" t="str">
        <f t="shared" ref="X234:Z234" si="238">IF(Q234="","Unknown",Q234)</f>
        <v>Matzaco, Mexico</v>
      </c>
      <c r="Y234" s="4" t="str">
        <f t="shared" si="238"/>
        <v>North America</v>
      </c>
      <c r="Z234" s="4" t="str">
        <f t="shared" si="238"/>
        <v>Mexico</v>
      </c>
      <c r="AA234" s="4" t="str">
        <f t="shared" si="7"/>
        <v>mww</v>
      </c>
    </row>
    <row r="235">
      <c r="A235" s="3" t="s">
        <v>680</v>
      </c>
      <c r="B235" s="3">
        <v>8.2</v>
      </c>
      <c r="C235" s="19">
        <f>Raw_Data!T235</f>
        <v>42986.20069</v>
      </c>
      <c r="D235" s="3">
        <v>9.0</v>
      </c>
      <c r="E235" s="3">
        <v>7.0</v>
      </c>
      <c r="F235" s="3" t="s">
        <v>198</v>
      </c>
      <c r="G235" s="3">
        <v>1.0</v>
      </c>
      <c r="H235" s="3">
        <v>2910.0</v>
      </c>
      <c r="I235" s="3" t="s">
        <v>110</v>
      </c>
      <c r="J235" s="3">
        <v>0.0</v>
      </c>
      <c r="K235" s="3">
        <v>0.944</v>
      </c>
      <c r="L235" s="3">
        <v>22.0</v>
      </c>
      <c r="M235" s="4" t="str">
        <f>Raw_Data!X235</f>
        <v>mww</v>
      </c>
      <c r="N235" s="3">
        <v>47.39</v>
      </c>
      <c r="O235" s="3">
        <v>15.0222</v>
      </c>
      <c r="P235" s="3">
        <v>-93.8993</v>
      </c>
      <c r="Q235" s="3" t="s">
        <v>681</v>
      </c>
      <c r="R235" s="4"/>
      <c r="S235" s="4"/>
      <c r="T235" s="4" t="str">
        <f t="shared" si="2"/>
        <v>Valid</v>
      </c>
      <c r="U235" s="4">
        <f t="shared" si="3"/>
        <v>1</v>
      </c>
      <c r="V235" s="4" t="str">
        <f t="shared" si="4"/>
        <v>Unique</v>
      </c>
      <c r="W235" s="4" t="str">
        <f t="shared" si="5"/>
        <v>red</v>
      </c>
      <c r="X235" s="4" t="str">
        <f t="shared" ref="X235:Z235" si="239">IF(Q235="","Unknown",Q235)</f>
        <v>Chiapas, Mexico</v>
      </c>
      <c r="Y235" s="4" t="str">
        <f t="shared" si="239"/>
        <v>Unknown</v>
      </c>
      <c r="Z235" s="4" t="str">
        <f t="shared" si="239"/>
        <v>Unknown</v>
      </c>
      <c r="AA235" s="4" t="str">
        <f t="shared" si="7"/>
        <v>mww</v>
      </c>
    </row>
    <row r="236">
      <c r="A236" s="3" t="s">
        <v>682</v>
      </c>
      <c r="B236" s="3">
        <v>6.5</v>
      </c>
      <c r="C236" s="19">
        <f>Raw_Data!T236</f>
        <v>42955.55486</v>
      </c>
      <c r="D236" s="3">
        <v>5.0</v>
      </c>
      <c r="E236" s="3">
        <v>7.0</v>
      </c>
      <c r="F236" s="3" t="s">
        <v>116</v>
      </c>
      <c r="G236" s="3">
        <v>0.0</v>
      </c>
      <c r="H236" s="3">
        <v>707.0</v>
      </c>
      <c r="I236" s="3" t="s">
        <v>110</v>
      </c>
      <c r="J236" s="3">
        <v>0.0</v>
      </c>
      <c r="K236" s="3">
        <v>11.411</v>
      </c>
      <c r="L236" s="3">
        <v>22.0</v>
      </c>
      <c r="M236" s="4" t="str">
        <f>Raw_Data!X236</f>
        <v>mww</v>
      </c>
      <c r="N236" s="3">
        <v>9.0</v>
      </c>
      <c r="O236" s="3">
        <v>33.1926</v>
      </c>
      <c r="P236" s="3">
        <v>103.855</v>
      </c>
      <c r="Q236" s="3" t="s">
        <v>683</v>
      </c>
      <c r="R236" s="3" t="s">
        <v>164</v>
      </c>
      <c r="S236" s="3" t="s">
        <v>251</v>
      </c>
      <c r="T236" s="4" t="str">
        <f t="shared" si="2"/>
        <v>Valid</v>
      </c>
      <c r="U236" s="4">
        <f t="shared" si="3"/>
        <v>1</v>
      </c>
      <c r="V236" s="4" t="str">
        <f t="shared" si="4"/>
        <v>Unique</v>
      </c>
      <c r="W236" s="4" t="str">
        <f t="shared" si="5"/>
        <v>yellow</v>
      </c>
      <c r="X236" s="4" t="str">
        <f t="shared" ref="X236:Z236" si="240">IF(Q236="","Unknown",Q236)</f>
        <v>Mawu, China</v>
      </c>
      <c r="Y236" s="4" t="str">
        <f t="shared" si="240"/>
        <v>Asia</v>
      </c>
      <c r="Z236" s="4" t="str">
        <f t="shared" si="240"/>
        <v>People's Republic of China</v>
      </c>
      <c r="AA236" s="4" t="str">
        <f t="shared" si="7"/>
        <v>mww</v>
      </c>
    </row>
    <row r="237">
      <c r="A237" s="3" t="s">
        <v>684</v>
      </c>
      <c r="B237" s="3">
        <v>6.6</v>
      </c>
      <c r="C237" s="19">
        <f>Raw_Data!T237</f>
        <v>42936.93819</v>
      </c>
      <c r="D237" s="3">
        <v>7.0</v>
      </c>
      <c r="E237" s="3">
        <v>7.0</v>
      </c>
      <c r="F237" s="3" t="s">
        <v>116</v>
      </c>
      <c r="G237" s="3">
        <v>0.0</v>
      </c>
      <c r="H237" s="3">
        <v>1064.0</v>
      </c>
      <c r="I237" s="3" t="s">
        <v>110</v>
      </c>
      <c r="J237" s="3">
        <v>0.0</v>
      </c>
      <c r="K237" s="3">
        <v>0.913</v>
      </c>
      <c r="L237" s="3">
        <v>16.0</v>
      </c>
      <c r="M237" s="4" t="str">
        <f>Raw_Data!X237</f>
        <v>mww</v>
      </c>
      <c r="N237" s="3">
        <v>7.0</v>
      </c>
      <c r="O237" s="3">
        <v>36.9293</v>
      </c>
      <c r="P237" s="3">
        <v>27.4139</v>
      </c>
      <c r="Q237" s="3" t="s">
        <v>686</v>
      </c>
      <c r="R237" s="3" t="s">
        <v>164</v>
      </c>
      <c r="S237" s="3" t="s">
        <v>471</v>
      </c>
      <c r="T237" s="4" t="str">
        <f t="shared" si="2"/>
        <v>Valid</v>
      </c>
      <c r="U237" s="4">
        <f t="shared" si="3"/>
        <v>1</v>
      </c>
      <c r="V237" s="4" t="str">
        <f t="shared" si="4"/>
        <v>Unique</v>
      </c>
      <c r="W237" s="4" t="str">
        <f t="shared" si="5"/>
        <v>yellow</v>
      </c>
      <c r="X237" s="4" t="str">
        <f t="shared" ref="X237:Z237" si="241">IF(Q237="","Unknown",Q237)</f>
        <v>Kos, Greece</v>
      </c>
      <c r="Y237" s="4" t="str">
        <f t="shared" si="241"/>
        <v>Asia</v>
      </c>
      <c r="Z237" s="4" t="str">
        <f t="shared" si="241"/>
        <v>Turkey</v>
      </c>
      <c r="AA237" s="4" t="str">
        <f t="shared" si="7"/>
        <v>mww</v>
      </c>
    </row>
    <row r="238">
      <c r="A238" s="3" t="s">
        <v>687</v>
      </c>
      <c r="B238" s="3">
        <v>7.7</v>
      </c>
      <c r="C238" s="19">
        <f>Raw_Data!T238</f>
        <v>42933.98194</v>
      </c>
      <c r="D238" s="3">
        <v>8.0</v>
      </c>
      <c r="E238" s="3">
        <v>7.0</v>
      </c>
      <c r="F238" s="3" t="s">
        <v>109</v>
      </c>
      <c r="G238" s="3">
        <v>1.0</v>
      </c>
      <c r="H238" s="3">
        <v>918.0</v>
      </c>
      <c r="I238" s="3" t="s">
        <v>110</v>
      </c>
      <c r="J238" s="3">
        <v>0.0</v>
      </c>
      <c r="K238" s="3">
        <v>3.564</v>
      </c>
      <c r="L238" s="3">
        <v>13.0</v>
      </c>
      <c r="M238" s="4" t="str">
        <f>Raw_Data!X238</f>
        <v>mww</v>
      </c>
      <c r="N238" s="3">
        <v>10.0</v>
      </c>
      <c r="O238" s="3">
        <v>54.4434</v>
      </c>
      <c r="P238" s="3">
        <v>168.857</v>
      </c>
      <c r="Q238" s="3" t="s">
        <v>689</v>
      </c>
      <c r="R238" s="4"/>
      <c r="S238" s="4"/>
      <c r="T238" s="4" t="str">
        <f t="shared" si="2"/>
        <v>Valid</v>
      </c>
      <c r="U238" s="4">
        <f t="shared" si="3"/>
        <v>1</v>
      </c>
      <c r="V238" s="4" t="str">
        <f t="shared" si="4"/>
        <v>Unique</v>
      </c>
      <c r="W238" s="4" t="str">
        <f t="shared" si="5"/>
        <v>green</v>
      </c>
      <c r="X238" s="4" t="str">
        <f t="shared" ref="X238:Z238" si="242">IF(Q238="","Unknown",Q238)</f>
        <v>Komandorskiye Ostrova, Russia region</v>
      </c>
      <c r="Y238" s="4" t="str">
        <f t="shared" si="242"/>
        <v>Unknown</v>
      </c>
      <c r="Z238" s="4" t="str">
        <f t="shared" si="242"/>
        <v>Unknown</v>
      </c>
      <c r="AA238" s="4" t="str">
        <f t="shared" si="7"/>
        <v>mww</v>
      </c>
    </row>
    <row r="239">
      <c r="A239" s="3" t="s">
        <v>690</v>
      </c>
      <c r="B239" s="3">
        <v>6.6</v>
      </c>
      <c r="C239" s="19">
        <f>Raw_Data!T239</f>
        <v>42927.29167</v>
      </c>
      <c r="D239" s="3">
        <v>5.0</v>
      </c>
      <c r="E239" s="3">
        <v>4.0</v>
      </c>
      <c r="F239" s="3" t="s">
        <v>109</v>
      </c>
      <c r="G239" s="3">
        <v>1.0</v>
      </c>
      <c r="H239" s="3">
        <v>704.0</v>
      </c>
      <c r="I239" s="3" t="s">
        <v>110</v>
      </c>
      <c r="J239" s="3">
        <v>0.0</v>
      </c>
      <c r="K239" s="3">
        <v>3.773</v>
      </c>
      <c r="L239" s="3">
        <v>37.0</v>
      </c>
      <c r="M239" s="4" t="str">
        <f>Raw_Data!X239</f>
        <v>mww</v>
      </c>
      <c r="N239" s="3">
        <v>10.0</v>
      </c>
      <c r="O239" s="3">
        <v>-49.4837</v>
      </c>
      <c r="P239" s="3">
        <v>164.016</v>
      </c>
      <c r="Q239" s="3" t="s">
        <v>691</v>
      </c>
      <c r="R239" s="4"/>
      <c r="S239" s="4"/>
      <c r="T239" s="4" t="str">
        <f t="shared" si="2"/>
        <v>Valid</v>
      </c>
      <c r="U239" s="4">
        <f t="shared" si="3"/>
        <v>1</v>
      </c>
      <c r="V239" s="4" t="str">
        <f t="shared" si="4"/>
        <v>Unique</v>
      </c>
      <c r="W239" s="4" t="str">
        <f t="shared" si="5"/>
        <v>green</v>
      </c>
      <c r="X239" s="4" t="str">
        <f t="shared" ref="X239:Z239" si="243">IF(Q239="","Unknown",Q239)</f>
        <v>Auckland Islands, New Zealand region</v>
      </c>
      <c r="Y239" s="4" t="str">
        <f t="shared" si="243"/>
        <v>Unknown</v>
      </c>
      <c r="Z239" s="4" t="str">
        <f t="shared" si="243"/>
        <v>Unknown</v>
      </c>
      <c r="AA239" s="4" t="str">
        <f t="shared" si="7"/>
        <v>mww</v>
      </c>
    </row>
    <row r="240">
      <c r="A240" s="3" t="s">
        <v>692</v>
      </c>
      <c r="B240" s="3">
        <v>6.5</v>
      </c>
      <c r="C240" s="19">
        <f>Raw_Data!T240</f>
        <v>42922.33542</v>
      </c>
      <c r="D240" s="3">
        <v>9.0</v>
      </c>
      <c r="E240" s="3">
        <v>8.0</v>
      </c>
      <c r="F240" s="3" t="s">
        <v>116</v>
      </c>
      <c r="G240" s="3">
        <v>1.0</v>
      </c>
      <c r="H240" s="3">
        <v>740.0</v>
      </c>
      <c r="I240" s="3" t="s">
        <v>110</v>
      </c>
      <c r="J240" s="3">
        <v>0.0</v>
      </c>
      <c r="K240" s="3">
        <v>4.139</v>
      </c>
      <c r="L240" s="3">
        <v>30.0</v>
      </c>
      <c r="M240" s="4" t="str">
        <f>Raw_Data!X240</f>
        <v>mww</v>
      </c>
      <c r="N240" s="3">
        <v>9.0</v>
      </c>
      <c r="O240" s="3">
        <v>11.1269</v>
      </c>
      <c r="P240" s="3">
        <v>124.629</v>
      </c>
      <c r="Q240" s="3" t="s">
        <v>693</v>
      </c>
      <c r="R240" s="4"/>
      <c r="S240" s="3" t="s">
        <v>258</v>
      </c>
      <c r="T240" s="4" t="str">
        <f t="shared" si="2"/>
        <v>Valid</v>
      </c>
      <c r="U240" s="4">
        <f t="shared" si="3"/>
        <v>1</v>
      </c>
      <c r="V240" s="4" t="str">
        <f t="shared" si="4"/>
        <v>Unique</v>
      </c>
      <c r="W240" s="4" t="str">
        <f t="shared" si="5"/>
        <v>yellow</v>
      </c>
      <c r="X240" s="4" t="str">
        <f t="shared" ref="X240:Z240" si="244">IF(Q240="","Unknown",Q240)</f>
        <v>Lim-oo, Philippines</v>
      </c>
      <c r="Y240" s="4" t="str">
        <f t="shared" si="244"/>
        <v>Unknown</v>
      </c>
      <c r="Z240" s="4" t="str">
        <f t="shared" si="244"/>
        <v>Philippines</v>
      </c>
      <c r="AA240" s="4" t="str">
        <f t="shared" si="7"/>
        <v>mww</v>
      </c>
    </row>
    <row r="241">
      <c r="A241" s="3" t="s">
        <v>694</v>
      </c>
      <c r="B241" s="3">
        <v>6.8</v>
      </c>
      <c r="C241" s="19">
        <f>Raw_Data!T241</f>
        <v>42908.52153</v>
      </c>
      <c r="D241" s="3">
        <v>6.0</v>
      </c>
      <c r="E241" s="3">
        <v>6.0</v>
      </c>
      <c r="F241" s="3" t="s">
        <v>116</v>
      </c>
      <c r="G241" s="3">
        <v>1.0</v>
      </c>
      <c r="H241" s="3">
        <v>1034.0</v>
      </c>
      <c r="I241" s="3" t="s">
        <v>110</v>
      </c>
      <c r="J241" s="3">
        <v>0.0</v>
      </c>
      <c r="K241" s="3">
        <v>1.065</v>
      </c>
      <c r="L241" s="3">
        <v>38.0</v>
      </c>
      <c r="M241" s="4" t="str">
        <f>Raw_Data!X241</f>
        <v>mww</v>
      </c>
      <c r="N241" s="3">
        <v>38.12</v>
      </c>
      <c r="O241" s="3">
        <v>13.7174</v>
      </c>
      <c r="P241" s="3">
        <v>-90.9718</v>
      </c>
      <c r="Q241" s="3" t="s">
        <v>696</v>
      </c>
      <c r="R241" s="4"/>
      <c r="S241" s="4"/>
      <c r="T241" s="4" t="str">
        <f t="shared" si="2"/>
        <v>Valid</v>
      </c>
      <c r="U241" s="4">
        <f t="shared" si="3"/>
        <v>1</v>
      </c>
      <c r="V241" s="4" t="str">
        <f t="shared" si="4"/>
        <v>Unique</v>
      </c>
      <c r="W241" s="4" t="str">
        <f t="shared" si="5"/>
        <v>yellow</v>
      </c>
      <c r="X241" s="4" t="str">
        <f t="shared" ref="X241:Z241" si="245">IF(Q241="","Unknown",Q241)</f>
        <v>Puerto San José, Guatemala</v>
      </c>
      <c r="Y241" s="4" t="str">
        <f t="shared" si="245"/>
        <v>Unknown</v>
      </c>
      <c r="Z241" s="4" t="str">
        <f t="shared" si="245"/>
        <v>Unknown</v>
      </c>
      <c r="AA241" s="4" t="str">
        <f t="shared" si="7"/>
        <v>mww</v>
      </c>
    </row>
    <row r="242">
      <c r="A242" s="3" t="s">
        <v>697</v>
      </c>
      <c r="B242" s="3">
        <v>6.9</v>
      </c>
      <c r="C242" s="19">
        <f>Raw_Data!T242</f>
        <v>42900.31181</v>
      </c>
      <c r="D242" s="3">
        <v>8.0</v>
      </c>
      <c r="E242" s="3">
        <v>6.0</v>
      </c>
      <c r="F242" s="3" t="s">
        <v>116</v>
      </c>
      <c r="G242" s="3">
        <v>1.0</v>
      </c>
      <c r="H242" s="3">
        <v>1188.0</v>
      </c>
      <c r="I242" s="3" t="s">
        <v>110</v>
      </c>
      <c r="J242" s="3">
        <v>0.0</v>
      </c>
      <c r="K242" s="3">
        <v>0.247</v>
      </c>
      <c r="L242" s="3">
        <v>35.0</v>
      </c>
      <c r="M242" s="4" t="str">
        <f>Raw_Data!X242</f>
        <v>mww</v>
      </c>
      <c r="N242" s="3">
        <v>93.0</v>
      </c>
      <c r="O242" s="3">
        <v>14.9091</v>
      </c>
      <c r="P242" s="3">
        <v>-92.0092</v>
      </c>
      <c r="Q242" s="3" t="s">
        <v>699</v>
      </c>
      <c r="R242" s="4"/>
      <c r="S242" s="3" t="s">
        <v>700</v>
      </c>
      <c r="T242" s="4" t="str">
        <f t="shared" si="2"/>
        <v>Valid</v>
      </c>
      <c r="U242" s="4">
        <f t="shared" si="3"/>
        <v>1</v>
      </c>
      <c r="V242" s="4" t="str">
        <f t="shared" si="4"/>
        <v>Unique</v>
      </c>
      <c r="W242" s="4" t="str">
        <f t="shared" si="5"/>
        <v>yellow</v>
      </c>
      <c r="X242" s="4" t="str">
        <f t="shared" ref="X242:Z242" si="246">IF(Q242="","Unknown",Q242)</f>
        <v>San Pablo, Guatemala</v>
      </c>
      <c r="Y242" s="4" t="str">
        <f t="shared" si="246"/>
        <v>Unknown</v>
      </c>
      <c r="Z242" s="4" t="str">
        <f t="shared" si="246"/>
        <v>Guatemala</v>
      </c>
      <c r="AA242" s="4" t="str">
        <f t="shared" si="7"/>
        <v>mww</v>
      </c>
    </row>
    <row r="243">
      <c r="A243" s="3" t="s">
        <v>701</v>
      </c>
      <c r="B243" s="3">
        <v>6.8</v>
      </c>
      <c r="C243" s="19">
        <f>Raw_Data!T243</f>
        <v>42888.93333</v>
      </c>
      <c r="D243" s="3">
        <v>0.0</v>
      </c>
      <c r="E243" s="3">
        <v>4.0</v>
      </c>
      <c r="F243" s="3" t="s">
        <v>109</v>
      </c>
      <c r="G243" s="3">
        <v>1.0</v>
      </c>
      <c r="H243" s="3">
        <v>711.0</v>
      </c>
      <c r="I243" s="3" t="s">
        <v>110</v>
      </c>
      <c r="J243" s="3">
        <v>0.0</v>
      </c>
      <c r="K243" s="3">
        <v>2.308</v>
      </c>
      <c r="L243" s="3">
        <v>12.0</v>
      </c>
      <c r="M243" s="4" t="str">
        <f>Raw_Data!X243</f>
        <v>mww</v>
      </c>
      <c r="N243" s="3">
        <v>5.0</v>
      </c>
      <c r="O243" s="3">
        <v>54.0312</v>
      </c>
      <c r="P243" s="3">
        <v>170.92</v>
      </c>
      <c r="Q243" s="3" t="s">
        <v>676</v>
      </c>
      <c r="R243" s="4"/>
      <c r="S243" s="4"/>
      <c r="T243" s="4" t="str">
        <f t="shared" si="2"/>
        <v>Valid</v>
      </c>
      <c r="U243" s="4">
        <f t="shared" si="3"/>
        <v>1</v>
      </c>
      <c r="V243" s="4" t="str">
        <f t="shared" si="4"/>
        <v>Unique</v>
      </c>
      <c r="W243" s="4" t="str">
        <f t="shared" si="5"/>
        <v>green</v>
      </c>
      <c r="X243" s="4" t="str">
        <f t="shared" ref="X243:Z243" si="247">IF(Q243="","Unknown",Q243)</f>
        <v>Attu Station, Alaska</v>
      </c>
      <c r="Y243" s="4" t="str">
        <f t="shared" si="247"/>
        <v>Unknown</v>
      </c>
      <c r="Z243" s="4" t="str">
        <f t="shared" si="247"/>
        <v>Unknown</v>
      </c>
      <c r="AA243" s="4" t="str">
        <f t="shared" si="7"/>
        <v>mww</v>
      </c>
    </row>
    <row r="244">
      <c r="A244" s="3" t="s">
        <v>702</v>
      </c>
      <c r="B244" s="3">
        <v>6.6</v>
      </c>
      <c r="C244" s="19">
        <f>Raw_Data!T244</f>
        <v>42884.60764</v>
      </c>
      <c r="D244" s="3">
        <v>7.0</v>
      </c>
      <c r="E244" s="3">
        <v>7.0</v>
      </c>
      <c r="F244" s="3" t="s">
        <v>109</v>
      </c>
      <c r="G244" s="3">
        <v>0.0</v>
      </c>
      <c r="H244" s="3">
        <v>678.0</v>
      </c>
      <c r="I244" s="3" t="s">
        <v>110</v>
      </c>
      <c r="J244" s="3">
        <v>0.0</v>
      </c>
      <c r="K244" s="3">
        <v>2.353</v>
      </c>
      <c r="L244" s="3">
        <v>18.0</v>
      </c>
      <c r="M244" s="4" t="str">
        <f>Raw_Data!X244</f>
        <v>mww</v>
      </c>
      <c r="N244" s="3">
        <v>12.0</v>
      </c>
      <c r="O244" s="3">
        <v>-1.2923</v>
      </c>
      <c r="P244" s="3">
        <v>120.431</v>
      </c>
      <c r="Q244" s="3" t="s">
        <v>704</v>
      </c>
      <c r="R244" s="4"/>
      <c r="S244" s="3" t="s">
        <v>153</v>
      </c>
      <c r="T244" s="4" t="str">
        <f t="shared" si="2"/>
        <v>Valid</v>
      </c>
      <c r="U244" s="4">
        <f t="shared" si="3"/>
        <v>1</v>
      </c>
      <c r="V244" s="4" t="str">
        <f t="shared" si="4"/>
        <v>Unique</v>
      </c>
      <c r="W244" s="4" t="str">
        <f t="shared" si="5"/>
        <v>green</v>
      </c>
      <c r="X244" s="4" t="str">
        <f t="shared" ref="X244:Z244" si="248">IF(Q244="","Unknown",Q244)</f>
        <v>Poso, Indonesia</v>
      </c>
      <c r="Y244" s="4" t="str">
        <f t="shared" si="248"/>
        <v>Unknown</v>
      </c>
      <c r="Z244" s="4" t="str">
        <f t="shared" si="248"/>
        <v>Indonesia</v>
      </c>
      <c r="AA244" s="4" t="str">
        <f t="shared" si="7"/>
        <v>mww</v>
      </c>
    </row>
    <row r="245">
      <c r="A245" s="3" t="s">
        <v>705</v>
      </c>
      <c r="B245" s="3">
        <v>6.5</v>
      </c>
      <c r="C245" s="19">
        <f>Raw_Data!T245</f>
        <v>42865.97431</v>
      </c>
      <c r="D245" s="3">
        <v>0.0</v>
      </c>
      <c r="E245" s="3">
        <v>4.0</v>
      </c>
      <c r="F245" s="3" t="s">
        <v>109</v>
      </c>
      <c r="G245" s="3">
        <v>1.0</v>
      </c>
      <c r="H245" s="3">
        <v>650.0</v>
      </c>
      <c r="I245" s="3" t="s">
        <v>110</v>
      </c>
      <c r="J245" s="3">
        <v>0.0</v>
      </c>
      <c r="K245" s="3">
        <v>6.489</v>
      </c>
      <c r="L245" s="3">
        <v>17.0</v>
      </c>
      <c r="M245" s="4" t="str">
        <f>Raw_Data!X245</f>
        <v>mww</v>
      </c>
      <c r="N245" s="3">
        <v>15.0</v>
      </c>
      <c r="O245" s="3">
        <v>-56.414</v>
      </c>
      <c r="P245" s="3">
        <v>-25.7432</v>
      </c>
      <c r="Q245" s="3" t="s">
        <v>329</v>
      </c>
      <c r="R245" s="4"/>
      <c r="S245" s="4"/>
      <c r="T245" s="4" t="str">
        <f t="shared" si="2"/>
        <v>Valid</v>
      </c>
      <c r="U245" s="4">
        <f t="shared" si="3"/>
        <v>1</v>
      </c>
      <c r="V245" s="4" t="str">
        <f t="shared" si="4"/>
        <v>Unique</v>
      </c>
      <c r="W245" s="4" t="str">
        <f t="shared" si="5"/>
        <v>green</v>
      </c>
      <c r="X245" s="4" t="str">
        <f t="shared" ref="X245:Z245" si="249">IF(Q245="","Unknown",Q245)</f>
        <v>South Sandwich Islands region</v>
      </c>
      <c r="Y245" s="4" t="str">
        <f t="shared" si="249"/>
        <v>Unknown</v>
      </c>
      <c r="Z245" s="4" t="str">
        <f t="shared" si="249"/>
        <v>Unknown</v>
      </c>
      <c r="AA245" s="4" t="str">
        <f t="shared" si="7"/>
        <v>mww</v>
      </c>
    </row>
    <row r="246">
      <c r="A246" s="3" t="s">
        <v>706</v>
      </c>
      <c r="B246" s="3">
        <v>6.8</v>
      </c>
      <c r="C246" s="19">
        <f>Raw_Data!T246</f>
        <v>42864.57778</v>
      </c>
      <c r="D246" s="3">
        <v>6.0</v>
      </c>
      <c r="E246" s="3">
        <v>5.0</v>
      </c>
      <c r="F246" s="3" t="s">
        <v>109</v>
      </c>
      <c r="G246" s="3">
        <v>1.0</v>
      </c>
      <c r="H246" s="3">
        <v>713.0</v>
      </c>
      <c r="I246" s="3" t="s">
        <v>110</v>
      </c>
      <c r="J246" s="3">
        <v>0.0</v>
      </c>
      <c r="K246" s="3">
        <v>7.495</v>
      </c>
      <c r="L246" s="3">
        <v>19.0</v>
      </c>
      <c r="M246" s="4" t="str">
        <f>Raw_Data!X246</f>
        <v>mww</v>
      </c>
      <c r="N246" s="3">
        <v>169.0</v>
      </c>
      <c r="O246" s="3">
        <v>-14.5884</v>
      </c>
      <c r="P246" s="3">
        <v>167.377</v>
      </c>
      <c r="Q246" s="3" t="s">
        <v>185</v>
      </c>
      <c r="R246" s="4"/>
      <c r="S246" s="3" t="s">
        <v>113</v>
      </c>
      <c r="T246" s="4" t="str">
        <f t="shared" si="2"/>
        <v>Valid</v>
      </c>
      <c r="U246" s="4">
        <f t="shared" si="3"/>
        <v>1</v>
      </c>
      <c r="V246" s="4" t="str">
        <f t="shared" si="4"/>
        <v>Unique</v>
      </c>
      <c r="W246" s="4" t="str">
        <f t="shared" si="5"/>
        <v>green</v>
      </c>
      <c r="X246" s="4" t="str">
        <f t="shared" ref="X246:Z246" si="250">IF(Q246="","Unknown",Q246)</f>
        <v>Port-Olry, Vanuatu</v>
      </c>
      <c r="Y246" s="4" t="str">
        <f t="shared" si="250"/>
        <v>Unknown</v>
      </c>
      <c r="Z246" s="4" t="str">
        <f t="shared" si="250"/>
        <v>Vanuatu</v>
      </c>
      <c r="AA246" s="4" t="str">
        <f t="shared" si="7"/>
        <v>mww</v>
      </c>
    </row>
    <row r="247">
      <c r="A247" s="3" t="s">
        <v>707</v>
      </c>
      <c r="B247" s="3">
        <v>6.9</v>
      </c>
      <c r="C247" s="19">
        <f>Raw_Data!T247</f>
        <v>42853.84931</v>
      </c>
      <c r="D247" s="3">
        <v>9.0</v>
      </c>
      <c r="E247" s="3">
        <v>6.0</v>
      </c>
      <c r="F247" s="3" t="s">
        <v>109</v>
      </c>
      <c r="G247" s="3">
        <v>1.0</v>
      </c>
      <c r="H247" s="3">
        <v>814.0</v>
      </c>
      <c r="I247" s="3" t="s">
        <v>110</v>
      </c>
      <c r="J247" s="3">
        <v>0.0</v>
      </c>
      <c r="K247" s="3">
        <v>1.636</v>
      </c>
      <c r="L247" s="3">
        <v>14.0</v>
      </c>
      <c r="M247" s="4" t="str">
        <f>Raw_Data!X247</f>
        <v>mww</v>
      </c>
      <c r="N247" s="3">
        <v>26.0</v>
      </c>
      <c r="O247" s="3">
        <v>5.5043</v>
      </c>
      <c r="P247" s="3">
        <v>125.066</v>
      </c>
      <c r="Q247" s="3" t="s">
        <v>709</v>
      </c>
      <c r="R247" s="4"/>
      <c r="S247" s="3" t="s">
        <v>258</v>
      </c>
      <c r="T247" s="4" t="str">
        <f t="shared" si="2"/>
        <v>Valid</v>
      </c>
      <c r="U247" s="4">
        <f t="shared" si="3"/>
        <v>1</v>
      </c>
      <c r="V247" s="4" t="str">
        <f t="shared" si="4"/>
        <v>Unique</v>
      </c>
      <c r="W247" s="4" t="str">
        <f t="shared" si="5"/>
        <v>green</v>
      </c>
      <c r="X247" s="4" t="str">
        <f t="shared" ref="X247:Z247" si="251">IF(Q247="","Unknown",Q247)</f>
        <v>Burias, Philippines</v>
      </c>
      <c r="Y247" s="4" t="str">
        <f t="shared" si="251"/>
        <v>Unknown</v>
      </c>
      <c r="Z247" s="4" t="str">
        <f t="shared" si="251"/>
        <v>Philippines</v>
      </c>
      <c r="AA247" s="4" t="str">
        <f t="shared" si="7"/>
        <v>mww</v>
      </c>
    </row>
    <row r="248">
      <c r="A248" s="3" t="s">
        <v>710</v>
      </c>
      <c r="B248" s="3">
        <v>6.9</v>
      </c>
      <c r="C248" s="19">
        <f>Raw_Data!T248</f>
        <v>42849.90139</v>
      </c>
      <c r="D248" s="3">
        <v>9.0</v>
      </c>
      <c r="E248" s="3">
        <v>7.0</v>
      </c>
      <c r="F248" s="3" t="s">
        <v>116</v>
      </c>
      <c r="G248" s="3">
        <v>1.0</v>
      </c>
      <c r="H248" s="3">
        <v>1642.0</v>
      </c>
      <c r="I248" s="3" t="s">
        <v>110</v>
      </c>
      <c r="J248" s="3">
        <v>0.0</v>
      </c>
      <c r="K248" s="3">
        <v>0.356</v>
      </c>
      <c r="L248" s="3">
        <v>39.0</v>
      </c>
      <c r="M248" s="4" t="str">
        <f>Raw_Data!X248</f>
        <v>mww</v>
      </c>
      <c r="N248" s="3">
        <v>28.0</v>
      </c>
      <c r="O248" s="3">
        <v>-33.0375</v>
      </c>
      <c r="P248" s="3">
        <v>-72.0617</v>
      </c>
      <c r="Q248" s="3" t="s">
        <v>712</v>
      </c>
      <c r="R248" s="4"/>
      <c r="S248" s="4"/>
      <c r="T248" s="4" t="str">
        <f t="shared" si="2"/>
        <v>Valid</v>
      </c>
      <c r="U248" s="4">
        <f t="shared" si="3"/>
        <v>1</v>
      </c>
      <c r="V248" s="4" t="str">
        <f t="shared" si="4"/>
        <v>Unique</v>
      </c>
      <c r="W248" s="4" t="str">
        <f t="shared" si="5"/>
        <v>yellow</v>
      </c>
      <c r="X248" s="4" t="str">
        <f t="shared" ref="X248:Z248" si="252">IF(Q248="","Unknown",Q248)</f>
        <v>Valparaíso, Chile</v>
      </c>
      <c r="Y248" s="4" t="str">
        <f t="shared" si="252"/>
        <v>Unknown</v>
      </c>
      <c r="Z248" s="4" t="str">
        <f t="shared" si="252"/>
        <v>Unknown</v>
      </c>
      <c r="AA248" s="4" t="str">
        <f t="shared" si="7"/>
        <v>mww</v>
      </c>
    </row>
    <row r="249">
      <c r="A249" s="3" t="s">
        <v>713</v>
      </c>
      <c r="B249" s="3">
        <v>6.5</v>
      </c>
      <c r="C249" s="19">
        <f>Raw_Data!T249</f>
        <v>42828.73611</v>
      </c>
      <c r="D249" s="3">
        <v>7.0</v>
      </c>
      <c r="E249" s="3">
        <v>8.0</v>
      </c>
      <c r="F249" s="3" t="s">
        <v>109</v>
      </c>
      <c r="G249" s="3">
        <v>0.0</v>
      </c>
      <c r="H249" s="3">
        <v>1297.0</v>
      </c>
      <c r="I249" s="3" t="s">
        <v>110</v>
      </c>
      <c r="J249" s="3">
        <v>0.0</v>
      </c>
      <c r="K249" s="3">
        <v>2.36</v>
      </c>
      <c r="L249" s="3">
        <v>15.0</v>
      </c>
      <c r="M249" s="4" t="str">
        <f>Raw_Data!X249</f>
        <v>mww</v>
      </c>
      <c r="N249" s="3">
        <v>29.0</v>
      </c>
      <c r="O249" s="3">
        <v>-22.6784</v>
      </c>
      <c r="P249" s="3">
        <v>25.1558</v>
      </c>
      <c r="Q249" s="3" t="s">
        <v>714</v>
      </c>
      <c r="R249" s="3" t="s">
        <v>715</v>
      </c>
      <c r="S249" s="3" t="s">
        <v>716</v>
      </c>
      <c r="T249" s="4" t="str">
        <f t="shared" si="2"/>
        <v>Valid</v>
      </c>
      <c r="U249" s="4">
        <f t="shared" si="3"/>
        <v>1</v>
      </c>
      <c r="V249" s="4" t="str">
        <f t="shared" si="4"/>
        <v>Unique</v>
      </c>
      <c r="W249" s="4" t="str">
        <f t="shared" si="5"/>
        <v>green</v>
      </c>
      <c r="X249" s="4" t="str">
        <f t="shared" ref="X249:Z249" si="253">IF(Q249="","Unknown",Q249)</f>
        <v>Moijabana, Botswana</v>
      </c>
      <c r="Y249" s="4" t="str">
        <f t="shared" si="253"/>
        <v>Africa</v>
      </c>
      <c r="Z249" s="4" t="str">
        <f t="shared" si="253"/>
        <v>Botswana</v>
      </c>
      <c r="AA249" s="4" t="str">
        <f t="shared" si="7"/>
        <v>mww</v>
      </c>
    </row>
    <row r="250">
      <c r="A250" s="3" t="s">
        <v>717</v>
      </c>
      <c r="B250" s="3">
        <v>6.6</v>
      </c>
      <c r="C250" s="19">
        <f>Raw_Data!T250</f>
        <v>42823.17292</v>
      </c>
      <c r="D250" s="3">
        <v>6.0</v>
      </c>
      <c r="E250" s="3">
        <v>7.0</v>
      </c>
      <c r="F250" s="3" t="s">
        <v>116</v>
      </c>
      <c r="G250" s="3">
        <v>1.0</v>
      </c>
      <c r="H250" s="3">
        <v>671.0</v>
      </c>
      <c r="I250" s="3" t="s">
        <v>110</v>
      </c>
      <c r="J250" s="3">
        <v>0.0</v>
      </c>
      <c r="K250" s="3">
        <v>4.591</v>
      </c>
      <c r="L250" s="3">
        <v>14.0</v>
      </c>
      <c r="M250" s="4" t="str">
        <f>Raw_Data!X250</f>
        <v>mww</v>
      </c>
      <c r="N250" s="3">
        <v>17.0</v>
      </c>
      <c r="O250" s="3">
        <v>56.9401</v>
      </c>
      <c r="P250" s="3">
        <v>162.786</v>
      </c>
      <c r="Q250" s="3" t="s">
        <v>383</v>
      </c>
      <c r="R250" s="3" t="s">
        <v>164</v>
      </c>
      <c r="S250" s="3" t="s">
        <v>464</v>
      </c>
      <c r="T250" s="4" t="str">
        <f t="shared" si="2"/>
        <v>Valid</v>
      </c>
      <c r="U250" s="4">
        <f t="shared" si="3"/>
        <v>1</v>
      </c>
      <c r="V250" s="4" t="str">
        <f t="shared" si="4"/>
        <v>Unique</v>
      </c>
      <c r="W250" s="4" t="str">
        <f t="shared" si="5"/>
        <v>yellow</v>
      </c>
      <c r="X250" s="4" t="str">
        <f t="shared" ref="X250:Z250" si="254">IF(Q250="","Unknown",Q250)</f>
        <v>Ust’-Kamchatsk Staryy, Russia</v>
      </c>
      <c r="Y250" s="4" t="str">
        <f t="shared" si="254"/>
        <v>Asia</v>
      </c>
      <c r="Z250" s="4" t="str">
        <f t="shared" si="254"/>
        <v>Russia</v>
      </c>
      <c r="AA250" s="4" t="str">
        <f t="shared" si="7"/>
        <v>mww</v>
      </c>
    </row>
    <row r="251">
      <c r="A251" s="3" t="s">
        <v>719</v>
      </c>
      <c r="B251" s="3">
        <v>6.9</v>
      </c>
      <c r="C251" s="19">
        <f>Raw_Data!T251</f>
        <v>42790.72778</v>
      </c>
      <c r="D251" s="3">
        <v>2.0</v>
      </c>
      <c r="E251" s="3">
        <v>3.0</v>
      </c>
      <c r="F251" s="3" t="s">
        <v>109</v>
      </c>
      <c r="G251" s="3">
        <v>1.0</v>
      </c>
      <c r="H251" s="3">
        <v>733.0</v>
      </c>
      <c r="I251" s="3" t="s">
        <v>110</v>
      </c>
      <c r="J251" s="3">
        <v>0.0</v>
      </c>
      <c r="K251" s="3">
        <v>6.012</v>
      </c>
      <c r="L251" s="3">
        <v>19.0</v>
      </c>
      <c r="M251" s="4" t="str">
        <f>Raw_Data!X251</f>
        <v>mww</v>
      </c>
      <c r="N251" s="3">
        <v>414.5</v>
      </c>
      <c r="O251" s="3">
        <v>-23.2593</v>
      </c>
      <c r="P251" s="3">
        <v>-178.804</v>
      </c>
      <c r="Q251" s="3" t="s">
        <v>136</v>
      </c>
      <c r="R251" s="4"/>
      <c r="S251" s="4"/>
      <c r="T251" s="4" t="str">
        <f t="shared" si="2"/>
        <v>Valid</v>
      </c>
      <c r="U251" s="4">
        <f t="shared" si="3"/>
        <v>1</v>
      </c>
      <c r="V251" s="4" t="str">
        <f t="shared" si="4"/>
        <v>Unique</v>
      </c>
      <c r="W251" s="4" t="str">
        <f t="shared" si="5"/>
        <v>green</v>
      </c>
      <c r="X251" s="4" t="str">
        <f t="shared" ref="X251:Z251" si="255">IF(Q251="","Unknown",Q251)</f>
        <v>the Fiji Islands</v>
      </c>
      <c r="Y251" s="4" t="str">
        <f t="shared" si="255"/>
        <v>Unknown</v>
      </c>
      <c r="Z251" s="4" t="str">
        <f t="shared" si="255"/>
        <v>Unknown</v>
      </c>
      <c r="AA251" s="4" t="str">
        <f t="shared" si="7"/>
        <v>mww</v>
      </c>
    </row>
    <row r="252">
      <c r="A252" s="3" t="s">
        <v>721</v>
      </c>
      <c r="B252" s="3">
        <v>6.5</v>
      </c>
      <c r="C252" s="19">
        <f>Raw_Data!T252</f>
        <v>42787.58958</v>
      </c>
      <c r="D252" s="3">
        <v>3.0</v>
      </c>
      <c r="E252" s="3">
        <v>3.0</v>
      </c>
      <c r="F252" s="3" t="s">
        <v>109</v>
      </c>
      <c r="G252" s="3">
        <v>0.0</v>
      </c>
      <c r="H252" s="3">
        <v>653.0</v>
      </c>
      <c r="I252" s="3" t="s">
        <v>110</v>
      </c>
      <c r="J252" s="3">
        <v>0.0</v>
      </c>
      <c r="K252" s="3">
        <v>4.242</v>
      </c>
      <c r="L252" s="3">
        <v>14.0</v>
      </c>
      <c r="M252" s="4" t="str">
        <f>Raw_Data!X252</f>
        <v>mww</v>
      </c>
      <c r="N252" s="3">
        <v>595.98</v>
      </c>
      <c r="O252" s="3">
        <v>-19.2814</v>
      </c>
      <c r="P252" s="3">
        <v>-63.9047</v>
      </c>
      <c r="Q252" s="3" t="s">
        <v>723</v>
      </c>
      <c r="R252" s="3" t="s">
        <v>121</v>
      </c>
      <c r="S252" s="3" t="s">
        <v>627</v>
      </c>
      <c r="T252" s="4" t="str">
        <f t="shared" si="2"/>
        <v>Valid</v>
      </c>
      <c r="U252" s="4">
        <f t="shared" si="3"/>
        <v>1</v>
      </c>
      <c r="V252" s="4" t="str">
        <f t="shared" si="4"/>
        <v>Unique</v>
      </c>
      <c r="W252" s="4" t="str">
        <f t="shared" si="5"/>
        <v>green</v>
      </c>
      <c r="X252" s="4" t="str">
        <f t="shared" ref="X252:Z252" si="256">IF(Q252="","Unknown",Q252)</f>
        <v>Padilla, Bolivia</v>
      </c>
      <c r="Y252" s="4" t="str">
        <f t="shared" si="256"/>
        <v>South America</v>
      </c>
      <c r="Z252" s="4" t="str">
        <f t="shared" si="256"/>
        <v>Bolivia</v>
      </c>
      <c r="AA252" s="4" t="str">
        <f t="shared" si="7"/>
        <v>mww</v>
      </c>
    </row>
    <row r="253">
      <c r="A253" s="3" t="s">
        <v>724</v>
      </c>
      <c r="B253" s="3">
        <v>6.5</v>
      </c>
      <c r="C253" s="19">
        <f>Raw_Data!T253</f>
        <v>42776.58542</v>
      </c>
      <c r="D253" s="3">
        <v>8.0</v>
      </c>
      <c r="E253" s="3">
        <v>7.0</v>
      </c>
      <c r="F253" s="3" t="s">
        <v>116</v>
      </c>
      <c r="G253" s="3">
        <v>1.0</v>
      </c>
      <c r="H253" s="3">
        <v>718.0</v>
      </c>
      <c r="I253" s="3" t="s">
        <v>110</v>
      </c>
      <c r="J253" s="3">
        <v>0.0</v>
      </c>
      <c r="K253" s="3">
        <v>2.822</v>
      </c>
      <c r="L253" s="3">
        <v>36.0</v>
      </c>
      <c r="M253" s="4" t="str">
        <f>Raw_Data!X253</f>
        <v>mww</v>
      </c>
      <c r="N253" s="3">
        <v>15.0</v>
      </c>
      <c r="O253" s="3">
        <v>9.9071</v>
      </c>
      <c r="P253" s="3">
        <v>125.452</v>
      </c>
      <c r="Q253" s="3" t="s">
        <v>725</v>
      </c>
      <c r="R253" s="4"/>
      <c r="S253" s="3" t="s">
        <v>258</v>
      </c>
      <c r="T253" s="4" t="str">
        <f t="shared" si="2"/>
        <v>Valid</v>
      </c>
      <c r="U253" s="4">
        <f t="shared" si="3"/>
        <v>1</v>
      </c>
      <c r="V253" s="4" t="str">
        <f t="shared" si="4"/>
        <v>Unique</v>
      </c>
      <c r="W253" s="4" t="str">
        <f t="shared" si="5"/>
        <v>yellow</v>
      </c>
      <c r="X253" s="4" t="str">
        <f t="shared" ref="X253:Z253" si="257">IF(Q253="","Unknown",Q253)</f>
        <v>Mabua, Philippines</v>
      </c>
      <c r="Y253" s="4" t="str">
        <f t="shared" si="257"/>
        <v>Unknown</v>
      </c>
      <c r="Z253" s="4" t="str">
        <f t="shared" si="257"/>
        <v>Philippines</v>
      </c>
      <c r="AA253" s="4" t="str">
        <f t="shared" si="7"/>
        <v>mww</v>
      </c>
    </row>
    <row r="254">
      <c r="A254" s="3" t="s">
        <v>726</v>
      </c>
      <c r="B254" s="3">
        <v>7.9</v>
      </c>
      <c r="C254" s="19">
        <f>Raw_Data!T254</f>
        <v>42757.1875</v>
      </c>
      <c r="D254" s="3">
        <v>9.0</v>
      </c>
      <c r="E254" s="3">
        <v>7.0</v>
      </c>
      <c r="F254" s="3" t="s">
        <v>116</v>
      </c>
      <c r="G254" s="3">
        <v>1.0</v>
      </c>
      <c r="H254" s="3">
        <v>987.0</v>
      </c>
      <c r="I254" s="3" t="s">
        <v>110</v>
      </c>
      <c r="J254" s="3">
        <v>0.0</v>
      </c>
      <c r="K254" s="3">
        <v>3.625</v>
      </c>
      <c r="L254" s="3">
        <v>9.0</v>
      </c>
      <c r="M254" s="4" t="str">
        <f>Raw_Data!X254</f>
        <v>mww</v>
      </c>
      <c r="N254" s="3">
        <v>135.0</v>
      </c>
      <c r="O254" s="3">
        <v>-6.2464</v>
      </c>
      <c r="P254" s="3">
        <v>155.172</v>
      </c>
      <c r="Q254" s="3" t="s">
        <v>728</v>
      </c>
      <c r="R254" s="4"/>
      <c r="S254" s="3" t="s">
        <v>168</v>
      </c>
      <c r="T254" s="4" t="str">
        <f t="shared" si="2"/>
        <v>Valid</v>
      </c>
      <c r="U254" s="4">
        <f t="shared" si="3"/>
        <v>1</v>
      </c>
      <c r="V254" s="4" t="str">
        <f t="shared" si="4"/>
        <v>Unique</v>
      </c>
      <c r="W254" s="4" t="str">
        <f t="shared" si="5"/>
        <v>yellow</v>
      </c>
      <c r="X254" s="4" t="str">
        <f t="shared" ref="X254:Z254" si="258">IF(Q254="","Unknown",Q254)</f>
        <v>Panguna, Papua New Guinea</v>
      </c>
      <c r="Y254" s="4" t="str">
        <f t="shared" si="258"/>
        <v>Unknown</v>
      </c>
      <c r="Z254" s="4" t="str">
        <f t="shared" si="258"/>
        <v>Papua New Guinea</v>
      </c>
      <c r="AA254" s="4" t="str">
        <f t="shared" si="7"/>
        <v>mww</v>
      </c>
    </row>
    <row r="255">
      <c r="A255" s="3" t="s">
        <v>729</v>
      </c>
      <c r="B255" s="3">
        <v>6.5</v>
      </c>
      <c r="C255" s="19">
        <f>Raw_Data!T255</f>
        <v>42754.96111</v>
      </c>
      <c r="D255" s="3">
        <v>6.0</v>
      </c>
      <c r="E255" s="3">
        <v>6.0</v>
      </c>
      <c r="F255" s="3" t="s">
        <v>109</v>
      </c>
      <c r="G255" s="3">
        <v>1.0</v>
      </c>
      <c r="H255" s="3">
        <v>654.0</v>
      </c>
      <c r="I255" s="3" t="s">
        <v>110</v>
      </c>
      <c r="J255" s="3">
        <v>0.0</v>
      </c>
      <c r="K255" s="3">
        <v>1.64</v>
      </c>
      <c r="L255" s="3">
        <v>21.0</v>
      </c>
      <c r="M255" s="4" t="str">
        <f>Raw_Data!X255</f>
        <v>mww</v>
      </c>
      <c r="N255" s="3">
        <v>36.0</v>
      </c>
      <c r="O255" s="3">
        <v>-10.3506</v>
      </c>
      <c r="P255" s="3">
        <v>161.335</v>
      </c>
      <c r="Q255" s="3" t="s">
        <v>595</v>
      </c>
      <c r="R255" s="4"/>
      <c r="S255" s="3" t="s">
        <v>214</v>
      </c>
      <c r="T255" s="4" t="str">
        <f t="shared" si="2"/>
        <v>Valid</v>
      </c>
      <c r="U255" s="4">
        <f t="shared" si="3"/>
        <v>1</v>
      </c>
      <c r="V255" s="4" t="str">
        <f t="shared" si="4"/>
        <v>Unique</v>
      </c>
      <c r="W255" s="4" t="str">
        <f t="shared" si="5"/>
        <v>green</v>
      </c>
      <c r="X255" s="4" t="str">
        <f t="shared" ref="X255:Z255" si="259">IF(Q255="","Unknown",Q255)</f>
        <v>Kirakira, Solomon Islands</v>
      </c>
      <c r="Y255" s="4" t="str">
        <f t="shared" si="259"/>
        <v>Unknown</v>
      </c>
      <c r="Z255" s="4" t="str">
        <f t="shared" si="259"/>
        <v>Solomon Islands</v>
      </c>
      <c r="AA255" s="4" t="str">
        <f t="shared" si="7"/>
        <v>mww</v>
      </c>
    </row>
    <row r="256">
      <c r="A256" s="3" t="s">
        <v>731</v>
      </c>
      <c r="B256" s="3">
        <v>7.3</v>
      </c>
      <c r="C256" s="19">
        <f>Raw_Data!T256</f>
        <v>42745.25903</v>
      </c>
      <c r="D256" s="3">
        <v>6.0</v>
      </c>
      <c r="E256" s="3">
        <v>3.0</v>
      </c>
      <c r="F256" s="3" t="s">
        <v>109</v>
      </c>
      <c r="G256" s="3">
        <v>1.0</v>
      </c>
      <c r="H256" s="3">
        <v>849.0</v>
      </c>
      <c r="I256" s="3" t="s">
        <v>110</v>
      </c>
      <c r="J256" s="3">
        <v>0.0</v>
      </c>
      <c r="K256" s="3">
        <v>3.813</v>
      </c>
      <c r="L256" s="3">
        <v>18.0</v>
      </c>
      <c r="M256" s="4" t="str">
        <f>Raw_Data!X256</f>
        <v>mww</v>
      </c>
      <c r="N256" s="3">
        <v>627.17</v>
      </c>
      <c r="O256" s="3">
        <v>4.4782</v>
      </c>
      <c r="P256" s="3">
        <v>122.617</v>
      </c>
      <c r="Q256" s="3" t="s">
        <v>732</v>
      </c>
      <c r="R256" s="4"/>
      <c r="S256" s="4"/>
      <c r="T256" s="4" t="str">
        <f t="shared" si="2"/>
        <v>Valid</v>
      </c>
      <c r="U256" s="4">
        <f t="shared" si="3"/>
        <v>1</v>
      </c>
      <c r="V256" s="4" t="str">
        <f t="shared" si="4"/>
        <v>Unique</v>
      </c>
      <c r="W256" s="4" t="str">
        <f t="shared" si="5"/>
        <v>green</v>
      </c>
      <c r="X256" s="4" t="str">
        <f t="shared" ref="X256:Z256" si="260">IF(Q256="","Unknown",Q256)</f>
        <v>Tabiauan, Philippines</v>
      </c>
      <c r="Y256" s="4" t="str">
        <f t="shared" si="260"/>
        <v>Unknown</v>
      </c>
      <c r="Z256" s="4" t="str">
        <f t="shared" si="260"/>
        <v>Unknown</v>
      </c>
      <c r="AA256" s="4" t="str">
        <f t="shared" si="7"/>
        <v>mww</v>
      </c>
    </row>
    <row r="257">
      <c r="A257" s="3" t="s">
        <v>733</v>
      </c>
      <c r="B257" s="3">
        <v>6.9</v>
      </c>
      <c r="C257" s="19">
        <f>Raw_Data!T257</f>
        <v>42738.91111</v>
      </c>
      <c r="D257" s="3">
        <v>6.0</v>
      </c>
      <c r="E257" s="3">
        <v>4.0</v>
      </c>
      <c r="F257" s="3" t="s">
        <v>109</v>
      </c>
      <c r="G257" s="3">
        <v>1.0</v>
      </c>
      <c r="H257" s="3">
        <v>742.0</v>
      </c>
      <c r="I257" s="3" t="s">
        <v>110</v>
      </c>
      <c r="J257" s="3">
        <v>0.0</v>
      </c>
      <c r="K257" s="3">
        <v>2.495</v>
      </c>
      <c r="L257" s="3">
        <v>13.0</v>
      </c>
      <c r="M257" s="4" t="str">
        <f>Raw_Data!X257</f>
        <v>mww</v>
      </c>
      <c r="N257" s="3">
        <v>12.0</v>
      </c>
      <c r="O257" s="3">
        <v>-19.3733</v>
      </c>
      <c r="P257" s="3">
        <v>176.052</v>
      </c>
      <c r="Q257" s="3" t="s">
        <v>734</v>
      </c>
      <c r="R257" s="4"/>
      <c r="S257" s="4"/>
      <c r="T257" s="4" t="str">
        <f t="shared" si="2"/>
        <v>Valid</v>
      </c>
      <c r="U257" s="4">
        <f t="shared" si="3"/>
        <v>1</v>
      </c>
      <c r="V257" s="4" t="str">
        <f t="shared" si="4"/>
        <v>Unique</v>
      </c>
      <c r="W257" s="4" t="str">
        <f t="shared" si="5"/>
        <v>green</v>
      </c>
      <c r="X257" s="4" t="str">
        <f t="shared" ref="X257:Z257" si="261">IF(Q257="","Unknown",Q257)</f>
        <v>Nadi, Fiji</v>
      </c>
      <c r="Y257" s="4" t="str">
        <f t="shared" si="261"/>
        <v>Unknown</v>
      </c>
      <c r="Z257" s="4" t="str">
        <f t="shared" si="261"/>
        <v>Unknown</v>
      </c>
      <c r="AA257" s="4" t="str">
        <f t="shared" si="7"/>
        <v>mww</v>
      </c>
    </row>
    <row r="258">
      <c r="A258" s="3" t="s">
        <v>735</v>
      </c>
      <c r="B258" s="3">
        <v>7.6</v>
      </c>
      <c r="C258" s="19">
        <f>Raw_Data!T258</f>
        <v>42729.59861</v>
      </c>
      <c r="D258" s="3">
        <v>9.0</v>
      </c>
      <c r="E258" s="3">
        <v>8.0</v>
      </c>
      <c r="F258" s="3" t="s">
        <v>116</v>
      </c>
      <c r="G258" s="3">
        <v>1.0</v>
      </c>
      <c r="H258" s="3">
        <v>1152.0</v>
      </c>
      <c r="I258" s="3" t="s">
        <v>110</v>
      </c>
      <c r="J258" s="3">
        <v>0.0</v>
      </c>
      <c r="K258" s="3">
        <v>0.355</v>
      </c>
      <c r="L258" s="3">
        <v>29.0</v>
      </c>
      <c r="M258" s="4" t="str">
        <f>Raw_Data!X258</f>
        <v>mww</v>
      </c>
      <c r="N258" s="3">
        <v>38.0</v>
      </c>
      <c r="O258" s="3">
        <v>-43.4064</v>
      </c>
      <c r="P258" s="3">
        <v>-73.9413</v>
      </c>
      <c r="Q258" s="3" t="s">
        <v>737</v>
      </c>
      <c r="R258" s="3" t="s">
        <v>121</v>
      </c>
      <c r="S258" s="3" t="s">
        <v>414</v>
      </c>
      <c r="T258" s="4" t="str">
        <f t="shared" si="2"/>
        <v>Valid</v>
      </c>
      <c r="U258" s="4">
        <f t="shared" si="3"/>
        <v>1</v>
      </c>
      <c r="V258" s="4" t="str">
        <f t="shared" si="4"/>
        <v>Unique</v>
      </c>
      <c r="W258" s="4" t="str">
        <f t="shared" si="5"/>
        <v>yellow</v>
      </c>
      <c r="X258" s="4" t="str">
        <f t="shared" ref="X258:Z258" si="262">IF(Q258="","Unknown",Q258)</f>
        <v>Quellón, Chile</v>
      </c>
      <c r="Y258" s="4" t="str">
        <f t="shared" si="262"/>
        <v>South America</v>
      </c>
      <c r="Z258" s="4" t="str">
        <f t="shared" si="262"/>
        <v>Chile</v>
      </c>
      <c r="AA258" s="4" t="str">
        <f t="shared" si="7"/>
        <v>mww</v>
      </c>
    </row>
    <row r="259">
      <c r="A259" s="3" t="s">
        <v>738</v>
      </c>
      <c r="B259" s="3">
        <v>6.7</v>
      </c>
      <c r="C259" s="19">
        <f>Raw_Data!T259</f>
        <v>42725.01181</v>
      </c>
      <c r="D259" s="3">
        <v>5.0</v>
      </c>
      <c r="E259" s="3">
        <v>5.0</v>
      </c>
      <c r="F259" s="3" t="s">
        <v>109</v>
      </c>
      <c r="G259" s="3">
        <v>0.0</v>
      </c>
      <c r="H259" s="3">
        <v>726.0</v>
      </c>
      <c r="I259" s="3" t="s">
        <v>110</v>
      </c>
      <c r="J259" s="3">
        <v>0.0</v>
      </c>
      <c r="K259" s="3">
        <v>3.38</v>
      </c>
      <c r="L259" s="3">
        <v>17.0</v>
      </c>
      <c r="M259" s="4" t="str">
        <f>Raw_Data!X259</f>
        <v>mww</v>
      </c>
      <c r="N259" s="3">
        <v>152.0</v>
      </c>
      <c r="O259" s="3">
        <v>-7.5082</v>
      </c>
      <c r="P259" s="3">
        <v>127.921</v>
      </c>
      <c r="Q259" s="3" t="s">
        <v>307</v>
      </c>
      <c r="R259" s="4"/>
      <c r="S259" s="3" t="s">
        <v>153</v>
      </c>
      <c r="T259" s="4" t="str">
        <f t="shared" si="2"/>
        <v>Valid</v>
      </c>
      <c r="U259" s="4">
        <f t="shared" si="3"/>
        <v>1</v>
      </c>
      <c r="V259" s="4" t="str">
        <f t="shared" si="4"/>
        <v>Unique</v>
      </c>
      <c r="W259" s="4" t="str">
        <f t="shared" si="5"/>
        <v>green</v>
      </c>
      <c r="X259" s="4" t="str">
        <f t="shared" ref="X259:Z259" si="263">IF(Q259="","Unknown",Q259)</f>
        <v>Lospalos, Timor Leste</v>
      </c>
      <c r="Y259" s="4" t="str">
        <f t="shared" si="263"/>
        <v>Unknown</v>
      </c>
      <c r="Z259" s="4" t="str">
        <f t="shared" si="263"/>
        <v>Indonesia</v>
      </c>
      <c r="AA259" s="4" t="str">
        <f t="shared" si="7"/>
        <v>mww</v>
      </c>
    </row>
    <row r="260">
      <c r="A260" s="3" t="s">
        <v>740</v>
      </c>
      <c r="B260" s="3">
        <v>7.9</v>
      </c>
      <c r="C260" s="19">
        <f>Raw_Data!T260</f>
        <v>42721.45208</v>
      </c>
      <c r="D260" s="3">
        <v>9.0</v>
      </c>
      <c r="E260" s="3">
        <v>7.0</v>
      </c>
      <c r="F260" s="3" t="s">
        <v>116</v>
      </c>
      <c r="G260" s="3">
        <v>1.0</v>
      </c>
      <c r="H260" s="3">
        <v>972.0</v>
      </c>
      <c r="I260" s="3" t="s">
        <v>110</v>
      </c>
      <c r="J260" s="3">
        <v>0.0</v>
      </c>
      <c r="K260" s="3">
        <v>1.389</v>
      </c>
      <c r="L260" s="3">
        <v>13.0</v>
      </c>
      <c r="M260" s="4" t="str">
        <f>Raw_Data!X260</f>
        <v>mww</v>
      </c>
      <c r="N260" s="3">
        <v>94.54</v>
      </c>
      <c r="O260" s="3">
        <v>-4.5049</v>
      </c>
      <c r="P260" s="3">
        <v>153.522</v>
      </c>
      <c r="Q260" s="3" t="s">
        <v>633</v>
      </c>
      <c r="R260" s="4"/>
      <c r="S260" s="3" t="s">
        <v>168</v>
      </c>
      <c r="T260" s="4" t="str">
        <f t="shared" si="2"/>
        <v>Valid</v>
      </c>
      <c r="U260" s="4">
        <f t="shared" si="3"/>
        <v>1</v>
      </c>
      <c r="V260" s="4" t="str">
        <f t="shared" si="4"/>
        <v>Unique</v>
      </c>
      <c r="W260" s="4" t="str">
        <f t="shared" si="5"/>
        <v>yellow</v>
      </c>
      <c r="X260" s="4" t="str">
        <f t="shared" ref="X260:Z260" si="264">IF(Q260="","Unknown",Q260)</f>
        <v>Kokopo, Papua New Guinea</v>
      </c>
      <c r="Y260" s="4" t="str">
        <f t="shared" si="264"/>
        <v>Unknown</v>
      </c>
      <c r="Z260" s="4" t="str">
        <f t="shared" si="264"/>
        <v>Papua New Guinea</v>
      </c>
      <c r="AA260" s="4" t="str">
        <f t="shared" si="7"/>
        <v>mww</v>
      </c>
    </row>
    <row r="261">
      <c r="A261" s="3" t="s">
        <v>742</v>
      </c>
      <c r="B261" s="3">
        <v>6.9</v>
      </c>
      <c r="C261" s="19">
        <f>Raw_Data!T261</f>
        <v>42713.79861</v>
      </c>
      <c r="D261" s="3">
        <v>8.0</v>
      </c>
      <c r="E261" s="3">
        <v>6.0</v>
      </c>
      <c r="F261" s="3" t="s">
        <v>109</v>
      </c>
      <c r="G261" s="3">
        <v>1.0</v>
      </c>
      <c r="H261" s="3">
        <v>737.0</v>
      </c>
      <c r="I261" s="3" t="s">
        <v>110</v>
      </c>
      <c r="J261" s="3">
        <v>0.0</v>
      </c>
      <c r="K261" s="3">
        <v>1.747</v>
      </c>
      <c r="L261" s="3">
        <v>26.0</v>
      </c>
      <c r="M261" s="4" t="str">
        <f>Raw_Data!X261</f>
        <v>mww</v>
      </c>
      <c r="N261" s="3">
        <v>19.73</v>
      </c>
      <c r="O261" s="3">
        <v>-10.749</v>
      </c>
      <c r="P261" s="3">
        <v>161.132</v>
      </c>
      <c r="Q261" s="3" t="s">
        <v>595</v>
      </c>
      <c r="R261" s="4"/>
      <c r="S261" s="4"/>
      <c r="T261" s="4" t="str">
        <f t="shared" si="2"/>
        <v>Valid</v>
      </c>
      <c r="U261" s="4">
        <f t="shared" si="3"/>
        <v>1</v>
      </c>
      <c r="V261" s="4" t="str">
        <f t="shared" si="4"/>
        <v>Unique</v>
      </c>
      <c r="W261" s="4" t="str">
        <f t="shared" si="5"/>
        <v>green</v>
      </c>
      <c r="X261" s="4" t="str">
        <f t="shared" ref="X261:Z261" si="265">IF(Q261="","Unknown",Q261)</f>
        <v>Kirakira, Solomon Islands</v>
      </c>
      <c r="Y261" s="4" t="str">
        <f t="shared" si="265"/>
        <v>Unknown</v>
      </c>
      <c r="Z261" s="4" t="str">
        <f t="shared" si="265"/>
        <v>Unknown</v>
      </c>
      <c r="AA261" s="4" t="str">
        <f t="shared" si="7"/>
        <v>mww</v>
      </c>
    </row>
    <row r="262">
      <c r="A262" s="3" t="s">
        <v>743</v>
      </c>
      <c r="B262" s="3">
        <v>6.5</v>
      </c>
      <c r="C262" s="19">
        <f>Raw_Data!T262</f>
        <v>42712.91389</v>
      </c>
      <c r="D262" s="3">
        <v>0.0</v>
      </c>
      <c r="E262" s="3">
        <v>5.0</v>
      </c>
      <c r="F262" s="3" t="s">
        <v>109</v>
      </c>
      <c r="G262" s="3">
        <v>0.0</v>
      </c>
      <c r="H262" s="3">
        <v>650.0</v>
      </c>
      <c r="I262" s="3" t="s">
        <v>110</v>
      </c>
      <c r="J262" s="3">
        <v>0.0</v>
      </c>
      <c r="K262" s="3">
        <v>1.937</v>
      </c>
      <c r="L262" s="3">
        <v>18.0</v>
      </c>
      <c r="M262" s="4" t="str">
        <f>Raw_Data!X262</f>
        <v>mww</v>
      </c>
      <c r="N262" s="3">
        <v>12.26</v>
      </c>
      <c r="O262" s="3">
        <v>-10.8416</v>
      </c>
      <c r="P262" s="3">
        <v>161.314</v>
      </c>
      <c r="Q262" s="3" t="s">
        <v>595</v>
      </c>
      <c r="R262" s="4"/>
      <c r="S262" s="4"/>
      <c r="T262" s="4" t="str">
        <f t="shared" si="2"/>
        <v>Valid</v>
      </c>
      <c r="U262" s="4">
        <f t="shared" si="3"/>
        <v>1</v>
      </c>
      <c r="V262" s="4" t="str">
        <f t="shared" si="4"/>
        <v>Unique</v>
      </c>
      <c r="W262" s="4" t="str">
        <f t="shared" si="5"/>
        <v>green</v>
      </c>
      <c r="X262" s="4" t="str">
        <f t="shared" ref="X262:Z262" si="266">IF(Q262="","Unknown",Q262)</f>
        <v>Kirakira, Solomon Islands</v>
      </c>
      <c r="Y262" s="4" t="str">
        <f t="shared" si="266"/>
        <v>Unknown</v>
      </c>
      <c r="Z262" s="4" t="str">
        <f t="shared" si="266"/>
        <v>Unknown</v>
      </c>
      <c r="AA262" s="4" t="str">
        <f t="shared" si="7"/>
        <v>mww</v>
      </c>
    </row>
    <row r="263">
      <c r="A263" s="3" t="s">
        <v>744</v>
      </c>
      <c r="B263" s="3">
        <v>7.8</v>
      </c>
      <c r="C263" s="19">
        <f>Raw_Data!T263</f>
        <v>42712.73472</v>
      </c>
      <c r="D263" s="3">
        <v>9.0</v>
      </c>
      <c r="E263" s="3">
        <v>8.0</v>
      </c>
      <c r="F263" s="3" t="s">
        <v>109</v>
      </c>
      <c r="G263" s="3">
        <v>1.0</v>
      </c>
      <c r="H263" s="3">
        <v>961.0</v>
      </c>
      <c r="I263" s="3" t="s">
        <v>110</v>
      </c>
      <c r="J263" s="3">
        <v>0.0</v>
      </c>
      <c r="K263" s="3">
        <v>1.836</v>
      </c>
      <c r="L263" s="3">
        <v>13.0</v>
      </c>
      <c r="M263" s="4" t="str">
        <f>Raw_Data!X263</f>
        <v>mww</v>
      </c>
      <c r="N263" s="3">
        <v>40.0</v>
      </c>
      <c r="O263" s="3">
        <v>-10.6812</v>
      </c>
      <c r="P263" s="3">
        <v>161.327</v>
      </c>
      <c r="Q263" s="3" t="s">
        <v>595</v>
      </c>
      <c r="R263" s="4"/>
      <c r="S263" s="3" t="s">
        <v>214</v>
      </c>
      <c r="T263" s="4" t="str">
        <f t="shared" si="2"/>
        <v>Valid</v>
      </c>
      <c r="U263" s="4">
        <f t="shared" si="3"/>
        <v>1</v>
      </c>
      <c r="V263" s="4" t="str">
        <f t="shared" si="4"/>
        <v>Unique</v>
      </c>
      <c r="W263" s="4" t="str">
        <f t="shared" si="5"/>
        <v>green</v>
      </c>
      <c r="X263" s="4" t="str">
        <f t="shared" ref="X263:Z263" si="267">IF(Q263="","Unknown",Q263)</f>
        <v>Kirakira, Solomon Islands</v>
      </c>
      <c r="Y263" s="4" t="str">
        <f t="shared" si="267"/>
        <v>Unknown</v>
      </c>
      <c r="Z263" s="4" t="str">
        <f t="shared" si="267"/>
        <v>Solomon Islands</v>
      </c>
      <c r="AA263" s="4" t="str">
        <f t="shared" si="7"/>
        <v>mww</v>
      </c>
    </row>
    <row r="264">
      <c r="A264" s="3" t="s">
        <v>745</v>
      </c>
      <c r="B264" s="3">
        <v>6.6</v>
      </c>
      <c r="C264" s="19">
        <f>Raw_Data!T264</f>
        <v>42712.61736</v>
      </c>
      <c r="D264" s="3">
        <v>5.0</v>
      </c>
      <c r="E264" s="3">
        <v>4.0</v>
      </c>
      <c r="F264" s="3" t="s">
        <v>109</v>
      </c>
      <c r="G264" s="3">
        <v>1.0</v>
      </c>
      <c r="H264" s="3">
        <v>1120.0</v>
      </c>
      <c r="I264" s="3" t="s">
        <v>110</v>
      </c>
      <c r="J264" s="3">
        <v>0.0</v>
      </c>
      <c r="K264" s="3">
        <v>1.405</v>
      </c>
      <c r="L264" s="3">
        <v>55.0</v>
      </c>
      <c r="M264" s="4" t="str">
        <f>Raw_Data!X264</f>
        <v>mww</v>
      </c>
      <c r="N264" s="3">
        <v>8.45</v>
      </c>
      <c r="O264" s="3">
        <v>40.4535</v>
      </c>
      <c r="P264" s="3">
        <v>-126.194</v>
      </c>
      <c r="Q264" s="3" t="s">
        <v>746</v>
      </c>
      <c r="R264" s="4"/>
      <c r="S264" s="4"/>
      <c r="T264" s="4" t="str">
        <f t="shared" si="2"/>
        <v>Valid</v>
      </c>
      <c r="U264" s="4">
        <f t="shared" si="3"/>
        <v>1</v>
      </c>
      <c r="V264" s="4" t="str">
        <f t="shared" si="4"/>
        <v>Unique</v>
      </c>
      <c r="W264" s="4" t="str">
        <f t="shared" si="5"/>
        <v>green</v>
      </c>
      <c r="X264" s="4" t="str">
        <f t="shared" ref="X264:Z264" si="268">IF(Q264="","Unknown",Q264)</f>
        <v>Ferndale, California</v>
      </c>
      <c r="Y264" s="4" t="str">
        <f t="shared" si="268"/>
        <v>Unknown</v>
      </c>
      <c r="Z264" s="4" t="str">
        <f t="shared" si="268"/>
        <v>Unknown</v>
      </c>
      <c r="AA264" s="4" t="str">
        <f t="shared" si="7"/>
        <v>mww</v>
      </c>
    </row>
    <row r="265">
      <c r="A265" s="3" t="s">
        <v>747</v>
      </c>
      <c r="B265" s="3">
        <v>6.5</v>
      </c>
      <c r="C265" s="19">
        <f>Raw_Data!T265</f>
        <v>42710.91875</v>
      </c>
      <c r="D265" s="3">
        <v>9.0</v>
      </c>
      <c r="E265" s="3">
        <v>8.0</v>
      </c>
      <c r="F265" s="3" t="s">
        <v>116</v>
      </c>
      <c r="G265" s="3">
        <v>0.0</v>
      </c>
      <c r="H265" s="3">
        <v>731.0</v>
      </c>
      <c r="I265" s="3" t="s">
        <v>110</v>
      </c>
      <c r="J265" s="3">
        <v>0.0</v>
      </c>
      <c r="K265" s="3">
        <v>0.778</v>
      </c>
      <c r="L265" s="3">
        <v>27.0</v>
      </c>
      <c r="M265" s="4" t="str">
        <f>Raw_Data!X265</f>
        <v>mww</v>
      </c>
      <c r="N265" s="3">
        <v>13.0</v>
      </c>
      <c r="O265" s="3">
        <v>5.2834</v>
      </c>
      <c r="P265" s="3">
        <v>96.1678</v>
      </c>
      <c r="Q265" s="3" t="s">
        <v>748</v>
      </c>
      <c r="R265" s="4"/>
      <c r="S265" s="3" t="s">
        <v>153</v>
      </c>
      <c r="T265" s="4" t="str">
        <f t="shared" si="2"/>
        <v>Valid</v>
      </c>
      <c r="U265" s="4">
        <f t="shared" si="3"/>
        <v>1</v>
      </c>
      <c r="V265" s="4" t="str">
        <f t="shared" si="4"/>
        <v>Unique</v>
      </c>
      <c r="W265" s="4" t="str">
        <f t="shared" si="5"/>
        <v>yellow</v>
      </c>
      <c r="X265" s="4" t="str">
        <f t="shared" ref="X265:Z265" si="269">IF(Q265="","Unknown",Q265)</f>
        <v>Reuleuet, Indonesia</v>
      </c>
      <c r="Y265" s="4" t="str">
        <f t="shared" si="269"/>
        <v>Unknown</v>
      </c>
      <c r="Z265" s="4" t="str">
        <f t="shared" si="269"/>
        <v>Indonesia</v>
      </c>
      <c r="AA265" s="4" t="str">
        <f t="shared" si="7"/>
        <v>mww</v>
      </c>
    </row>
    <row r="266">
      <c r="A266" s="3" t="s">
        <v>749</v>
      </c>
      <c r="B266" s="3">
        <v>6.6</v>
      </c>
      <c r="C266" s="19">
        <f>Raw_Data!T266</f>
        <v>42699.6</v>
      </c>
      <c r="D266" s="3">
        <v>8.0</v>
      </c>
      <c r="E266" s="3">
        <v>7.0</v>
      </c>
      <c r="F266" s="3" t="s">
        <v>109</v>
      </c>
      <c r="G266" s="3">
        <v>0.0</v>
      </c>
      <c r="H266" s="3">
        <v>693.0</v>
      </c>
      <c r="I266" s="3" t="s">
        <v>110</v>
      </c>
      <c r="J266" s="3">
        <v>0.0</v>
      </c>
      <c r="K266" s="3">
        <v>1.697</v>
      </c>
      <c r="L266" s="3">
        <v>20.0</v>
      </c>
      <c r="M266" s="4" t="str">
        <f>Raw_Data!X266</f>
        <v>mww</v>
      </c>
      <c r="N266" s="3">
        <v>17.0</v>
      </c>
      <c r="O266" s="3">
        <v>39.2732</v>
      </c>
      <c r="P266" s="3">
        <v>73.9776</v>
      </c>
      <c r="Q266" s="3" t="s">
        <v>190</v>
      </c>
      <c r="R266" s="3" t="s">
        <v>164</v>
      </c>
      <c r="S266" s="3" t="s">
        <v>251</v>
      </c>
      <c r="T266" s="4" t="str">
        <f t="shared" si="2"/>
        <v>Valid</v>
      </c>
      <c r="U266" s="4">
        <f t="shared" si="3"/>
        <v>1</v>
      </c>
      <c r="V266" s="4" t="str">
        <f t="shared" si="4"/>
        <v>Unique</v>
      </c>
      <c r="W266" s="4" t="str">
        <f t="shared" si="5"/>
        <v>green</v>
      </c>
      <c r="X266" s="4" t="str">
        <f t="shared" ref="X266:Z266" si="270">IF(Q266="","Unknown",Q266)</f>
        <v>Murghob, Tajikistan</v>
      </c>
      <c r="Y266" s="4" t="str">
        <f t="shared" si="270"/>
        <v>Asia</v>
      </c>
      <c r="Z266" s="4" t="str">
        <f t="shared" si="270"/>
        <v>People's Republic of China</v>
      </c>
      <c r="AA266" s="4" t="str">
        <f t="shared" si="7"/>
        <v>mww</v>
      </c>
    </row>
    <row r="267">
      <c r="A267" s="3" t="s">
        <v>751</v>
      </c>
      <c r="B267" s="3">
        <v>6.9</v>
      </c>
      <c r="C267" s="19">
        <f>Raw_Data!T267</f>
        <v>42698.77986</v>
      </c>
      <c r="D267" s="3">
        <v>5.0</v>
      </c>
      <c r="E267" s="3">
        <v>4.0</v>
      </c>
      <c r="F267" s="3" t="s">
        <v>109</v>
      </c>
      <c r="G267" s="3">
        <v>1.0</v>
      </c>
      <c r="H267" s="3">
        <v>855.0</v>
      </c>
      <c r="I267" s="3" t="s">
        <v>110</v>
      </c>
      <c r="J267" s="3">
        <v>0.0</v>
      </c>
      <c r="K267" s="3">
        <v>1.796</v>
      </c>
      <c r="L267" s="3">
        <v>20.0</v>
      </c>
      <c r="M267" s="4" t="str">
        <f>Raw_Data!X267</f>
        <v>mww</v>
      </c>
      <c r="N267" s="3">
        <v>10.0</v>
      </c>
      <c r="O267" s="3">
        <v>11.9097</v>
      </c>
      <c r="P267" s="3">
        <v>-88.8968</v>
      </c>
      <c r="Q267" s="3" t="s">
        <v>753</v>
      </c>
      <c r="R267" s="4"/>
      <c r="S267" s="4"/>
      <c r="T267" s="4" t="str">
        <f t="shared" si="2"/>
        <v>Valid</v>
      </c>
      <c r="U267" s="4">
        <f t="shared" si="3"/>
        <v>1</v>
      </c>
      <c r="V267" s="4" t="str">
        <f t="shared" si="4"/>
        <v>Unique</v>
      </c>
      <c r="W267" s="4" t="str">
        <f t="shared" si="5"/>
        <v>green</v>
      </c>
      <c r="X267" s="4" t="str">
        <f t="shared" ref="X267:Z267" si="271">IF(Q267="","Unknown",Q267)</f>
        <v>Puerto El Triunfo, El Salvador</v>
      </c>
      <c r="Y267" s="4" t="str">
        <f t="shared" si="271"/>
        <v>Unknown</v>
      </c>
      <c r="Z267" s="4" t="str">
        <f t="shared" si="271"/>
        <v>Unknown</v>
      </c>
      <c r="AA267" s="4" t="str">
        <f t="shared" si="7"/>
        <v>mww</v>
      </c>
    </row>
    <row r="268">
      <c r="A268" s="3" t="s">
        <v>754</v>
      </c>
      <c r="B268" s="3">
        <v>6.9</v>
      </c>
      <c r="C268" s="19">
        <f>Raw_Data!T268</f>
        <v>42695.87431</v>
      </c>
      <c r="D268" s="3">
        <v>9.0</v>
      </c>
      <c r="E268" s="3">
        <v>6.0</v>
      </c>
      <c r="F268" s="3" t="s">
        <v>109</v>
      </c>
      <c r="G268" s="3">
        <v>1.0</v>
      </c>
      <c r="H268" s="3">
        <v>1144.0</v>
      </c>
      <c r="I268" s="3" t="s">
        <v>110</v>
      </c>
      <c r="J268" s="3">
        <v>0.0</v>
      </c>
      <c r="K268" s="3">
        <v>0.671</v>
      </c>
      <c r="L268" s="3">
        <v>10.0</v>
      </c>
      <c r="M268" s="4" t="str">
        <f>Raw_Data!X268</f>
        <v>mww</v>
      </c>
      <c r="N268" s="3">
        <v>9.0</v>
      </c>
      <c r="O268" s="3">
        <v>37.3931</v>
      </c>
      <c r="P268" s="3">
        <v>141.387</v>
      </c>
      <c r="Q268" s="3" t="s">
        <v>282</v>
      </c>
      <c r="R268" s="3" t="s">
        <v>164</v>
      </c>
      <c r="S268" s="4"/>
      <c r="T268" s="4" t="str">
        <f t="shared" si="2"/>
        <v>Valid</v>
      </c>
      <c r="U268" s="4">
        <f t="shared" si="3"/>
        <v>1</v>
      </c>
      <c r="V268" s="4" t="str">
        <f t="shared" si="4"/>
        <v>Unique</v>
      </c>
      <c r="W268" s="4" t="str">
        <f t="shared" si="5"/>
        <v>green</v>
      </c>
      <c r="X268" s="4" t="str">
        <f t="shared" ref="X268:Z268" si="272">IF(Q268="","Unknown",Q268)</f>
        <v>Namie, Japan</v>
      </c>
      <c r="Y268" s="4" t="str">
        <f t="shared" si="272"/>
        <v>Asia</v>
      </c>
      <c r="Z268" s="4" t="str">
        <f t="shared" si="272"/>
        <v>Unknown</v>
      </c>
      <c r="AA268" s="4" t="str">
        <f t="shared" si="7"/>
        <v>mww</v>
      </c>
    </row>
    <row r="269">
      <c r="A269" s="3" t="s">
        <v>756</v>
      </c>
      <c r="B269" s="3">
        <v>6.5</v>
      </c>
      <c r="C269" s="19">
        <f>Raw_Data!T269</f>
        <v>42688.02361</v>
      </c>
      <c r="D269" s="3">
        <v>7.0</v>
      </c>
      <c r="E269" s="3">
        <v>7.0</v>
      </c>
      <c r="F269" s="3" t="s">
        <v>116</v>
      </c>
      <c r="G269" s="3">
        <v>1.0</v>
      </c>
      <c r="H269" s="3">
        <v>664.0</v>
      </c>
      <c r="I269" s="3" t="s">
        <v>110</v>
      </c>
      <c r="J269" s="3">
        <v>0.0</v>
      </c>
      <c r="K269" s="3">
        <v>0.283</v>
      </c>
      <c r="L269" s="3">
        <v>56.0</v>
      </c>
      <c r="M269" s="4" t="str">
        <f>Raw_Data!X269</f>
        <v>mww</v>
      </c>
      <c r="N269" s="3">
        <v>9.0</v>
      </c>
      <c r="O269" s="3">
        <v>-42.6058</v>
      </c>
      <c r="P269" s="3">
        <v>173.254</v>
      </c>
      <c r="Q269" s="3" t="s">
        <v>758</v>
      </c>
      <c r="R269" s="4"/>
      <c r="S269" s="3" t="s">
        <v>759</v>
      </c>
      <c r="T269" s="4" t="str">
        <f t="shared" si="2"/>
        <v>Valid</v>
      </c>
      <c r="U269" s="4">
        <f t="shared" si="3"/>
        <v>1</v>
      </c>
      <c r="V269" s="4" t="str">
        <f t="shared" si="4"/>
        <v>Unique</v>
      </c>
      <c r="W269" s="4" t="str">
        <f t="shared" si="5"/>
        <v>yellow</v>
      </c>
      <c r="X269" s="4" t="str">
        <f t="shared" ref="X269:Z269" si="273">IF(Q269="","Unknown",Q269)</f>
        <v>Amberley, New Zealand</v>
      </c>
      <c r="Y269" s="4" t="str">
        <f t="shared" si="273"/>
        <v>Unknown</v>
      </c>
      <c r="Z269" s="4" t="str">
        <f t="shared" si="273"/>
        <v>New Zealand</v>
      </c>
      <c r="AA269" s="4" t="str">
        <f t="shared" si="7"/>
        <v>mww</v>
      </c>
    </row>
    <row r="270">
      <c r="A270" s="3" t="s">
        <v>760</v>
      </c>
      <c r="B270" s="3">
        <v>6.5</v>
      </c>
      <c r="C270" s="19">
        <f>Raw_Data!T270</f>
        <v>42687.48056</v>
      </c>
      <c r="D270" s="3">
        <v>6.0</v>
      </c>
      <c r="E270" s="3">
        <v>7.0</v>
      </c>
      <c r="F270" s="3" t="s">
        <v>116</v>
      </c>
      <c r="G270" s="3">
        <v>1.0</v>
      </c>
      <c r="H270" s="3">
        <v>656.0</v>
      </c>
      <c r="I270" s="3" t="s">
        <v>110</v>
      </c>
      <c r="J270" s="3">
        <v>0.0</v>
      </c>
      <c r="K270" s="3">
        <v>0.135</v>
      </c>
      <c r="L270" s="3">
        <v>58.0</v>
      </c>
      <c r="M270" s="4" t="str">
        <f>Raw_Data!X270</f>
        <v>mww</v>
      </c>
      <c r="N270" s="3">
        <v>10.0</v>
      </c>
      <c r="O270" s="3">
        <v>-42.3205</v>
      </c>
      <c r="P270" s="3">
        <v>173.669</v>
      </c>
      <c r="Q270" s="3" t="s">
        <v>762</v>
      </c>
      <c r="R270" s="4"/>
      <c r="S270" s="3" t="s">
        <v>759</v>
      </c>
      <c r="T270" s="4" t="str">
        <f t="shared" si="2"/>
        <v>Valid</v>
      </c>
      <c r="U270" s="4">
        <f t="shared" si="3"/>
        <v>1</v>
      </c>
      <c r="V270" s="4" t="str">
        <f t="shared" si="4"/>
        <v>Unique</v>
      </c>
      <c r="W270" s="4" t="str">
        <f t="shared" si="5"/>
        <v>yellow</v>
      </c>
      <c r="X270" s="4" t="str">
        <f t="shared" ref="X270:Z270" si="274">IF(Q270="","Unknown",Q270)</f>
        <v>Blenheim, New Zealand</v>
      </c>
      <c r="Y270" s="4" t="str">
        <f t="shared" si="274"/>
        <v>Unknown</v>
      </c>
      <c r="Z270" s="4" t="str">
        <f t="shared" si="274"/>
        <v>New Zealand</v>
      </c>
      <c r="AA270" s="4" t="str">
        <f t="shared" si="7"/>
        <v>mww</v>
      </c>
    </row>
    <row r="271">
      <c r="A271" s="3" t="s">
        <v>763</v>
      </c>
      <c r="B271" s="3">
        <v>7.8</v>
      </c>
      <c r="C271" s="19">
        <f>Raw_Data!T271</f>
        <v>42687.45972</v>
      </c>
      <c r="D271" s="3">
        <v>9.0</v>
      </c>
      <c r="E271" s="3">
        <v>9.0</v>
      </c>
      <c r="F271" s="3" t="s">
        <v>178</v>
      </c>
      <c r="G271" s="3">
        <v>1.0</v>
      </c>
      <c r="H271" s="3">
        <v>1545.0</v>
      </c>
      <c r="I271" s="3" t="s">
        <v>110</v>
      </c>
      <c r="J271" s="3">
        <v>0.0</v>
      </c>
      <c r="K271" s="3">
        <v>0.481</v>
      </c>
      <c r="L271" s="3">
        <v>21.0</v>
      </c>
      <c r="M271" s="4" t="str">
        <f>Raw_Data!X271</f>
        <v>mww</v>
      </c>
      <c r="N271" s="3">
        <v>15.11</v>
      </c>
      <c r="O271" s="3">
        <v>-42.7373</v>
      </c>
      <c r="P271" s="3">
        <v>173.054</v>
      </c>
      <c r="Q271" s="3" t="s">
        <v>758</v>
      </c>
      <c r="R271" s="4"/>
      <c r="S271" s="3" t="s">
        <v>759</v>
      </c>
      <c r="T271" s="4" t="str">
        <f t="shared" si="2"/>
        <v>Valid</v>
      </c>
      <c r="U271" s="4">
        <f t="shared" si="3"/>
        <v>1</v>
      </c>
      <c r="V271" s="4" t="str">
        <f t="shared" si="4"/>
        <v>Unique</v>
      </c>
      <c r="W271" s="4" t="str">
        <f t="shared" si="5"/>
        <v>orange</v>
      </c>
      <c r="X271" s="4" t="str">
        <f t="shared" ref="X271:Z271" si="275">IF(Q271="","Unknown",Q271)</f>
        <v>Amberley, New Zealand</v>
      </c>
      <c r="Y271" s="4" t="str">
        <f t="shared" si="275"/>
        <v>Unknown</v>
      </c>
      <c r="Z271" s="4" t="str">
        <f t="shared" si="275"/>
        <v>New Zealand</v>
      </c>
      <c r="AA271" s="4" t="str">
        <f t="shared" si="7"/>
        <v>mww</v>
      </c>
    </row>
    <row r="272">
      <c r="A272" s="3" t="s">
        <v>765</v>
      </c>
      <c r="B272" s="3">
        <v>6.6</v>
      </c>
      <c r="C272" s="19">
        <f>Raw_Data!T272</f>
        <v>42673.27778</v>
      </c>
      <c r="D272" s="3">
        <v>9.0</v>
      </c>
      <c r="E272" s="3">
        <v>8.0</v>
      </c>
      <c r="F272" s="3" t="s">
        <v>198</v>
      </c>
      <c r="G272" s="3">
        <v>0.0</v>
      </c>
      <c r="H272" s="3">
        <v>2840.0</v>
      </c>
      <c r="I272" s="3" t="s">
        <v>110</v>
      </c>
      <c r="J272" s="3">
        <v>0.0</v>
      </c>
      <c r="K272" s="3">
        <v>0.174</v>
      </c>
      <c r="L272" s="3">
        <v>25.0</v>
      </c>
      <c r="M272" s="4" t="str">
        <f>Raw_Data!X272</f>
        <v>mww</v>
      </c>
      <c r="N272" s="3">
        <v>8.0</v>
      </c>
      <c r="O272" s="3">
        <v>42.8621</v>
      </c>
      <c r="P272" s="3">
        <v>13.0961</v>
      </c>
      <c r="Q272" s="3" t="s">
        <v>767</v>
      </c>
      <c r="R272" s="3" t="s">
        <v>404</v>
      </c>
      <c r="S272" s="3" t="s">
        <v>768</v>
      </c>
      <c r="T272" s="4" t="str">
        <f t="shared" si="2"/>
        <v>Valid</v>
      </c>
      <c r="U272" s="4">
        <f t="shared" si="3"/>
        <v>1</v>
      </c>
      <c r="V272" s="4" t="str">
        <f t="shared" si="4"/>
        <v>Unique</v>
      </c>
      <c r="W272" s="4" t="str">
        <f t="shared" si="5"/>
        <v>red</v>
      </c>
      <c r="X272" s="4" t="str">
        <f t="shared" ref="X272:Z272" si="276">IF(Q272="","Unknown",Q272)</f>
        <v>Preci, Italy</v>
      </c>
      <c r="Y272" s="4" t="str">
        <f t="shared" si="276"/>
        <v>Europe</v>
      </c>
      <c r="Z272" s="4" t="str">
        <f t="shared" si="276"/>
        <v>Italy</v>
      </c>
      <c r="AA272" s="4" t="str">
        <f t="shared" si="7"/>
        <v>mww</v>
      </c>
    </row>
    <row r="273">
      <c r="A273" s="3" t="s">
        <v>769</v>
      </c>
      <c r="B273" s="3">
        <v>6.6</v>
      </c>
      <c r="C273" s="19">
        <f>Raw_Data!T273</f>
        <v>42662.01806</v>
      </c>
      <c r="D273" s="3">
        <v>3.0</v>
      </c>
      <c r="E273" s="3">
        <v>3.0</v>
      </c>
      <c r="F273" s="3" t="s">
        <v>109</v>
      </c>
      <c r="G273" s="3">
        <v>0.0</v>
      </c>
      <c r="H273" s="3">
        <v>677.0</v>
      </c>
      <c r="I273" s="3" t="s">
        <v>110</v>
      </c>
      <c r="J273" s="3">
        <v>0.0</v>
      </c>
      <c r="K273" s="3">
        <v>2.022</v>
      </c>
      <c r="L273" s="3">
        <v>16.0</v>
      </c>
      <c r="M273" s="4" t="str">
        <f>Raw_Data!X273</f>
        <v>mww</v>
      </c>
      <c r="N273" s="3">
        <v>614.0</v>
      </c>
      <c r="O273" s="3">
        <v>-4.8626</v>
      </c>
      <c r="P273" s="3">
        <v>108.163</v>
      </c>
      <c r="Q273" s="3" t="s">
        <v>771</v>
      </c>
      <c r="R273" s="4"/>
      <c r="S273" s="3" t="s">
        <v>153</v>
      </c>
      <c r="T273" s="4" t="str">
        <f t="shared" si="2"/>
        <v>Valid</v>
      </c>
      <c r="U273" s="4">
        <f t="shared" si="3"/>
        <v>1</v>
      </c>
      <c r="V273" s="4" t="str">
        <f t="shared" si="4"/>
        <v>Unique</v>
      </c>
      <c r="W273" s="4" t="str">
        <f t="shared" si="5"/>
        <v>green</v>
      </c>
      <c r="X273" s="4" t="str">
        <f t="shared" ref="X273:Z273" si="277">IF(Q273="","Unknown",Q273)</f>
        <v>Pamanukan, Indonesia</v>
      </c>
      <c r="Y273" s="4" t="str">
        <f t="shared" si="277"/>
        <v>Unknown</v>
      </c>
      <c r="Z273" s="4" t="str">
        <f t="shared" si="277"/>
        <v>Indonesia</v>
      </c>
      <c r="AA273" s="4" t="str">
        <f t="shared" si="7"/>
        <v>mww</v>
      </c>
    </row>
    <row r="274">
      <c r="A274" s="3" t="s">
        <v>772</v>
      </c>
      <c r="B274" s="3">
        <v>6.8</v>
      </c>
      <c r="C274" s="19">
        <f>Raw_Data!T274</f>
        <v>42660.25972</v>
      </c>
      <c r="D274" s="3">
        <v>3.0</v>
      </c>
      <c r="E274" s="3">
        <v>6.0</v>
      </c>
      <c r="F274" s="3" t="s">
        <v>109</v>
      </c>
      <c r="G274" s="3">
        <v>1.0</v>
      </c>
      <c r="H274" s="3">
        <v>716.0</v>
      </c>
      <c r="I274" s="3" t="s">
        <v>110</v>
      </c>
      <c r="J274" s="3">
        <v>0.0</v>
      </c>
      <c r="K274" s="3">
        <v>3.727</v>
      </c>
      <c r="L274" s="3">
        <v>11.0</v>
      </c>
      <c r="M274" s="4" t="str">
        <f>Raw_Data!X274</f>
        <v>mww</v>
      </c>
      <c r="N274" s="3">
        <v>42.0</v>
      </c>
      <c r="O274" s="3">
        <v>-6.0033</v>
      </c>
      <c r="P274" s="3">
        <v>148.887</v>
      </c>
      <c r="Q274" s="3" t="s">
        <v>774</v>
      </c>
      <c r="R274" s="4"/>
      <c r="S274" s="3" t="s">
        <v>168</v>
      </c>
      <c r="T274" s="4" t="str">
        <f t="shared" si="2"/>
        <v>Valid</v>
      </c>
      <c r="U274" s="4">
        <f t="shared" si="3"/>
        <v>1</v>
      </c>
      <c r="V274" s="4" t="str">
        <f t="shared" si="4"/>
        <v>Unique</v>
      </c>
      <c r="W274" s="4" t="str">
        <f t="shared" si="5"/>
        <v>green</v>
      </c>
      <c r="X274" s="4" t="str">
        <f t="shared" ref="X274:Z274" si="278">IF(Q274="","Unknown",Q274)</f>
        <v>Kandrian, Papua New Guinea</v>
      </c>
      <c r="Y274" s="4" t="str">
        <f t="shared" si="278"/>
        <v>Unknown</v>
      </c>
      <c r="Z274" s="4" t="str">
        <f t="shared" si="278"/>
        <v>Papua New Guinea</v>
      </c>
      <c r="AA274" s="4" t="str">
        <f t="shared" si="7"/>
        <v>mww</v>
      </c>
    </row>
    <row r="275">
      <c r="A275" s="3" t="s">
        <v>775</v>
      </c>
      <c r="B275" s="3">
        <v>6.9</v>
      </c>
      <c r="C275" s="19">
        <f>Raw_Data!T275</f>
        <v>42637.89444</v>
      </c>
      <c r="D275" s="3">
        <v>2.0</v>
      </c>
      <c r="E275" s="3">
        <v>3.0</v>
      </c>
      <c r="F275" s="3" t="s">
        <v>109</v>
      </c>
      <c r="G275" s="3">
        <v>1.0</v>
      </c>
      <c r="H275" s="3">
        <v>733.0</v>
      </c>
      <c r="I275" s="3" t="s">
        <v>110</v>
      </c>
      <c r="J275" s="3">
        <v>0.0</v>
      </c>
      <c r="K275" s="3">
        <v>4.051</v>
      </c>
      <c r="L275" s="3">
        <v>9.0</v>
      </c>
      <c r="M275" s="4" t="str">
        <f>Raw_Data!X275</f>
        <v>mww</v>
      </c>
      <c r="N275" s="3">
        <v>596.4</v>
      </c>
      <c r="O275" s="3">
        <v>-19.7819</v>
      </c>
      <c r="P275" s="3">
        <v>-178.244</v>
      </c>
      <c r="Q275" s="3" t="s">
        <v>777</v>
      </c>
      <c r="R275" s="4"/>
      <c r="S275" s="3" t="s">
        <v>219</v>
      </c>
      <c r="T275" s="4" t="str">
        <f t="shared" si="2"/>
        <v>Valid</v>
      </c>
      <c r="U275" s="4">
        <f t="shared" si="3"/>
        <v>1</v>
      </c>
      <c r="V275" s="4" t="str">
        <f t="shared" si="4"/>
        <v>Unique</v>
      </c>
      <c r="W275" s="4" t="str">
        <f t="shared" si="5"/>
        <v>green</v>
      </c>
      <c r="X275" s="4" t="str">
        <f t="shared" ref="X275:Z275" si="279">IF(Q275="","Unknown",Q275)</f>
        <v>Fiji region</v>
      </c>
      <c r="Y275" s="4" t="str">
        <f t="shared" si="279"/>
        <v>Unknown</v>
      </c>
      <c r="Z275" s="4" t="str">
        <f t="shared" si="279"/>
        <v>Fiji</v>
      </c>
      <c r="AA275" s="4" t="str">
        <f t="shared" si="7"/>
        <v>mww</v>
      </c>
    </row>
    <row r="276">
      <c r="A276" s="3" t="s">
        <v>778</v>
      </c>
      <c r="B276" s="3">
        <v>7.0</v>
      </c>
      <c r="C276" s="19">
        <f>Raw_Data!T276</f>
        <v>42614.69236</v>
      </c>
      <c r="D276" s="3">
        <v>5.0</v>
      </c>
      <c r="E276" s="3">
        <v>6.0</v>
      </c>
      <c r="F276" s="3" t="s">
        <v>109</v>
      </c>
      <c r="G276" s="3">
        <v>1.0</v>
      </c>
      <c r="H276" s="3">
        <v>897.0</v>
      </c>
      <c r="I276" s="3" t="s">
        <v>110</v>
      </c>
      <c r="J276" s="3">
        <v>0.0</v>
      </c>
      <c r="K276" s="3">
        <v>0.698</v>
      </c>
      <c r="L276" s="3">
        <v>21.0</v>
      </c>
      <c r="M276" s="4" t="str">
        <f>Raw_Data!X276</f>
        <v>mww</v>
      </c>
      <c r="N276" s="3">
        <v>19.0</v>
      </c>
      <c r="O276" s="3">
        <v>-37.3586</v>
      </c>
      <c r="P276" s="3">
        <v>179.146</v>
      </c>
      <c r="Q276" s="3" t="s">
        <v>387</v>
      </c>
      <c r="R276" s="4"/>
      <c r="S276" s="4"/>
      <c r="T276" s="4" t="str">
        <f t="shared" si="2"/>
        <v>Valid</v>
      </c>
      <c r="U276" s="4">
        <f t="shared" si="3"/>
        <v>1</v>
      </c>
      <c r="V276" s="4" t="str">
        <f t="shared" si="4"/>
        <v>Unique</v>
      </c>
      <c r="W276" s="4" t="str">
        <f t="shared" si="5"/>
        <v>green</v>
      </c>
      <c r="X276" s="4" t="str">
        <f t="shared" ref="X276:Z276" si="280">IF(Q276="","Unknown",Q276)</f>
        <v>Gisborne, New Zealand</v>
      </c>
      <c r="Y276" s="4" t="str">
        <f t="shared" si="280"/>
        <v>Unknown</v>
      </c>
      <c r="Z276" s="4" t="str">
        <f t="shared" si="280"/>
        <v>Unknown</v>
      </c>
      <c r="AA276" s="4" t="str">
        <f t="shared" si="7"/>
        <v>mww</v>
      </c>
    </row>
    <row r="277">
      <c r="A277" s="3" t="s">
        <v>779</v>
      </c>
      <c r="B277" s="3">
        <v>6.8</v>
      </c>
      <c r="C277" s="19">
        <f>Raw_Data!T277</f>
        <v>42613.13264</v>
      </c>
      <c r="D277" s="3">
        <v>4.0</v>
      </c>
      <c r="E277" s="3">
        <v>3.0</v>
      </c>
      <c r="F277" s="3" t="s">
        <v>109</v>
      </c>
      <c r="G277" s="3">
        <v>1.0</v>
      </c>
      <c r="H277" s="3">
        <v>713.0</v>
      </c>
      <c r="I277" s="3" t="s">
        <v>110</v>
      </c>
      <c r="J277" s="3">
        <v>0.0</v>
      </c>
      <c r="K277" s="3">
        <v>0.803</v>
      </c>
      <c r="L277" s="3">
        <v>12.0</v>
      </c>
      <c r="M277" s="4" t="str">
        <f>Raw_Data!X277</f>
        <v>mww</v>
      </c>
      <c r="N277" s="3">
        <v>476.0</v>
      </c>
      <c r="O277" s="3">
        <v>-3.6849</v>
      </c>
      <c r="P277" s="3">
        <v>152.792</v>
      </c>
      <c r="Q277" s="3" t="s">
        <v>781</v>
      </c>
      <c r="R277" s="4"/>
      <c r="S277" s="3" t="s">
        <v>168</v>
      </c>
      <c r="T277" s="4" t="str">
        <f t="shared" si="2"/>
        <v>Valid</v>
      </c>
      <c r="U277" s="4">
        <f t="shared" si="3"/>
        <v>1</v>
      </c>
      <c r="V277" s="4" t="str">
        <f t="shared" si="4"/>
        <v>Unique</v>
      </c>
      <c r="W277" s="4" t="str">
        <f t="shared" si="5"/>
        <v>green</v>
      </c>
      <c r="X277" s="4" t="str">
        <f t="shared" ref="X277:Z277" si="281">IF(Q277="","Unknown",Q277)</f>
        <v>Rabaul, Papua New Guinea</v>
      </c>
      <c r="Y277" s="4" t="str">
        <f t="shared" si="281"/>
        <v>Unknown</v>
      </c>
      <c r="Z277" s="4" t="str">
        <f t="shared" si="281"/>
        <v>Papua New Guinea</v>
      </c>
      <c r="AA277" s="4" t="str">
        <f t="shared" si="7"/>
        <v>mww</v>
      </c>
    </row>
    <row r="278">
      <c r="A278" s="3" t="s">
        <v>782</v>
      </c>
      <c r="B278" s="3">
        <v>6.8</v>
      </c>
      <c r="C278" s="19">
        <f>Raw_Data!T278</f>
        <v>42606.44028</v>
      </c>
      <c r="D278" s="3">
        <v>6.0</v>
      </c>
      <c r="E278" s="3">
        <v>6.0</v>
      </c>
      <c r="F278" s="3" t="s">
        <v>116</v>
      </c>
      <c r="G278" s="3">
        <v>0.0</v>
      </c>
      <c r="H278" s="3">
        <v>981.0</v>
      </c>
      <c r="I278" s="3" t="s">
        <v>110</v>
      </c>
      <c r="J278" s="3">
        <v>0.0</v>
      </c>
      <c r="K278" s="3">
        <v>1.802</v>
      </c>
      <c r="L278" s="3">
        <v>17.0</v>
      </c>
      <c r="M278" s="4" t="str">
        <f>Raw_Data!X278</f>
        <v>mww</v>
      </c>
      <c r="N278" s="3">
        <v>82.0</v>
      </c>
      <c r="O278" s="3">
        <v>20.9228</v>
      </c>
      <c r="P278" s="3">
        <v>94.569</v>
      </c>
      <c r="Q278" s="3" t="s">
        <v>784</v>
      </c>
      <c r="R278" s="3" t="s">
        <v>164</v>
      </c>
      <c r="S278" s="3" t="s">
        <v>785</v>
      </c>
      <c r="T278" s="4" t="str">
        <f t="shared" si="2"/>
        <v>Valid</v>
      </c>
      <c r="U278" s="4">
        <f t="shared" si="3"/>
        <v>1</v>
      </c>
      <c r="V278" s="4" t="str">
        <f t="shared" si="4"/>
        <v>Unique</v>
      </c>
      <c r="W278" s="4" t="str">
        <f t="shared" si="5"/>
        <v>yellow</v>
      </c>
      <c r="X278" s="4" t="str">
        <f t="shared" ref="X278:Z278" si="282">IF(Q278="","Unknown",Q278)</f>
        <v>Chauk, Myanmar</v>
      </c>
      <c r="Y278" s="4" t="str">
        <f t="shared" si="282"/>
        <v>Asia</v>
      </c>
      <c r="Z278" s="4" t="str">
        <f t="shared" si="282"/>
        <v>Myanmar</v>
      </c>
      <c r="AA278" s="4" t="str">
        <f t="shared" si="7"/>
        <v>mww</v>
      </c>
    </row>
    <row r="279">
      <c r="A279" s="3" t="s">
        <v>786</v>
      </c>
      <c r="B279" s="3">
        <v>7.2</v>
      </c>
      <c r="C279" s="19">
        <f>Raw_Data!T279</f>
        <v>42594.05972</v>
      </c>
      <c r="D279" s="3">
        <v>6.0</v>
      </c>
      <c r="E279" s="3">
        <v>5.0</v>
      </c>
      <c r="F279" s="3" t="s">
        <v>109</v>
      </c>
      <c r="G279" s="3">
        <v>1.0</v>
      </c>
      <c r="H279" s="3">
        <v>799.0</v>
      </c>
      <c r="I279" s="3" t="s">
        <v>110</v>
      </c>
      <c r="J279" s="3">
        <v>0.0</v>
      </c>
      <c r="K279" s="3">
        <v>4.823</v>
      </c>
      <c r="L279" s="3">
        <v>14.0</v>
      </c>
      <c r="M279" s="4" t="str">
        <f>Raw_Data!X279</f>
        <v>mww</v>
      </c>
      <c r="N279" s="3">
        <v>16.37</v>
      </c>
      <c r="O279" s="3">
        <v>-22.4765</v>
      </c>
      <c r="P279" s="3">
        <v>173.117</v>
      </c>
      <c r="Q279" s="3" t="s">
        <v>143</v>
      </c>
      <c r="R279" s="4"/>
      <c r="S279" s="4"/>
      <c r="T279" s="4" t="str">
        <f t="shared" si="2"/>
        <v>Valid</v>
      </c>
      <c r="U279" s="4">
        <f t="shared" si="3"/>
        <v>1</v>
      </c>
      <c r="V279" s="4" t="str">
        <f t="shared" si="4"/>
        <v>Unique</v>
      </c>
      <c r="W279" s="4" t="str">
        <f t="shared" si="5"/>
        <v>green</v>
      </c>
      <c r="X279" s="4" t="str">
        <f t="shared" ref="X279:Z279" si="283">IF(Q279="","Unknown",Q279)</f>
        <v>the Loyalty Islands</v>
      </c>
      <c r="Y279" s="4" t="str">
        <f t="shared" si="283"/>
        <v>Unknown</v>
      </c>
      <c r="Z279" s="4" t="str">
        <f t="shared" si="283"/>
        <v>Unknown</v>
      </c>
      <c r="AA279" s="4" t="str">
        <f t="shared" si="7"/>
        <v>mww</v>
      </c>
    </row>
    <row r="280">
      <c r="A280" s="3" t="s">
        <v>787</v>
      </c>
      <c r="B280" s="3">
        <v>7.7</v>
      </c>
      <c r="C280" s="19">
        <f>Raw_Data!T280</f>
        <v>42580.8875</v>
      </c>
      <c r="D280" s="3">
        <v>5.0</v>
      </c>
      <c r="E280" s="3">
        <v>6.0</v>
      </c>
      <c r="F280" s="3" t="s">
        <v>109</v>
      </c>
      <c r="G280" s="3">
        <v>1.0</v>
      </c>
      <c r="H280" s="3">
        <v>971.0</v>
      </c>
      <c r="I280" s="3" t="s">
        <v>110</v>
      </c>
      <c r="J280" s="3">
        <v>0.0</v>
      </c>
      <c r="K280" s="3">
        <v>3.294</v>
      </c>
      <c r="L280" s="3">
        <v>14.0</v>
      </c>
      <c r="M280" s="4" t="str">
        <f>Raw_Data!X280</f>
        <v>mww</v>
      </c>
      <c r="N280" s="3">
        <v>196.0</v>
      </c>
      <c r="O280" s="3">
        <v>18.5429</v>
      </c>
      <c r="P280" s="3">
        <v>145.507</v>
      </c>
      <c r="Q280" s="3" t="s">
        <v>789</v>
      </c>
      <c r="R280" s="4"/>
      <c r="S280" s="4"/>
      <c r="T280" s="4" t="str">
        <f t="shared" si="2"/>
        <v>Valid</v>
      </c>
      <c r="U280" s="4">
        <f t="shared" si="3"/>
        <v>1</v>
      </c>
      <c r="V280" s="4" t="str">
        <f t="shared" si="4"/>
        <v>Unique</v>
      </c>
      <c r="W280" s="4" t="str">
        <f t="shared" si="5"/>
        <v>green</v>
      </c>
      <c r="X280" s="4" t="str">
        <f t="shared" ref="X280:Z280" si="284">IF(Q280="","Unknown",Q280)</f>
        <v>Pagan region, Northern Mariana Islands</v>
      </c>
      <c r="Y280" s="4" t="str">
        <f t="shared" si="284"/>
        <v>Unknown</v>
      </c>
      <c r="Z280" s="4" t="str">
        <f t="shared" si="284"/>
        <v>Unknown</v>
      </c>
      <c r="AA280" s="4" t="str">
        <f t="shared" si="7"/>
        <v>mww</v>
      </c>
    </row>
    <row r="281">
      <c r="A281" s="3" t="s">
        <v>790</v>
      </c>
      <c r="B281" s="3">
        <v>6.6</v>
      </c>
      <c r="C281" s="19">
        <f>Raw_Data!T281</f>
        <v>42522.95556</v>
      </c>
      <c r="D281" s="3">
        <v>4.0</v>
      </c>
      <c r="E281" s="3">
        <v>6.0</v>
      </c>
      <c r="F281" s="3" t="s">
        <v>109</v>
      </c>
      <c r="G281" s="3">
        <v>0.0</v>
      </c>
      <c r="H281" s="3">
        <v>671.0</v>
      </c>
      <c r="I281" s="3" t="s">
        <v>110</v>
      </c>
      <c r="J281" s="3">
        <v>0.0</v>
      </c>
      <c r="K281" s="3">
        <v>2.435</v>
      </c>
      <c r="L281" s="3">
        <v>16.0</v>
      </c>
      <c r="M281" s="4" t="str">
        <f>Raw_Data!X281</f>
        <v>mww</v>
      </c>
      <c r="N281" s="3">
        <v>50.0</v>
      </c>
      <c r="O281" s="3">
        <v>-2.0967</v>
      </c>
      <c r="P281" s="3">
        <v>100.665</v>
      </c>
      <c r="Q281" s="3" t="s">
        <v>791</v>
      </c>
      <c r="R281" s="4"/>
      <c r="S281" s="3" t="s">
        <v>153</v>
      </c>
      <c r="T281" s="4" t="str">
        <f t="shared" si="2"/>
        <v>Valid</v>
      </c>
      <c r="U281" s="4">
        <f t="shared" si="3"/>
        <v>1</v>
      </c>
      <c r="V281" s="4" t="str">
        <f t="shared" si="4"/>
        <v>Unique</v>
      </c>
      <c r="W281" s="4" t="str">
        <f t="shared" si="5"/>
        <v>green</v>
      </c>
      <c r="X281" s="4" t="str">
        <f t="shared" ref="X281:Z281" si="285">IF(Q281="","Unknown",Q281)</f>
        <v>Sungai Penuh, Indonesia</v>
      </c>
      <c r="Y281" s="4" t="str">
        <f t="shared" si="285"/>
        <v>Unknown</v>
      </c>
      <c r="Z281" s="4" t="str">
        <f t="shared" si="285"/>
        <v>Indonesia</v>
      </c>
      <c r="AA281" s="4" t="str">
        <f t="shared" si="7"/>
        <v>mww</v>
      </c>
    </row>
    <row r="282">
      <c r="A282" s="3" t="s">
        <v>792</v>
      </c>
      <c r="B282" s="3">
        <v>7.2</v>
      </c>
      <c r="C282" s="19">
        <f>Raw_Data!T282</f>
        <v>42518.40694</v>
      </c>
      <c r="D282" s="3">
        <v>1.0</v>
      </c>
      <c r="E282" s="3">
        <v>6.0</v>
      </c>
      <c r="F282" s="3" t="s">
        <v>109</v>
      </c>
      <c r="G282" s="3">
        <v>1.0</v>
      </c>
      <c r="H282" s="3">
        <v>798.0</v>
      </c>
      <c r="I282" s="3" t="s">
        <v>110</v>
      </c>
      <c r="J282" s="3">
        <v>0.0</v>
      </c>
      <c r="K282" s="3">
        <v>5.803</v>
      </c>
      <c r="L282" s="3">
        <v>24.0</v>
      </c>
      <c r="M282" s="4" t="str">
        <f>Raw_Data!X282</f>
        <v>mww</v>
      </c>
      <c r="N282" s="3">
        <v>78.0</v>
      </c>
      <c r="O282" s="3">
        <v>-56.2409</v>
      </c>
      <c r="P282" s="3">
        <v>-26.9353</v>
      </c>
      <c r="Q282" s="3" t="s">
        <v>329</v>
      </c>
      <c r="R282" s="4"/>
      <c r="S282" s="4"/>
      <c r="T282" s="4" t="str">
        <f t="shared" si="2"/>
        <v>Valid</v>
      </c>
      <c r="U282" s="4">
        <f t="shared" si="3"/>
        <v>1</v>
      </c>
      <c r="V282" s="4" t="str">
        <f t="shared" si="4"/>
        <v>Unique</v>
      </c>
      <c r="W282" s="4" t="str">
        <f t="shared" si="5"/>
        <v>green</v>
      </c>
      <c r="X282" s="4" t="str">
        <f t="shared" ref="X282:Z282" si="286">IF(Q282="","Unknown",Q282)</f>
        <v>South Sandwich Islands region</v>
      </c>
      <c r="Y282" s="4" t="str">
        <f t="shared" si="286"/>
        <v>Unknown</v>
      </c>
      <c r="Z282" s="4" t="str">
        <f t="shared" si="286"/>
        <v>Unknown</v>
      </c>
      <c r="AA282" s="4" t="str">
        <f t="shared" si="7"/>
        <v>mww</v>
      </c>
    </row>
    <row r="283">
      <c r="A283" s="3" t="s">
        <v>266</v>
      </c>
      <c r="B283" s="3">
        <v>6.9</v>
      </c>
      <c r="C283" s="19">
        <f>Raw_Data!T283</f>
        <v>42518.23472</v>
      </c>
      <c r="D283" s="3">
        <v>3.0</v>
      </c>
      <c r="E283" s="3">
        <v>3.0</v>
      </c>
      <c r="F283" s="3" t="s">
        <v>109</v>
      </c>
      <c r="G283" s="3">
        <v>1.0</v>
      </c>
      <c r="H283" s="3">
        <v>733.0</v>
      </c>
      <c r="I283" s="3" t="s">
        <v>110</v>
      </c>
      <c r="J283" s="3">
        <v>0.0</v>
      </c>
      <c r="K283" s="3">
        <v>5.485</v>
      </c>
      <c r="L283" s="3">
        <v>19.0</v>
      </c>
      <c r="M283" s="4" t="str">
        <f>Raw_Data!X283</f>
        <v>mww</v>
      </c>
      <c r="N283" s="3">
        <v>405.69</v>
      </c>
      <c r="O283" s="3">
        <v>-21.9724</v>
      </c>
      <c r="P283" s="3">
        <v>-178.204</v>
      </c>
      <c r="Q283" s="4"/>
      <c r="R283" s="4"/>
      <c r="S283" s="4"/>
      <c r="T283" s="4" t="str">
        <f t="shared" si="2"/>
        <v>Valid</v>
      </c>
      <c r="U283" s="4">
        <f t="shared" si="3"/>
        <v>1</v>
      </c>
      <c r="V283" s="4" t="str">
        <f t="shared" si="4"/>
        <v>Unique</v>
      </c>
      <c r="W283" s="4" t="str">
        <f t="shared" si="5"/>
        <v>green</v>
      </c>
      <c r="X283" s="4" t="str">
        <f t="shared" ref="X283:Z283" si="287">IF(Q283="","Unknown",Q283)</f>
        <v>Unknown</v>
      </c>
      <c r="Y283" s="4" t="str">
        <f t="shared" si="287"/>
        <v>Unknown</v>
      </c>
      <c r="Z283" s="4" t="str">
        <f t="shared" si="287"/>
        <v>Unknown</v>
      </c>
      <c r="AA283" s="4" t="str">
        <f t="shared" si="7"/>
        <v>mww</v>
      </c>
    </row>
    <row r="284">
      <c r="A284" s="3" t="s">
        <v>795</v>
      </c>
      <c r="B284" s="3">
        <v>6.9</v>
      </c>
      <c r="C284" s="19">
        <f>Raw_Data!T284</f>
        <v>42508.69861</v>
      </c>
      <c r="D284" s="3">
        <v>8.0</v>
      </c>
      <c r="E284" s="3">
        <v>7.0</v>
      </c>
      <c r="F284" s="3" t="s">
        <v>109</v>
      </c>
      <c r="G284" s="3">
        <v>1.0</v>
      </c>
      <c r="H284" s="3">
        <v>780.0</v>
      </c>
      <c r="I284" s="3" t="s">
        <v>110</v>
      </c>
      <c r="J284" s="3">
        <v>0.0</v>
      </c>
      <c r="K284" s="3">
        <v>1.192</v>
      </c>
      <c r="L284" s="3">
        <v>17.0</v>
      </c>
      <c r="M284" s="4" t="str">
        <f>Raw_Data!X284</f>
        <v>mww</v>
      </c>
      <c r="N284" s="3">
        <v>29.95</v>
      </c>
      <c r="O284" s="3">
        <v>0.4947</v>
      </c>
      <c r="P284" s="3">
        <v>-79.616</v>
      </c>
      <c r="Q284" s="3" t="s">
        <v>797</v>
      </c>
      <c r="R284" s="3" t="s">
        <v>121</v>
      </c>
      <c r="S284" s="3" t="s">
        <v>179</v>
      </c>
      <c r="T284" s="4" t="str">
        <f t="shared" si="2"/>
        <v>Valid</v>
      </c>
      <c r="U284" s="4">
        <f t="shared" si="3"/>
        <v>1</v>
      </c>
      <c r="V284" s="4" t="str">
        <f t="shared" si="4"/>
        <v>Unique</v>
      </c>
      <c r="W284" s="4" t="str">
        <f t="shared" si="5"/>
        <v>green</v>
      </c>
      <c r="X284" s="4" t="str">
        <f t="shared" ref="X284:Z284" si="288">IF(Q284="","Unknown",Q284)</f>
        <v>Rosa Zarate, Ecuador</v>
      </c>
      <c r="Y284" s="4" t="str">
        <f t="shared" si="288"/>
        <v>South America</v>
      </c>
      <c r="Z284" s="4" t="str">
        <f t="shared" si="288"/>
        <v>Ecuador</v>
      </c>
      <c r="AA284" s="4" t="str">
        <f t="shared" si="7"/>
        <v>mww</v>
      </c>
    </row>
    <row r="285">
      <c r="A285" s="3" t="s">
        <v>798</v>
      </c>
      <c r="B285" s="3">
        <v>6.7</v>
      </c>
      <c r="C285" s="19">
        <f>Raw_Data!T285</f>
        <v>42508.33125</v>
      </c>
      <c r="D285" s="3">
        <v>5.0</v>
      </c>
      <c r="E285" s="3">
        <v>7.0</v>
      </c>
      <c r="F285" s="3" t="s">
        <v>109</v>
      </c>
      <c r="G285" s="3">
        <v>1.0</v>
      </c>
      <c r="H285" s="3">
        <v>744.0</v>
      </c>
      <c r="I285" s="3" t="s">
        <v>110</v>
      </c>
      <c r="J285" s="3">
        <v>0.0</v>
      </c>
      <c r="K285" s="3">
        <v>1.352</v>
      </c>
      <c r="L285" s="3">
        <v>21.0</v>
      </c>
      <c r="M285" s="4" t="str">
        <f>Raw_Data!X285</f>
        <v>mww</v>
      </c>
      <c r="N285" s="3">
        <v>16.0</v>
      </c>
      <c r="O285" s="3">
        <v>0.4261</v>
      </c>
      <c r="P285" s="3">
        <v>-79.7899</v>
      </c>
      <c r="Q285" s="3" t="s">
        <v>800</v>
      </c>
      <c r="R285" s="3" t="s">
        <v>121</v>
      </c>
      <c r="S285" s="3" t="s">
        <v>179</v>
      </c>
      <c r="T285" s="4" t="str">
        <f t="shared" si="2"/>
        <v>Valid</v>
      </c>
      <c r="U285" s="4">
        <f t="shared" si="3"/>
        <v>1</v>
      </c>
      <c r="V285" s="4" t="str">
        <f t="shared" si="4"/>
        <v>Unique</v>
      </c>
      <c r="W285" s="4" t="str">
        <f t="shared" si="5"/>
        <v>green</v>
      </c>
      <c r="X285" s="4" t="str">
        <f t="shared" ref="X285:Z285" si="289">IF(Q285="","Unknown",Q285)</f>
        <v>Muisne, Ecuador</v>
      </c>
      <c r="Y285" s="4" t="str">
        <f t="shared" si="289"/>
        <v>South America</v>
      </c>
      <c r="Z285" s="4" t="str">
        <f t="shared" si="289"/>
        <v>Ecuador</v>
      </c>
      <c r="AA285" s="4" t="str">
        <f t="shared" si="7"/>
        <v>mww</v>
      </c>
    </row>
    <row r="286">
      <c r="A286" s="3" t="s">
        <v>801</v>
      </c>
      <c r="B286" s="3">
        <v>7.0</v>
      </c>
      <c r="C286" s="19">
        <f>Raw_Data!T286</f>
        <v>42488.81458</v>
      </c>
      <c r="D286" s="3">
        <v>7.0</v>
      </c>
      <c r="E286" s="3">
        <v>7.0</v>
      </c>
      <c r="F286" s="3" t="s">
        <v>109</v>
      </c>
      <c r="G286" s="3">
        <v>1.0</v>
      </c>
      <c r="H286" s="3">
        <v>755.0</v>
      </c>
      <c r="I286" s="3" t="s">
        <v>110</v>
      </c>
      <c r="J286" s="3">
        <v>0.0</v>
      </c>
      <c r="K286" s="3">
        <v>0.616</v>
      </c>
      <c r="L286" s="3">
        <v>14.0</v>
      </c>
      <c r="M286" s="4" t="str">
        <f>Raw_Data!X286</f>
        <v>mww</v>
      </c>
      <c r="N286" s="3">
        <v>24.0</v>
      </c>
      <c r="O286" s="3">
        <v>-16.0429</v>
      </c>
      <c r="P286" s="3">
        <v>167.379</v>
      </c>
      <c r="Q286" s="3" t="s">
        <v>803</v>
      </c>
      <c r="R286" s="4"/>
      <c r="S286" s="3" t="s">
        <v>113</v>
      </c>
      <c r="T286" s="4" t="str">
        <f t="shared" si="2"/>
        <v>Valid</v>
      </c>
      <c r="U286" s="4">
        <f t="shared" si="3"/>
        <v>1</v>
      </c>
      <c r="V286" s="4" t="str">
        <f t="shared" si="4"/>
        <v>Unique</v>
      </c>
      <c r="W286" s="4" t="str">
        <f t="shared" si="5"/>
        <v>green</v>
      </c>
      <c r="X286" s="4" t="str">
        <f t="shared" ref="X286:Z286" si="290">IF(Q286="","Unknown",Q286)</f>
        <v>Norsup, Vanuatu</v>
      </c>
      <c r="Y286" s="4" t="str">
        <f t="shared" si="290"/>
        <v>Unknown</v>
      </c>
      <c r="Z286" s="4" t="str">
        <f t="shared" si="290"/>
        <v>Vanuatu</v>
      </c>
      <c r="AA286" s="4" t="str">
        <f t="shared" si="7"/>
        <v>mww</v>
      </c>
    </row>
    <row r="287">
      <c r="A287" s="3" t="s">
        <v>804</v>
      </c>
      <c r="B287" s="3">
        <v>7.8</v>
      </c>
      <c r="C287" s="19">
        <f>Raw_Data!T287</f>
        <v>42476.99861</v>
      </c>
      <c r="D287" s="3">
        <v>9.0</v>
      </c>
      <c r="E287" s="3">
        <v>9.0</v>
      </c>
      <c r="F287" s="3" t="s">
        <v>178</v>
      </c>
      <c r="G287" s="3">
        <v>1.0</v>
      </c>
      <c r="H287" s="3">
        <v>1163.0</v>
      </c>
      <c r="I287" s="3" t="s">
        <v>110</v>
      </c>
      <c r="J287" s="3">
        <v>0.0</v>
      </c>
      <c r="K287" s="3">
        <v>1.44</v>
      </c>
      <c r="L287" s="3">
        <v>15.0</v>
      </c>
      <c r="M287" s="4" t="str">
        <f>Raw_Data!X287</f>
        <v>mww</v>
      </c>
      <c r="N287" s="3">
        <v>20.59</v>
      </c>
      <c r="O287" s="3">
        <v>0.3819</v>
      </c>
      <c r="P287" s="3">
        <v>-79.9218</v>
      </c>
      <c r="Q287" s="3" t="s">
        <v>800</v>
      </c>
      <c r="R287" s="3" t="s">
        <v>121</v>
      </c>
      <c r="S287" s="3" t="s">
        <v>179</v>
      </c>
      <c r="T287" s="4" t="str">
        <f t="shared" si="2"/>
        <v>Valid</v>
      </c>
      <c r="U287" s="4">
        <f t="shared" si="3"/>
        <v>1</v>
      </c>
      <c r="V287" s="4" t="str">
        <f t="shared" si="4"/>
        <v>Unique</v>
      </c>
      <c r="W287" s="4" t="str">
        <f t="shared" si="5"/>
        <v>orange</v>
      </c>
      <c r="X287" s="4" t="str">
        <f t="shared" ref="X287:Z287" si="291">IF(Q287="","Unknown",Q287)</f>
        <v>Muisne, Ecuador</v>
      </c>
      <c r="Y287" s="4" t="str">
        <f t="shared" si="291"/>
        <v>South America</v>
      </c>
      <c r="Z287" s="4" t="str">
        <f t="shared" si="291"/>
        <v>Ecuador</v>
      </c>
      <c r="AA287" s="4" t="str">
        <f t="shared" si="7"/>
        <v>mww</v>
      </c>
    </row>
    <row r="288">
      <c r="A288" s="3" t="s">
        <v>806</v>
      </c>
      <c r="B288" s="3">
        <v>7.0</v>
      </c>
      <c r="C288" s="19">
        <f>Raw_Data!T288</f>
        <v>42475.68403</v>
      </c>
      <c r="D288" s="3">
        <v>9.0</v>
      </c>
      <c r="E288" s="3">
        <v>9.0</v>
      </c>
      <c r="F288" s="3" t="s">
        <v>198</v>
      </c>
      <c r="G288" s="3">
        <v>1.0</v>
      </c>
      <c r="H288" s="3">
        <v>2074.0</v>
      </c>
      <c r="I288" s="3" t="s">
        <v>110</v>
      </c>
      <c r="J288" s="3">
        <v>0.0</v>
      </c>
      <c r="K288" s="3">
        <v>0.349</v>
      </c>
      <c r="L288" s="3">
        <v>32.0</v>
      </c>
      <c r="M288" s="4" t="str">
        <f>Raw_Data!X288</f>
        <v>mww</v>
      </c>
      <c r="N288" s="3">
        <v>10.0</v>
      </c>
      <c r="O288" s="3">
        <v>32.7906</v>
      </c>
      <c r="P288" s="3">
        <v>130.754</v>
      </c>
      <c r="Q288" s="3" t="s">
        <v>808</v>
      </c>
      <c r="R288" s="3" t="s">
        <v>164</v>
      </c>
      <c r="S288" s="3" t="s">
        <v>371</v>
      </c>
      <c r="T288" s="4" t="str">
        <f t="shared" si="2"/>
        <v>Valid</v>
      </c>
      <c r="U288" s="4">
        <f t="shared" si="3"/>
        <v>1</v>
      </c>
      <c r="V288" s="4" t="str">
        <f t="shared" si="4"/>
        <v>Unique</v>
      </c>
      <c r="W288" s="4" t="str">
        <f t="shared" si="5"/>
        <v>red</v>
      </c>
      <c r="X288" s="4" t="str">
        <f t="shared" ref="X288:Z288" si="292">IF(Q288="","Unknown",Q288)</f>
        <v>Kumamoto, Japan</v>
      </c>
      <c r="Y288" s="4" t="str">
        <f t="shared" si="292"/>
        <v>Asia</v>
      </c>
      <c r="Z288" s="4" t="str">
        <f t="shared" si="292"/>
        <v>Japan</v>
      </c>
      <c r="AA288" s="4" t="str">
        <f t="shared" si="7"/>
        <v>mww</v>
      </c>
    </row>
    <row r="289">
      <c r="A289" s="3" t="s">
        <v>809</v>
      </c>
      <c r="B289" s="3">
        <v>6.9</v>
      </c>
      <c r="C289" s="19">
        <f>Raw_Data!T289</f>
        <v>42473.57986</v>
      </c>
      <c r="D289" s="3">
        <v>6.0</v>
      </c>
      <c r="E289" s="3">
        <v>6.0</v>
      </c>
      <c r="F289" s="3" t="s">
        <v>116</v>
      </c>
      <c r="G289" s="3">
        <v>0.0</v>
      </c>
      <c r="H289" s="3">
        <v>903.0</v>
      </c>
      <c r="I289" s="3" t="s">
        <v>110</v>
      </c>
      <c r="J289" s="3">
        <v>0.0</v>
      </c>
      <c r="K289" s="3">
        <v>3.001</v>
      </c>
      <c r="L289" s="3">
        <v>14.0</v>
      </c>
      <c r="M289" s="4" t="str">
        <f>Raw_Data!X289</f>
        <v>mww</v>
      </c>
      <c r="N289" s="3">
        <v>136.0</v>
      </c>
      <c r="O289" s="3">
        <v>23.0944</v>
      </c>
      <c r="P289" s="3">
        <v>94.8654</v>
      </c>
      <c r="Q289" s="3" t="s">
        <v>811</v>
      </c>
      <c r="R289" s="3" t="s">
        <v>164</v>
      </c>
      <c r="S289" s="3" t="s">
        <v>785</v>
      </c>
      <c r="T289" s="4" t="str">
        <f t="shared" si="2"/>
        <v>Valid</v>
      </c>
      <c r="U289" s="4">
        <f t="shared" si="3"/>
        <v>1</v>
      </c>
      <c r="V289" s="4" t="str">
        <f t="shared" si="4"/>
        <v>Unique</v>
      </c>
      <c r="W289" s="4" t="str">
        <f t="shared" si="5"/>
        <v>yellow</v>
      </c>
      <c r="X289" s="4" t="str">
        <f t="shared" ref="X289:Z289" si="293">IF(Q289="","Unknown",Q289)</f>
        <v>Mawlaik, Myanmar</v>
      </c>
      <c r="Y289" s="4" t="str">
        <f t="shared" si="293"/>
        <v>Asia</v>
      </c>
      <c r="Z289" s="4" t="str">
        <f t="shared" si="293"/>
        <v>Myanmar</v>
      </c>
      <c r="AA289" s="4" t="str">
        <f t="shared" si="7"/>
        <v>mww</v>
      </c>
    </row>
    <row r="290">
      <c r="A290" s="3" t="s">
        <v>812</v>
      </c>
      <c r="B290" s="3">
        <v>6.6</v>
      </c>
      <c r="C290" s="19">
        <f>Raw_Data!T290</f>
        <v>42470.43611</v>
      </c>
      <c r="D290" s="3">
        <v>6.0</v>
      </c>
      <c r="E290" s="3">
        <v>4.0</v>
      </c>
      <c r="F290" s="3" t="s">
        <v>109</v>
      </c>
      <c r="G290" s="3">
        <v>0.0</v>
      </c>
      <c r="H290" s="3">
        <v>738.0</v>
      </c>
      <c r="I290" s="3" t="s">
        <v>110</v>
      </c>
      <c r="J290" s="3">
        <v>0.0</v>
      </c>
      <c r="K290" s="3">
        <v>0.789</v>
      </c>
      <c r="L290" s="3">
        <v>17.0</v>
      </c>
      <c r="M290" s="4" t="str">
        <f>Raw_Data!X290</f>
        <v>mww</v>
      </c>
      <c r="N290" s="3">
        <v>212.0</v>
      </c>
      <c r="O290" s="3">
        <v>36.4725</v>
      </c>
      <c r="P290" s="3">
        <v>71.1311</v>
      </c>
      <c r="Q290" s="3" t="s">
        <v>813</v>
      </c>
      <c r="R290" s="3" t="s">
        <v>164</v>
      </c>
      <c r="S290" s="3" t="s">
        <v>175</v>
      </c>
      <c r="T290" s="4" t="str">
        <f t="shared" si="2"/>
        <v>Valid</v>
      </c>
      <c r="U290" s="4">
        <f t="shared" si="3"/>
        <v>1</v>
      </c>
      <c r="V290" s="4" t="str">
        <f t="shared" si="4"/>
        <v>Unique</v>
      </c>
      <c r="W290" s="4" t="str">
        <f t="shared" si="5"/>
        <v>green</v>
      </c>
      <c r="X290" s="4" t="str">
        <f t="shared" ref="X290:Z290" si="294">IF(Q290="","Unknown",Q290)</f>
        <v>Ashk?sham, Afghanistan</v>
      </c>
      <c r="Y290" s="4" t="str">
        <f t="shared" si="294"/>
        <v>Asia</v>
      </c>
      <c r="Z290" s="4" t="str">
        <f t="shared" si="294"/>
        <v>Afghanistan</v>
      </c>
      <c r="AA290" s="4" t="str">
        <f t="shared" si="7"/>
        <v>mww</v>
      </c>
    </row>
    <row r="291">
      <c r="A291" s="3" t="s">
        <v>814</v>
      </c>
      <c r="B291" s="3">
        <v>6.7</v>
      </c>
      <c r="C291" s="19">
        <f>Raw_Data!T291</f>
        <v>42467.14722</v>
      </c>
      <c r="D291" s="3">
        <v>7.0</v>
      </c>
      <c r="E291" s="3">
        <v>5.0</v>
      </c>
      <c r="F291" s="3" t="s">
        <v>109</v>
      </c>
      <c r="G291" s="3">
        <v>1.0</v>
      </c>
      <c r="H291" s="3">
        <v>692.0</v>
      </c>
      <c r="I291" s="3" t="s">
        <v>110</v>
      </c>
      <c r="J291" s="3">
        <v>0.0</v>
      </c>
      <c r="K291" s="3">
        <v>6.787</v>
      </c>
      <c r="L291" s="3">
        <v>25.0</v>
      </c>
      <c r="M291" s="4" t="str">
        <f>Raw_Data!X291</f>
        <v>mww</v>
      </c>
      <c r="N291" s="3">
        <v>27.59</v>
      </c>
      <c r="O291" s="3">
        <v>-13.9805</v>
      </c>
      <c r="P291" s="3">
        <v>166.594</v>
      </c>
      <c r="Q291" s="3" t="s">
        <v>112</v>
      </c>
      <c r="R291" s="4"/>
      <c r="S291" s="3" t="s">
        <v>113</v>
      </c>
      <c r="T291" s="4" t="str">
        <f t="shared" si="2"/>
        <v>Valid</v>
      </c>
      <c r="U291" s="4">
        <f t="shared" si="3"/>
        <v>1</v>
      </c>
      <c r="V291" s="4" t="str">
        <f t="shared" si="4"/>
        <v>Unique</v>
      </c>
      <c r="W291" s="4" t="str">
        <f t="shared" si="5"/>
        <v>green</v>
      </c>
      <c r="X291" s="4" t="str">
        <f t="shared" ref="X291:Z291" si="295">IF(Q291="","Unknown",Q291)</f>
        <v>Sola, Vanuatu</v>
      </c>
      <c r="Y291" s="4" t="str">
        <f t="shared" si="295"/>
        <v>Unknown</v>
      </c>
      <c r="Z291" s="4" t="str">
        <f t="shared" si="295"/>
        <v>Vanuatu</v>
      </c>
      <c r="AA291" s="4" t="str">
        <f t="shared" si="7"/>
        <v>mww</v>
      </c>
    </row>
    <row r="292">
      <c r="A292" s="3" t="s">
        <v>815</v>
      </c>
      <c r="B292" s="3">
        <v>6.7</v>
      </c>
      <c r="C292" s="19">
        <f>Raw_Data!T292</f>
        <v>42466.29028</v>
      </c>
      <c r="D292" s="3">
        <v>7.0</v>
      </c>
      <c r="E292" s="3">
        <v>6.0</v>
      </c>
      <c r="F292" s="3" t="s">
        <v>109</v>
      </c>
      <c r="G292" s="3">
        <v>1.0</v>
      </c>
      <c r="H292" s="3">
        <v>691.0</v>
      </c>
      <c r="I292" s="3" t="s">
        <v>110</v>
      </c>
      <c r="J292" s="3">
        <v>0.0</v>
      </c>
      <c r="K292" s="3">
        <v>6.697</v>
      </c>
      <c r="L292" s="3">
        <v>19.0</v>
      </c>
      <c r="M292" s="4" t="str">
        <f>Raw_Data!X292</f>
        <v>mww</v>
      </c>
      <c r="N292" s="3">
        <v>24.0</v>
      </c>
      <c r="O292" s="3">
        <v>-14.0683</v>
      </c>
      <c r="P292" s="3">
        <v>166.624</v>
      </c>
      <c r="Q292" s="3" t="s">
        <v>112</v>
      </c>
      <c r="R292" s="4"/>
      <c r="S292" s="3" t="s">
        <v>113</v>
      </c>
      <c r="T292" s="4" t="str">
        <f t="shared" si="2"/>
        <v>Valid</v>
      </c>
      <c r="U292" s="4">
        <f t="shared" si="3"/>
        <v>1</v>
      </c>
      <c r="V292" s="4" t="str">
        <f t="shared" si="4"/>
        <v>Unique</v>
      </c>
      <c r="W292" s="4" t="str">
        <f t="shared" si="5"/>
        <v>green</v>
      </c>
      <c r="X292" s="4" t="str">
        <f t="shared" ref="X292:Z292" si="296">IF(Q292="","Unknown",Q292)</f>
        <v>Sola, Vanuatu</v>
      </c>
      <c r="Y292" s="4" t="str">
        <f t="shared" si="296"/>
        <v>Unknown</v>
      </c>
      <c r="Z292" s="4" t="str">
        <f t="shared" si="296"/>
        <v>Vanuatu</v>
      </c>
      <c r="AA292" s="4" t="str">
        <f t="shared" si="7"/>
        <v>mww</v>
      </c>
    </row>
    <row r="293">
      <c r="A293" s="3" t="s">
        <v>816</v>
      </c>
      <c r="B293" s="3">
        <v>6.9</v>
      </c>
      <c r="C293" s="19">
        <f>Raw_Data!T293</f>
        <v>42463.34931</v>
      </c>
      <c r="D293" s="3">
        <v>7.0</v>
      </c>
      <c r="E293" s="3">
        <v>6.0</v>
      </c>
      <c r="F293" s="3" t="s">
        <v>109</v>
      </c>
      <c r="G293" s="3">
        <v>1.0</v>
      </c>
      <c r="H293" s="3">
        <v>734.0</v>
      </c>
      <c r="I293" s="3" t="s">
        <v>110</v>
      </c>
      <c r="J293" s="3">
        <v>0.0</v>
      </c>
      <c r="K293" s="3">
        <v>1.166</v>
      </c>
      <c r="L293" s="3">
        <v>25.0</v>
      </c>
      <c r="M293" s="4" t="str">
        <f>Raw_Data!X293</f>
        <v>mww</v>
      </c>
      <c r="N293" s="3">
        <v>26.0</v>
      </c>
      <c r="O293" s="3">
        <v>-14.3235</v>
      </c>
      <c r="P293" s="3">
        <v>166.855</v>
      </c>
      <c r="Q293" s="3" t="s">
        <v>185</v>
      </c>
      <c r="R293" s="4"/>
      <c r="S293" s="3" t="s">
        <v>113</v>
      </c>
      <c r="T293" s="4" t="str">
        <f t="shared" si="2"/>
        <v>Valid</v>
      </c>
      <c r="U293" s="4">
        <f t="shared" si="3"/>
        <v>1</v>
      </c>
      <c r="V293" s="4" t="str">
        <f t="shared" si="4"/>
        <v>Unique</v>
      </c>
      <c r="W293" s="4" t="str">
        <f t="shared" si="5"/>
        <v>green</v>
      </c>
      <c r="X293" s="4" t="str">
        <f t="shared" ref="X293:Z293" si="297">IF(Q293="","Unknown",Q293)</f>
        <v>Port-Olry, Vanuatu</v>
      </c>
      <c r="Y293" s="4" t="str">
        <f t="shared" si="297"/>
        <v>Unknown</v>
      </c>
      <c r="Z293" s="4" t="str">
        <f t="shared" si="297"/>
        <v>Vanuatu</v>
      </c>
      <c r="AA293" s="4" t="str">
        <f t="shared" si="7"/>
        <v>mww</v>
      </c>
    </row>
    <row r="294">
      <c r="A294" s="3" t="s">
        <v>817</v>
      </c>
      <c r="B294" s="3">
        <v>7.8</v>
      </c>
      <c r="C294" s="19">
        <f>Raw_Data!T294</f>
        <v>42431.53403</v>
      </c>
      <c r="D294" s="3">
        <v>4.0</v>
      </c>
      <c r="E294" s="3">
        <v>3.0</v>
      </c>
      <c r="F294" s="3" t="s">
        <v>109</v>
      </c>
      <c r="G294" s="3">
        <v>0.0</v>
      </c>
      <c r="H294" s="3">
        <v>948.0</v>
      </c>
      <c r="I294" s="3" t="s">
        <v>110</v>
      </c>
      <c r="J294" s="3">
        <v>0.0</v>
      </c>
      <c r="K294" s="3">
        <v>7.009</v>
      </c>
      <c r="L294" s="3">
        <v>20.0</v>
      </c>
      <c r="M294" s="4" t="str">
        <f>Raw_Data!X294</f>
        <v>mww</v>
      </c>
      <c r="N294" s="3">
        <v>24.0</v>
      </c>
      <c r="O294" s="3">
        <v>-4.9521</v>
      </c>
      <c r="P294" s="3">
        <v>94.3299</v>
      </c>
      <c r="Q294" s="3" t="s">
        <v>818</v>
      </c>
      <c r="R294" s="4"/>
      <c r="S294" s="4"/>
      <c r="T294" s="4" t="str">
        <f t="shared" si="2"/>
        <v>Valid</v>
      </c>
      <c r="U294" s="4">
        <f t="shared" si="3"/>
        <v>1</v>
      </c>
      <c r="V294" s="4" t="str">
        <f t="shared" si="4"/>
        <v>Unique</v>
      </c>
      <c r="W294" s="4" t="str">
        <f t="shared" si="5"/>
        <v>green</v>
      </c>
      <c r="X294" s="4" t="str">
        <f t="shared" ref="X294:Z294" si="298">IF(Q294="","Unknown",Q294)</f>
        <v>Sumatra, Indonesia</v>
      </c>
      <c r="Y294" s="4" t="str">
        <f t="shared" si="298"/>
        <v>Unknown</v>
      </c>
      <c r="Z294" s="4" t="str">
        <f t="shared" si="298"/>
        <v>Unknown</v>
      </c>
      <c r="AA294" s="4" t="str">
        <f t="shared" si="7"/>
        <v>mww</v>
      </c>
    </row>
    <row r="295">
      <c r="A295" s="3" t="s">
        <v>819</v>
      </c>
      <c r="B295" s="3">
        <v>7.2</v>
      </c>
      <c r="C295" s="19">
        <f>Raw_Data!T295</f>
        <v>42399.14236</v>
      </c>
      <c r="D295" s="3">
        <v>3.0</v>
      </c>
      <c r="E295" s="3">
        <v>7.0</v>
      </c>
      <c r="F295" s="3" t="s">
        <v>109</v>
      </c>
      <c r="G295" s="3">
        <v>1.0</v>
      </c>
      <c r="H295" s="3">
        <v>799.0</v>
      </c>
      <c r="I295" s="3" t="s">
        <v>110</v>
      </c>
      <c r="J295" s="3">
        <v>0.0</v>
      </c>
      <c r="K295" s="3">
        <v>0.958</v>
      </c>
      <c r="L295" s="3">
        <v>17.0</v>
      </c>
      <c r="M295" s="4" t="str">
        <f>Raw_Data!X295</f>
        <v>mww</v>
      </c>
      <c r="N295" s="3">
        <v>177.0</v>
      </c>
      <c r="O295" s="3">
        <v>53.9776</v>
      </c>
      <c r="P295" s="3">
        <v>158.546</v>
      </c>
      <c r="Q295" s="3" t="s">
        <v>821</v>
      </c>
      <c r="R295" s="3" t="s">
        <v>164</v>
      </c>
      <c r="S295" s="3" t="s">
        <v>464</v>
      </c>
      <c r="T295" s="4" t="str">
        <f t="shared" si="2"/>
        <v>Valid</v>
      </c>
      <c r="U295" s="4">
        <f t="shared" si="3"/>
        <v>1</v>
      </c>
      <c r="V295" s="4" t="str">
        <f t="shared" si="4"/>
        <v>Unique</v>
      </c>
      <c r="W295" s="4" t="str">
        <f t="shared" si="5"/>
        <v>green</v>
      </c>
      <c r="X295" s="4" t="str">
        <f t="shared" ref="X295:Z295" si="299">IF(Q295="","Unknown",Q295)</f>
        <v>Mil’kovo, Russia</v>
      </c>
      <c r="Y295" s="4" t="str">
        <f t="shared" si="299"/>
        <v>Asia</v>
      </c>
      <c r="Z295" s="4" t="str">
        <f t="shared" si="299"/>
        <v>Russia</v>
      </c>
      <c r="AA295" s="4" t="str">
        <f t="shared" si="7"/>
        <v>mww</v>
      </c>
    </row>
    <row r="296">
      <c r="A296" s="3" t="s">
        <v>822</v>
      </c>
      <c r="B296" s="3">
        <v>7.1</v>
      </c>
      <c r="C296" s="19">
        <f>Raw_Data!T296</f>
        <v>42393.4375</v>
      </c>
      <c r="D296" s="3">
        <v>7.0</v>
      </c>
      <c r="E296" s="3">
        <v>7.0</v>
      </c>
      <c r="F296" s="3" t="s">
        <v>109</v>
      </c>
      <c r="G296" s="3">
        <v>1.0</v>
      </c>
      <c r="H296" s="3">
        <v>1496.0</v>
      </c>
      <c r="I296" s="3" t="s">
        <v>316</v>
      </c>
      <c r="J296" s="3">
        <v>0.0</v>
      </c>
      <c r="K296" s="3">
        <v>0.0</v>
      </c>
      <c r="L296" s="3">
        <v>0.0</v>
      </c>
      <c r="M296" s="4" t="str">
        <f>Raw_Data!X296</f>
        <v>mw</v>
      </c>
      <c r="N296" s="3">
        <v>125.6</v>
      </c>
      <c r="O296" s="3">
        <v>59.6204</v>
      </c>
      <c r="P296" s="3">
        <v>-153.339</v>
      </c>
      <c r="Q296" s="3" t="s">
        <v>824</v>
      </c>
      <c r="R296" s="3" t="s">
        <v>233</v>
      </c>
      <c r="S296" s="3" t="s">
        <v>318</v>
      </c>
      <c r="T296" s="4" t="str">
        <f t="shared" si="2"/>
        <v>Valid</v>
      </c>
      <c r="U296" s="4">
        <f t="shared" si="3"/>
        <v>1</v>
      </c>
      <c r="V296" s="4" t="str">
        <f t="shared" si="4"/>
        <v>Unique</v>
      </c>
      <c r="W296" s="4" t="str">
        <f t="shared" si="5"/>
        <v>green</v>
      </c>
      <c r="X296" s="4" t="str">
        <f t="shared" ref="X296:Z296" si="300">IF(Q296="","Unknown",Q296)</f>
        <v>Pedro Bay, Alaska</v>
      </c>
      <c r="Y296" s="4" t="str">
        <f t="shared" si="300"/>
        <v>North America</v>
      </c>
      <c r="Z296" s="4" t="str">
        <f t="shared" si="300"/>
        <v>United States of America</v>
      </c>
      <c r="AA296" s="4" t="str">
        <f t="shared" si="7"/>
        <v>mw</v>
      </c>
    </row>
    <row r="297">
      <c r="A297" s="3" t="s">
        <v>825</v>
      </c>
      <c r="B297" s="3">
        <v>6.6</v>
      </c>
      <c r="C297" s="19">
        <f>Raw_Data!T297</f>
        <v>42390.75417</v>
      </c>
      <c r="D297" s="3">
        <v>3.0</v>
      </c>
      <c r="E297" s="3">
        <v>4.0</v>
      </c>
      <c r="F297" s="3" t="s">
        <v>109</v>
      </c>
      <c r="G297" s="3">
        <v>1.0</v>
      </c>
      <c r="H297" s="3">
        <v>673.0</v>
      </c>
      <c r="I297" s="3" t="s">
        <v>110</v>
      </c>
      <c r="J297" s="3">
        <v>0.0</v>
      </c>
      <c r="K297" s="3">
        <v>2.413</v>
      </c>
      <c r="L297" s="3">
        <v>74.0</v>
      </c>
      <c r="M297" s="4" t="str">
        <f>Raw_Data!X297</f>
        <v>mww</v>
      </c>
      <c r="N297" s="3">
        <v>10.0</v>
      </c>
      <c r="O297" s="3">
        <v>18.8239</v>
      </c>
      <c r="P297" s="3">
        <v>-106.934</v>
      </c>
      <c r="Q297" s="3" t="s">
        <v>827</v>
      </c>
      <c r="R297" s="4"/>
      <c r="S297" s="4"/>
      <c r="T297" s="4" t="str">
        <f t="shared" si="2"/>
        <v>Valid</v>
      </c>
      <c r="U297" s="4">
        <f t="shared" si="3"/>
        <v>1</v>
      </c>
      <c r="V297" s="4" t="str">
        <f t="shared" si="4"/>
        <v>Unique</v>
      </c>
      <c r="W297" s="4" t="str">
        <f t="shared" si="5"/>
        <v>green</v>
      </c>
      <c r="X297" s="4" t="str">
        <f t="shared" ref="X297:Z297" si="301">IF(Q297="","Unknown",Q297)</f>
        <v>La Cruz de Loreto, Mexico</v>
      </c>
      <c r="Y297" s="4" t="str">
        <f t="shared" si="301"/>
        <v>Unknown</v>
      </c>
      <c r="Z297" s="4" t="str">
        <f t="shared" si="301"/>
        <v>Unknown</v>
      </c>
      <c r="AA297" s="4" t="str">
        <f t="shared" si="7"/>
        <v>mww</v>
      </c>
    </row>
    <row r="298">
      <c r="A298" s="3" t="s">
        <v>828</v>
      </c>
      <c r="B298" s="3">
        <v>6.7</v>
      </c>
      <c r="C298" s="19">
        <f>Raw_Data!T298</f>
        <v>42383.14236</v>
      </c>
      <c r="D298" s="3">
        <v>5.0</v>
      </c>
      <c r="E298" s="3">
        <v>6.0</v>
      </c>
      <c r="F298" s="3" t="s">
        <v>109</v>
      </c>
      <c r="G298" s="3">
        <v>1.0</v>
      </c>
      <c r="H298" s="3">
        <v>717.0</v>
      </c>
      <c r="I298" s="3" t="s">
        <v>110</v>
      </c>
      <c r="J298" s="3">
        <v>0.0</v>
      </c>
      <c r="K298" s="3">
        <v>0.281</v>
      </c>
      <c r="L298" s="3">
        <v>22.0</v>
      </c>
      <c r="M298" s="4" t="str">
        <f>Raw_Data!X298</f>
        <v>mww</v>
      </c>
      <c r="N298" s="3">
        <v>46.0</v>
      </c>
      <c r="O298" s="3">
        <v>41.9723</v>
      </c>
      <c r="P298" s="3">
        <v>142.781</v>
      </c>
      <c r="Q298" s="3" t="s">
        <v>830</v>
      </c>
      <c r="R298" s="3" t="s">
        <v>164</v>
      </c>
      <c r="S298" s="3" t="s">
        <v>371</v>
      </c>
      <c r="T298" s="4" t="str">
        <f t="shared" si="2"/>
        <v>Valid</v>
      </c>
      <c r="U298" s="4">
        <f t="shared" si="3"/>
        <v>1</v>
      </c>
      <c r="V298" s="4" t="str">
        <f t="shared" si="4"/>
        <v>Unique</v>
      </c>
      <c r="W298" s="4" t="str">
        <f t="shared" si="5"/>
        <v>green</v>
      </c>
      <c r="X298" s="4" t="str">
        <f t="shared" ref="X298:Z298" si="302">IF(Q298="","Unknown",Q298)</f>
        <v>Shizunai-furukawach?, Japan</v>
      </c>
      <c r="Y298" s="4" t="str">
        <f t="shared" si="302"/>
        <v>Asia</v>
      </c>
      <c r="Z298" s="4" t="str">
        <f t="shared" si="302"/>
        <v>Japan</v>
      </c>
      <c r="AA298" s="4" t="str">
        <f t="shared" si="7"/>
        <v>mww</v>
      </c>
    </row>
    <row r="299">
      <c r="A299" s="3" t="s">
        <v>831</v>
      </c>
      <c r="B299" s="3">
        <v>6.5</v>
      </c>
      <c r="C299" s="19">
        <f>Raw_Data!T299</f>
        <v>42380.69306</v>
      </c>
      <c r="D299" s="3">
        <v>3.0</v>
      </c>
      <c r="E299" s="3">
        <v>6.0</v>
      </c>
      <c r="F299" s="3" t="s">
        <v>109</v>
      </c>
      <c r="G299" s="3">
        <v>1.0</v>
      </c>
      <c r="H299" s="3">
        <v>651.0</v>
      </c>
      <c r="I299" s="3" t="s">
        <v>110</v>
      </c>
      <c r="J299" s="3">
        <v>0.0</v>
      </c>
      <c r="K299" s="3">
        <v>3.144</v>
      </c>
      <c r="L299" s="3">
        <v>22.0</v>
      </c>
      <c r="M299" s="4" t="str">
        <f>Raw_Data!X299</f>
        <v>mww</v>
      </c>
      <c r="N299" s="3">
        <v>13.0</v>
      </c>
      <c r="O299" s="3">
        <v>3.8965</v>
      </c>
      <c r="P299" s="3">
        <v>126.862</v>
      </c>
      <c r="Q299" s="3" t="s">
        <v>832</v>
      </c>
      <c r="R299" s="4"/>
      <c r="S299" s="3" t="s">
        <v>153</v>
      </c>
      <c r="T299" s="4" t="str">
        <f t="shared" si="2"/>
        <v>Valid</v>
      </c>
      <c r="U299" s="4">
        <f t="shared" si="3"/>
        <v>1</v>
      </c>
      <c r="V299" s="4" t="str">
        <f t="shared" si="4"/>
        <v>Unique</v>
      </c>
      <c r="W299" s="4" t="str">
        <f t="shared" si="5"/>
        <v>green</v>
      </c>
      <c r="X299" s="4" t="str">
        <f t="shared" ref="X299:Z299" si="303">IF(Q299="","Unknown",Q299)</f>
        <v>Sarangani, Philippines</v>
      </c>
      <c r="Y299" s="4" t="str">
        <f t="shared" si="303"/>
        <v>Unknown</v>
      </c>
      <c r="Z299" s="4" t="str">
        <f t="shared" si="303"/>
        <v>Indonesia</v>
      </c>
      <c r="AA299" s="4" t="str">
        <f t="shared" si="7"/>
        <v>mww</v>
      </c>
    </row>
    <row r="300">
      <c r="A300" s="3" t="s">
        <v>833</v>
      </c>
      <c r="B300" s="3">
        <v>6.7</v>
      </c>
      <c r="C300" s="19">
        <f>Raw_Data!T300</f>
        <v>42372.96181</v>
      </c>
      <c r="D300" s="3">
        <v>8.0</v>
      </c>
      <c r="E300" s="3">
        <v>7.0</v>
      </c>
      <c r="F300" s="3" t="s">
        <v>178</v>
      </c>
      <c r="G300" s="3">
        <v>0.0</v>
      </c>
      <c r="H300" s="3">
        <v>1515.0</v>
      </c>
      <c r="I300" s="3" t="s">
        <v>110</v>
      </c>
      <c r="J300" s="3">
        <v>0.0</v>
      </c>
      <c r="K300" s="3">
        <v>1.794</v>
      </c>
      <c r="L300" s="3">
        <v>16.0</v>
      </c>
      <c r="M300" s="4" t="str">
        <f>Raw_Data!X300</f>
        <v>mww</v>
      </c>
      <c r="N300" s="3">
        <v>55.0</v>
      </c>
      <c r="O300" s="3">
        <v>24.8036</v>
      </c>
      <c r="P300" s="3">
        <v>93.6505</v>
      </c>
      <c r="Q300" s="3" t="s">
        <v>834</v>
      </c>
      <c r="R300" s="3" t="s">
        <v>164</v>
      </c>
      <c r="S300" s="3" t="s">
        <v>835</v>
      </c>
      <c r="T300" s="4" t="str">
        <f t="shared" si="2"/>
        <v>Valid</v>
      </c>
      <c r="U300" s="4">
        <f t="shared" si="3"/>
        <v>1</v>
      </c>
      <c r="V300" s="4" t="str">
        <f t="shared" si="4"/>
        <v>Unique</v>
      </c>
      <c r="W300" s="4" t="str">
        <f t="shared" si="5"/>
        <v>orange</v>
      </c>
      <c r="X300" s="4" t="str">
        <f t="shared" ref="X300:Z300" si="304">IF(Q300="","Unknown",Q300)</f>
        <v>Imph?l, India</v>
      </c>
      <c r="Y300" s="4" t="str">
        <f t="shared" si="304"/>
        <v>Asia</v>
      </c>
      <c r="Z300" s="4" t="str">
        <f t="shared" si="304"/>
        <v>India</v>
      </c>
      <c r="AA300" s="4" t="str">
        <f t="shared" si="7"/>
        <v>mww</v>
      </c>
    </row>
    <row r="301">
      <c r="A301" s="3" t="s">
        <v>836</v>
      </c>
      <c r="B301" s="3">
        <v>6.6</v>
      </c>
      <c r="C301" s="19">
        <f>Raw_Data!T301</f>
        <v>42355.82569</v>
      </c>
      <c r="D301" s="3">
        <v>8.0</v>
      </c>
      <c r="E301" s="3">
        <v>6.0</v>
      </c>
      <c r="F301" s="3" t="s">
        <v>109</v>
      </c>
      <c r="G301" s="3">
        <v>1.0</v>
      </c>
      <c r="H301" s="3">
        <v>765.0</v>
      </c>
      <c r="I301" s="3" t="s">
        <v>110</v>
      </c>
      <c r="J301" s="3">
        <v>0.0</v>
      </c>
      <c r="K301" s="3">
        <v>0.41</v>
      </c>
      <c r="L301" s="3">
        <v>35.0</v>
      </c>
      <c r="M301" s="4" t="str">
        <f>Raw_Data!X301</f>
        <v>mww</v>
      </c>
      <c r="N301" s="3">
        <v>85.0</v>
      </c>
      <c r="O301" s="3">
        <v>15.8015</v>
      </c>
      <c r="P301" s="3">
        <v>-93.633</v>
      </c>
      <c r="Q301" s="3" t="s">
        <v>838</v>
      </c>
      <c r="R301" s="4"/>
      <c r="S301" s="3" t="s">
        <v>234</v>
      </c>
      <c r="T301" s="4" t="str">
        <f t="shared" si="2"/>
        <v>Valid</v>
      </c>
      <c r="U301" s="4">
        <f t="shared" si="3"/>
        <v>1</v>
      </c>
      <c r="V301" s="4" t="str">
        <f t="shared" si="4"/>
        <v>Unique</v>
      </c>
      <c r="W301" s="4" t="str">
        <f t="shared" si="5"/>
        <v>green</v>
      </c>
      <c r="X301" s="4" t="str">
        <f t="shared" ref="X301:Z301" si="305">IF(Q301="","Unknown",Q301)</f>
        <v>Manuel Ávila Camacho (Ponte Duro), Mexico</v>
      </c>
      <c r="Y301" s="4" t="str">
        <f t="shared" si="305"/>
        <v>Unknown</v>
      </c>
      <c r="Z301" s="4" t="str">
        <f t="shared" si="305"/>
        <v>Mexico</v>
      </c>
      <c r="AA301" s="4" t="str">
        <f t="shared" si="7"/>
        <v>mww</v>
      </c>
    </row>
    <row r="302">
      <c r="A302" s="3" t="s">
        <v>839</v>
      </c>
      <c r="B302" s="3">
        <v>6.9</v>
      </c>
      <c r="C302" s="19">
        <f>Raw_Data!T302</f>
        <v>42347.43125</v>
      </c>
      <c r="D302" s="3">
        <v>8.0</v>
      </c>
      <c r="E302" s="3">
        <v>5.0</v>
      </c>
      <c r="F302" s="3" t="s">
        <v>109</v>
      </c>
      <c r="G302" s="3">
        <v>0.0</v>
      </c>
      <c r="H302" s="3">
        <v>738.0</v>
      </c>
      <c r="I302" s="3" t="s">
        <v>110</v>
      </c>
      <c r="J302" s="3">
        <v>0.0</v>
      </c>
      <c r="K302" s="3">
        <v>2.979</v>
      </c>
      <c r="L302" s="3">
        <v>14.0</v>
      </c>
      <c r="M302" s="4" t="str">
        <f>Raw_Data!X302</f>
        <v>mww</v>
      </c>
      <c r="N302" s="3">
        <v>21.0</v>
      </c>
      <c r="O302" s="3">
        <v>-4.1064</v>
      </c>
      <c r="P302" s="3">
        <v>129.508</v>
      </c>
      <c r="Q302" s="3" t="s">
        <v>840</v>
      </c>
      <c r="R302" s="4"/>
      <c r="S302" s="3" t="s">
        <v>153</v>
      </c>
      <c r="T302" s="4" t="str">
        <f t="shared" si="2"/>
        <v>Valid</v>
      </c>
      <c r="U302" s="4">
        <f t="shared" si="3"/>
        <v>1</v>
      </c>
      <c r="V302" s="4" t="str">
        <f t="shared" si="4"/>
        <v>Unique</v>
      </c>
      <c r="W302" s="4" t="str">
        <f t="shared" si="5"/>
        <v>green</v>
      </c>
      <c r="X302" s="4" t="str">
        <f t="shared" ref="X302:Z302" si="306">IF(Q302="","Unknown",Q302)</f>
        <v>Amahai, Indonesia</v>
      </c>
      <c r="Y302" s="4" t="str">
        <f t="shared" si="306"/>
        <v>Unknown</v>
      </c>
      <c r="Z302" s="4" t="str">
        <f t="shared" si="306"/>
        <v>Indonesia</v>
      </c>
      <c r="AA302" s="4" t="str">
        <f t="shared" si="7"/>
        <v>mww</v>
      </c>
    </row>
    <row r="303">
      <c r="A303" s="3" t="s">
        <v>841</v>
      </c>
      <c r="B303" s="3">
        <v>7.2</v>
      </c>
      <c r="C303" s="19">
        <f>Raw_Data!T303</f>
        <v>42345.32639</v>
      </c>
      <c r="D303" s="3">
        <v>4.0</v>
      </c>
      <c r="E303" s="3">
        <v>7.0</v>
      </c>
      <c r="F303" s="3" t="s">
        <v>109</v>
      </c>
      <c r="G303" s="3">
        <v>0.0</v>
      </c>
      <c r="H303" s="3">
        <v>827.0</v>
      </c>
      <c r="I303" s="3" t="s">
        <v>110</v>
      </c>
      <c r="J303" s="3">
        <v>0.0</v>
      </c>
      <c r="K303" s="3">
        <v>1.116</v>
      </c>
      <c r="L303" s="3">
        <v>18.0</v>
      </c>
      <c r="M303" s="4" t="str">
        <f>Raw_Data!X303</f>
        <v>mww</v>
      </c>
      <c r="N303" s="3">
        <v>22.0</v>
      </c>
      <c r="O303" s="3">
        <v>38.2107</v>
      </c>
      <c r="P303" s="3">
        <v>72.7797</v>
      </c>
      <c r="Q303" s="3" t="s">
        <v>190</v>
      </c>
      <c r="R303" s="3" t="s">
        <v>164</v>
      </c>
      <c r="S303" s="3" t="s">
        <v>191</v>
      </c>
      <c r="T303" s="4" t="str">
        <f t="shared" si="2"/>
        <v>Valid</v>
      </c>
      <c r="U303" s="4">
        <f t="shared" si="3"/>
        <v>1</v>
      </c>
      <c r="V303" s="4" t="str">
        <f t="shared" si="4"/>
        <v>Unique</v>
      </c>
      <c r="W303" s="4" t="str">
        <f t="shared" si="5"/>
        <v>green</v>
      </c>
      <c r="X303" s="4" t="str">
        <f t="shared" ref="X303:Z303" si="307">IF(Q303="","Unknown",Q303)</f>
        <v>Murghob, Tajikistan</v>
      </c>
      <c r="Y303" s="4" t="str">
        <f t="shared" si="307"/>
        <v>Asia</v>
      </c>
      <c r="Z303" s="4" t="str">
        <f t="shared" si="307"/>
        <v>Tajikistan</v>
      </c>
      <c r="AA303" s="4" t="str">
        <f t="shared" si="7"/>
        <v>mww</v>
      </c>
    </row>
    <row r="304">
      <c r="A304" s="3" t="s">
        <v>842</v>
      </c>
      <c r="B304" s="3">
        <v>6.7</v>
      </c>
      <c r="C304" s="19">
        <f>Raw_Data!T304</f>
        <v>42334.23958</v>
      </c>
      <c r="D304" s="3">
        <v>2.0</v>
      </c>
      <c r="E304" s="3">
        <v>3.0</v>
      </c>
      <c r="F304" s="3" t="s">
        <v>109</v>
      </c>
      <c r="G304" s="3">
        <v>0.0</v>
      </c>
      <c r="H304" s="3">
        <v>691.0</v>
      </c>
      <c r="I304" s="3" t="s">
        <v>110</v>
      </c>
      <c r="J304" s="3">
        <v>0.0</v>
      </c>
      <c r="K304" s="3">
        <v>2.033</v>
      </c>
      <c r="L304" s="3">
        <v>19.0</v>
      </c>
      <c r="M304" s="4" t="str">
        <f>Raw_Data!X304</f>
        <v>mww</v>
      </c>
      <c r="N304" s="3">
        <v>602.75</v>
      </c>
      <c r="O304" s="3">
        <v>-9.1825</v>
      </c>
      <c r="P304" s="3">
        <v>-71.2574</v>
      </c>
      <c r="Q304" s="3" t="s">
        <v>260</v>
      </c>
      <c r="R304" s="3" t="s">
        <v>121</v>
      </c>
      <c r="S304" s="3" t="s">
        <v>261</v>
      </c>
      <c r="T304" s="4" t="str">
        <f t="shared" si="2"/>
        <v>Valid</v>
      </c>
      <c r="U304" s="4">
        <f t="shared" si="3"/>
        <v>1</v>
      </c>
      <c r="V304" s="4" t="str">
        <f t="shared" si="4"/>
        <v>Unique</v>
      </c>
      <c r="W304" s="4" t="str">
        <f t="shared" si="5"/>
        <v>green</v>
      </c>
      <c r="X304" s="4" t="str">
        <f t="shared" ref="X304:Z304" si="308">IF(Q304="","Unknown",Q304)</f>
        <v>Tarauacá, Brazil</v>
      </c>
      <c r="Y304" s="4" t="str">
        <f t="shared" si="308"/>
        <v>South America</v>
      </c>
      <c r="Z304" s="4" t="str">
        <f t="shared" si="308"/>
        <v>Brazil</v>
      </c>
      <c r="AA304" s="4" t="str">
        <f t="shared" si="7"/>
        <v>mww</v>
      </c>
    </row>
    <row r="305">
      <c r="A305" s="3" t="s">
        <v>844</v>
      </c>
      <c r="B305" s="3">
        <v>7.6</v>
      </c>
      <c r="C305" s="19">
        <f>Raw_Data!T305</f>
        <v>42332.95139</v>
      </c>
      <c r="D305" s="3">
        <v>5.0</v>
      </c>
      <c r="E305" s="3">
        <v>4.0</v>
      </c>
      <c r="F305" s="3" t="s">
        <v>109</v>
      </c>
      <c r="G305" s="3">
        <v>0.0</v>
      </c>
      <c r="H305" s="3">
        <v>896.0</v>
      </c>
      <c r="I305" s="3" t="s">
        <v>110</v>
      </c>
      <c r="J305" s="3">
        <v>0.0</v>
      </c>
      <c r="K305" s="3">
        <v>2.852</v>
      </c>
      <c r="L305" s="3">
        <v>10.0</v>
      </c>
      <c r="M305" s="4" t="str">
        <f>Raw_Data!X305</f>
        <v>mww</v>
      </c>
      <c r="N305" s="3">
        <v>620.56</v>
      </c>
      <c r="O305" s="3">
        <v>-10.0598</v>
      </c>
      <c r="P305" s="3">
        <v>-71.0184</v>
      </c>
      <c r="Q305" s="3" t="s">
        <v>603</v>
      </c>
      <c r="R305" s="3" t="s">
        <v>121</v>
      </c>
      <c r="S305" s="3" t="s">
        <v>265</v>
      </c>
      <c r="T305" s="4" t="str">
        <f t="shared" si="2"/>
        <v>Valid</v>
      </c>
      <c r="U305" s="4">
        <f t="shared" si="3"/>
        <v>1</v>
      </c>
      <c r="V305" s="4" t="str">
        <f t="shared" si="4"/>
        <v>Unique</v>
      </c>
      <c r="W305" s="4" t="str">
        <f t="shared" si="5"/>
        <v>green</v>
      </c>
      <c r="X305" s="4" t="str">
        <f t="shared" ref="X305:Z305" si="309">IF(Q305="","Unknown",Q305)</f>
        <v>Iñapari, Peru</v>
      </c>
      <c r="Y305" s="4" t="str">
        <f t="shared" si="309"/>
        <v>South America</v>
      </c>
      <c r="Z305" s="4" t="str">
        <f t="shared" si="309"/>
        <v>Peru</v>
      </c>
      <c r="AA305" s="4" t="str">
        <f t="shared" si="7"/>
        <v>mww</v>
      </c>
    </row>
    <row r="306">
      <c r="A306" s="3" t="s">
        <v>846</v>
      </c>
      <c r="B306" s="3">
        <v>7.6</v>
      </c>
      <c r="C306" s="19">
        <f>Raw_Data!T306</f>
        <v>42332.94792</v>
      </c>
      <c r="D306" s="3">
        <v>6.0</v>
      </c>
      <c r="E306" s="3">
        <v>5.0</v>
      </c>
      <c r="F306" s="3" t="s">
        <v>109</v>
      </c>
      <c r="G306" s="3">
        <v>1.0</v>
      </c>
      <c r="H306" s="3">
        <v>957.0</v>
      </c>
      <c r="I306" s="3" t="s">
        <v>110</v>
      </c>
      <c r="J306" s="3">
        <v>0.0</v>
      </c>
      <c r="K306" s="3">
        <v>3.287</v>
      </c>
      <c r="L306" s="3">
        <v>10.0</v>
      </c>
      <c r="M306" s="4" t="str">
        <f>Raw_Data!X306</f>
        <v>mww</v>
      </c>
      <c r="N306" s="3">
        <v>606.21</v>
      </c>
      <c r="O306" s="3">
        <v>-10.5372</v>
      </c>
      <c r="P306" s="3">
        <v>-70.9437</v>
      </c>
      <c r="Q306" s="3" t="s">
        <v>603</v>
      </c>
      <c r="R306" s="3" t="s">
        <v>121</v>
      </c>
      <c r="S306" s="3" t="s">
        <v>265</v>
      </c>
      <c r="T306" s="4" t="str">
        <f t="shared" si="2"/>
        <v>Valid</v>
      </c>
      <c r="U306" s="4">
        <f t="shared" si="3"/>
        <v>1</v>
      </c>
      <c r="V306" s="4" t="str">
        <f t="shared" si="4"/>
        <v>Unique</v>
      </c>
      <c r="W306" s="4" t="str">
        <f t="shared" si="5"/>
        <v>green</v>
      </c>
      <c r="X306" s="4" t="str">
        <f t="shared" ref="X306:Z306" si="310">IF(Q306="","Unknown",Q306)</f>
        <v>Iñapari, Peru</v>
      </c>
      <c r="Y306" s="4" t="str">
        <f t="shared" si="310"/>
        <v>South America</v>
      </c>
      <c r="Z306" s="4" t="str">
        <f t="shared" si="310"/>
        <v>Peru</v>
      </c>
      <c r="AA306" s="4" t="str">
        <f t="shared" si="7"/>
        <v>mww</v>
      </c>
    </row>
    <row r="307">
      <c r="A307" s="3" t="s">
        <v>848</v>
      </c>
      <c r="B307" s="3">
        <v>6.8</v>
      </c>
      <c r="C307" s="19">
        <f>Raw_Data!T307</f>
        <v>42326.77153</v>
      </c>
      <c r="D307" s="3">
        <v>5.0</v>
      </c>
      <c r="E307" s="3">
        <v>6.0</v>
      </c>
      <c r="F307" s="3" t="s">
        <v>109</v>
      </c>
      <c r="G307" s="3">
        <v>1.0</v>
      </c>
      <c r="H307" s="3">
        <v>715.0</v>
      </c>
      <c r="I307" s="3" t="s">
        <v>110</v>
      </c>
      <c r="J307" s="3">
        <v>0.0</v>
      </c>
      <c r="K307" s="3">
        <v>1.599</v>
      </c>
      <c r="L307" s="3">
        <v>19.0</v>
      </c>
      <c r="M307" s="4" t="str">
        <f>Raw_Data!X307</f>
        <v>mww</v>
      </c>
      <c r="N307" s="3">
        <v>12.59</v>
      </c>
      <c r="O307" s="3">
        <v>-8.8994</v>
      </c>
      <c r="P307" s="3">
        <v>158.422</v>
      </c>
      <c r="Q307" s="3" t="s">
        <v>850</v>
      </c>
      <c r="R307" s="4"/>
      <c r="S307" s="3" t="s">
        <v>214</v>
      </c>
      <c r="T307" s="4" t="str">
        <f t="shared" si="2"/>
        <v>Valid</v>
      </c>
      <c r="U307" s="4">
        <f t="shared" si="3"/>
        <v>1</v>
      </c>
      <c r="V307" s="4" t="str">
        <f t="shared" si="4"/>
        <v>Unique</v>
      </c>
      <c r="W307" s="4" t="str">
        <f t="shared" si="5"/>
        <v>green</v>
      </c>
      <c r="X307" s="4" t="str">
        <f t="shared" ref="X307:Z307" si="311">IF(Q307="","Unknown",Q307)</f>
        <v>Buala, Solomon Islands</v>
      </c>
      <c r="Y307" s="4" t="str">
        <f t="shared" si="311"/>
        <v>Unknown</v>
      </c>
      <c r="Z307" s="4" t="str">
        <f t="shared" si="311"/>
        <v>Solomon Islands</v>
      </c>
      <c r="AA307" s="4" t="str">
        <f t="shared" si="7"/>
        <v>mww</v>
      </c>
    </row>
    <row r="308">
      <c r="A308" s="3" t="s">
        <v>851</v>
      </c>
      <c r="B308" s="3">
        <v>6.5</v>
      </c>
      <c r="C308" s="19">
        <f>Raw_Data!T308</f>
        <v>42325.29861</v>
      </c>
      <c r="D308" s="3">
        <v>7.0</v>
      </c>
      <c r="E308" s="3">
        <v>7.0</v>
      </c>
      <c r="F308" s="3" t="s">
        <v>178</v>
      </c>
      <c r="G308" s="3">
        <v>0.0</v>
      </c>
      <c r="H308" s="3">
        <v>1018.0</v>
      </c>
      <c r="I308" s="3" t="s">
        <v>110</v>
      </c>
      <c r="J308" s="3">
        <v>0.0</v>
      </c>
      <c r="K308" s="3">
        <v>0.0</v>
      </c>
      <c r="L308" s="3">
        <v>0.0</v>
      </c>
      <c r="M308" s="4" t="str">
        <f>Raw_Data!X308</f>
        <v>mww</v>
      </c>
      <c r="N308" s="3">
        <v>11.0</v>
      </c>
      <c r="O308" s="3">
        <v>38.67</v>
      </c>
      <c r="P308" s="3">
        <v>20.6</v>
      </c>
      <c r="Q308" s="3" t="s">
        <v>853</v>
      </c>
      <c r="R308" s="3" t="s">
        <v>404</v>
      </c>
      <c r="S308" s="3" t="s">
        <v>405</v>
      </c>
      <c r="T308" s="4" t="str">
        <f t="shared" si="2"/>
        <v>Valid</v>
      </c>
      <c r="U308" s="4">
        <f t="shared" si="3"/>
        <v>1</v>
      </c>
      <c r="V308" s="4" t="str">
        <f t="shared" si="4"/>
        <v>Unique</v>
      </c>
      <c r="W308" s="4" t="str">
        <f t="shared" si="5"/>
        <v>orange</v>
      </c>
      <c r="X308" s="4" t="str">
        <f t="shared" ref="X308:Z308" si="312">IF(Q308="","Unknown",Q308)</f>
        <v>Lefkáda, Greece</v>
      </c>
      <c r="Y308" s="4" t="str">
        <f t="shared" si="312"/>
        <v>Europe</v>
      </c>
      <c r="Z308" s="4" t="str">
        <f t="shared" si="312"/>
        <v>Greece</v>
      </c>
      <c r="AA308" s="4" t="str">
        <f t="shared" si="7"/>
        <v>mww</v>
      </c>
    </row>
    <row r="309">
      <c r="A309" s="3" t="s">
        <v>854</v>
      </c>
      <c r="B309" s="3">
        <v>6.7</v>
      </c>
      <c r="C309" s="19">
        <f>Raw_Data!T309</f>
        <v>42321.86875</v>
      </c>
      <c r="D309" s="3">
        <v>5.0</v>
      </c>
      <c r="E309" s="3">
        <v>4.0</v>
      </c>
      <c r="F309" s="3" t="s">
        <v>109</v>
      </c>
      <c r="G309" s="3">
        <v>0.0</v>
      </c>
      <c r="H309" s="3">
        <v>702.0</v>
      </c>
      <c r="I309" s="3" t="s">
        <v>110</v>
      </c>
      <c r="J309" s="3">
        <v>0.0</v>
      </c>
      <c r="K309" s="3">
        <v>1.444</v>
      </c>
      <c r="L309" s="3">
        <v>17.0</v>
      </c>
      <c r="M309" s="4" t="str">
        <f>Raw_Data!X309</f>
        <v>mww</v>
      </c>
      <c r="N309" s="3">
        <v>12.0</v>
      </c>
      <c r="O309" s="3">
        <v>31.0009</v>
      </c>
      <c r="P309" s="3">
        <v>128.873</v>
      </c>
      <c r="Q309" s="3" t="s">
        <v>856</v>
      </c>
      <c r="R309" s="4"/>
      <c r="S309" s="4"/>
      <c r="T309" s="4" t="str">
        <f t="shared" si="2"/>
        <v>Valid</v>
      </c>
      <c r="U309" s="4">
        <f t="shared" si="3"/>
        <v>1</v>
      </c>
      <c r="V309" s="4" t="str">
        <f t="shared" si="4"/>
        <v>Unique</v>
      </c>
      <c r="W309" s="4" t="str">
        <f t="shared" si="5"/>
        <v>green</v>
      </c>
      <c r="X309" s="4" t="str">
        <f t="shared" ref="X309:Z309" si="313">IF(Q309="","Unknown",Q309)</f>
        <v>Makurazaki, Japan</v>
      </c>
      <c r="Y309" s="4" t="str">
        <f t="shared" si="313"/>
        <v>Unknown</v>
      </c>
      <c r="Z309" s="4" t="str">
        <f t="shared" si="313"/>
        <v>Unknown</v>
      </c>
      <c r="AA309" s="4" t="str">
        <f t="shared" si="7"/>
        <v>mww</v>
      </c>
    </row>
    <row r="310">
      <c r="A310" s="3" t="s">
        <v>857</v>
      </c>
      <c r="B310" s="3">
        <v>6.9</v>
      </c>
      <c r="C310" s="19">
        <f>Raw_Data!T310</f>
        <v>42319.11528</v>
      </c>
      <c r="D310" s="3">
        <v>5.0</v>
      </c>
      <c r="E310" s="3">
        <v>6.0</v>
      </c>
      <c r="F310" s="3" t="s">
        <v>109</v>
      </c>
      <c r="G310" s="3">
        <v>0.0</v>
      </c>
      <c r="H310" s="3">
        <v>744.0</v>
      </c>
      <c r="I310" s="3" t="s">
        <v>110</v>
      </c>
      <c r="J310" s="3">
        <v>0.0</v>
      </c>
      <c r="K310" s="3">
        <v>0.821</v>
      </c>
      <c r="L310" s="3">
        <v>43.0</v>
      </c>
      <c r="M310" s="4" t="str">
        <f>Raw_Data!X310</f>
        <v>mww</v>
      </c>
      <c r="N310" s="3">
        <v>10.0</v>
      </c>
      <c r="O310" s="3">
        <v>-29.5097</v>
      </c>
      <c r="P310" s="3">
        <v>-72.0585</v>
      </c>
      <c r="Q310" s="3" t="s">
        <v>547</v>
      </c>
      <c r="R310" s="4"/>
      <c r="S310" s="4"/>
      <c r="T310" s="4" t="str">
        <f t="shared" si="2"/>
        <v>Valid</v>
      </c>
      <c r="U310" s="4">
        <f t="shared" si="3"/>
        <v>1</v>
      </c>
      <c r="V310" s="4" t="str">
        <f t="shared" si="4"/>
        <v>Unique</v>
      </c>
      <c r="W310" s="4" t="str">
        <f t="shared" si="5"/>
        <v>green</v>
      </c>
      <c r="X310" s="4" t="str">
        <f t="shared" ref="X310:Z310" si="314">IF(Q310="","Unknown",Q310)</f>
        <v>Coquimbo, Chile</v>
      </c>
      <c r="Y310" s="4" t="str">
        <f t="shared" si="314"/>
        <v>Unknown</v>
      </c>
      <c r="Z310" s="4" t="str">
        <f t="shared" si="314"/>
        <v>Unknown</v>
      </c>
      <c r="AA310" s="4" t="str">
        <f t="shared" si="7"/>
        <v>mww</v>
      </c>
    </row>
    <row r="311">
      <c r="A311" s="3" t="s">
        <v>858</v>
      </c>
      <c r="B311" s="3">
        <v>6.9</v>
      </c>
      <c r="C311" s="19">
        <f>Raw_Data!T311</f>
        <v>42319.07917</v>
      </c>
      <c r="D311" s="3">
        <v>6.0</v>
      </c>
      <c r="E311" s="3">
        <v>6.0</v>
      </c>
      <c r="F311" s="3" t="s">
        <v>109</v>
      </c>
      <c r="G311" s="3">
        <v>1.0</v>
      </c>
      <c r="H311" s="3">
        <v>761.0</v>
      </c>
      <c r="I311" s="3" t="s">
        <v>110</v>
      </c>
      <c r="J311" s="3">
        <v>0.0</v>
      </c>
      <c r="K311" s="3">
        <v>0.784</v>
      </c>
      <c r="L311" s="3">
        <v>32.0</v>
      </c>
      <c r="M311" s="4" t="str">
        <f>Raw_Data!X311</f>
        <v>mww</v>
      </c>
      <c r="N311" s="3">
        <v>12.0</v>
      </c>
      <c r="O311" s="3">
        <v>-29.5067</v>
      </c>
      <c r="P311" s="3">
        <v>-72.0068</v>
      </c>
      <c r="Q311" s="3" t="s">
        <v>547</v>
      </c>
      <c r="R311" s="4"/>
      <c r="S311" s="4"/>
      <c r="T311" s="4" t="str">
        <f t="shared" si="2"/>
        <v>Valid</v>
      </c>
      <c r="U311" s="4">
        <f t="shared" si="3"/>
        <v>1</v>
      </c>
      <c r="V311" s="4" t="str">
        <f t="shared" si="4"/>
        <v>Unique</v>
      </c>
      <c r="W311" s="4" t="str">
        <f t="shared" si="5"/>
        <v>green</v>
      </c>
      <c r="X311" s="4" t="str">
        <f t="shared" ref="X311:Z311" si="315">IF(Q311="","Unknown",Q311)</f>
        <v>Coquimbo, Chile</v>
      </c>
      <c r="Y311" s="4" t="str">
        <f t="shared" si="315"/>
        <v>Unknown</v>
      </c>
      <c r="Z311" s="4" t="str">
        <f t="shared" si="315"/>
        <v>Unknown</v>
      </c>
      <c r="AA311" s="4" t="str">
        <f t="shared" si="7"/>
        <v>mww</v>
      </c>
    </row>
    <row r="312">
      <c r="A312" s="3" t="s">
        <v>859</v>
      </c>
      <c r="B312" s="3">
        <v>6.6</v>
      </c>
      <c r="C312" s="19">
        <f>Raw_Data!T312</f>
        <v>42316.69931</v>
      </c>
      <c r="D312" s="3">
        <v>7.0</v>
      </c>
      <c r="E312" s="3">
        <v>4.0</v>
      </c>
      <c r="F312" s="3" t="s">
        <v>109</v>
      </c>
      <c r="G312" s="3">
        <v>0.0</v>
      </c>
      <c r="H312" s="3">
        <v>675.0</v>
      </c>
      <c r="I312" s="3" t="s">
        <v>110</v>
      </c>
      <c r="J312" s="3">
        <v>0.0</v>
      </c>
      <c r="K312" s="3">
        <v>2.792</v>
      </c>
      <c r="L312" s="3">
        <v>31.0</v>
      </c>
      <c r="M312" s="4" t="str">
        <f>Raw_Data!X312</f>
        <v>mww</v>
      </c>
      <c r="N312" s="3">
        <v>10.0</v>
      </c>
      <c r="O312" s="3">
        <v>6.8431</v>
      </c>
      <c r="P312" s="3">
        <v>94.648</v>
      </c>
      <c r="Q312" s="3" t="s">
        <v>860</v>
      </c>
      <c r="R312" s="4"/>
      <c r="S312" s="4"/>
      <c r="T312" s="4" t="str">
        <f t="shared" si="2"/>
        <v>Valid</v>
      </c>
      <c r="U312" s="4">
        <f t="shared" si="3"/>
        <v>1</v>
      </c>
      <c r="V312" s="4" t="str">
        <f t="shared" si="4"/>
        <v>Unique</v>
      </c>
      <c r="W312" s="4" t="str">
        <f t="shared" si="5"/>
        <v>green</v>
      </c>
      <c r="X312" s="4" t="str">
        <f t="shared" ref="X312:Z312" si="316">IF(Q312="","Unknown",Q312)</f>
        <v>Nicobar Islands, India region</v>
      </c>
      <c r="Y312" s="4" t="str">
        <f t="shared" si="316"/>
        <v>Unknown</v>
      </c>
      <c r="Z312" s="4" t="str">
        <f t="shared" si="316"/>
        <v>Unknown</v>
      </c>
      <c r="AA312" s="4" t="str">
        <f t="shared" si="7"/>
        <v>mww</v>
      </c>
    </row>
    <row r="313">
      <c r="A313" s="3" t="s">
        <v>861</v>
      </c>
      <c r="B313" s="3">
        <v>6.8</v>
      </c>
      <c r="C313" s="19">
        <f>Raw_Data!T313</f>
        <v>42315.31319</v>
      </c>
      <c r="D313" s="3">
        <v>7.0</v>
      </c>
      <c r="E313" s="3">
        <v>7.0</v>
      </c>
      <c r="F313" s="3" t="s">
        <v>109</v>
      </c>
      <c r="G313" s="3">
        <v>1.0</v>
      </c>
      <c r="H313" s="3">
        <v>841.0</v>
      </c>
      <c r="I313" s="3" t="s">
        <v>110</v>
      </c>
      <c r="J313" s="3">
        <v>0.0</v>
      </c>
      <c r="K313" s="3">
        <v>0.258</v>
      </c>
      <c r="L313" s="3">
        <v>41.0</v>
      </c>
      <c r="M313" s="4" t="str">
        <f>Raw_Data!X313</f>
        <v>mww</v>
      </c>
      <c r="N313" s="3">
        <v>46.0</v>
      </c>
      <c r="O313" s="3">
        <v>-30.8796</v>
      </c>
      <c r="P313" s="3">
        <v>-71.4519</v>
      </c>
      <c r="Q313" s="3" t="s">
        <v>862</v>
      </c>
      <c r="R313" s="3" t="s">
        <v>121</v>
      </c>
      <c r="S313" s="3" t="s">
        <v>414</v>
      </c>
      <c r="T313" s="4" t="str">
        <f t="shared" si="2"/>
        <v>Valid</v>
      </c>
      <c r="U313" s="4">
        <f t="shared" si="3"/>
        <v>1</v>
      </c>
      <c r="V313" s="4" t="str">
        <f t="shared" si="4"/>
        <v>Unique</v>
      </c>
      <c r="W313" s="4" t="str">
        <f t="shared" si="5"/>
        <v>green</v>
      </c>
      <c r="X313" s="4" t="str">
        <f t="shared" ref="X313:Z313" si="317">IF(Q313="","Unknown",Q313)</f>
        <v>Ovalle, Chile</v>
      </c>
      <c r="Y313" s="4" t="str">
        <f t="shared" si="317"/>
        <v>South America</v>
      </c>
      <c r="Z313" s="4" t="str">
        <f t="shared" si="317"/>
        <v>Chile</v>
      </c>
      <c r="AA313" s="4" t="str">
        <f t="shared" si="7"/>
        <v>mww</v>
      </c>
    </row>
    <row r="314">
      <c r="A314" s="3" t="s">
        <v>863</v>
      </c>
      <c r="B314" s="3">
        <v>6.5</v>
      </c>
      <c r="C314" s="19">
        <f>Raw_Data!T314</f>
        <v>42312.15556</v>
      </c>
      <c r="D314" s="3">
        <v>5.0</v>
      </c>
      <c r="E314" s="3">
        <v>7.0</v>
      </c>
      <c r="F314" s="3" t="s">
        <v>109</v>
      </c>
      <c r="G314" s="3">
        <v>0.0</v>
      </c>
      <c r="H314" s="3">
        <v>657.0</v>
      </c>
      <c r="I314" s="3" t="s">
        <v>110</v>
      </c>
      <c r="J314" s="3">
        <v>0.0</v>
      </c>
      <c r="K314" s="3">
        <v>1.53</v>
      </c>
      <c r="L314" s="3">
        <v>21.0</v>
      </c>
      <c r="M314" s="4" t="str">
        <f>Raw_Data!X314</f>
        <v>mww</v>
      </c>
      <c r="N314" s="3">
        <v>20.0</v>
      </c>
      <c r="O314" s="3">
        <v>-8.3381</v>
      </c>
      <c r="P314" s="3">
        <v>124.875</v>
      </c>
      <c r="Q314" s="3" t="s">
        <v>864</v>
      </c>
      <c r="R314" s="4"/>
      <c r="S314" s="3" t="s">
        <v>153</v>
      </c>
      <c r="T314" s="4" t="str">
        <f t="shared" si="2"/>
        <v>Valid</v>
      </c>
      <c r="U314" s="4">
        <f t="shared" si="3"/>
        <v>1</v>
      </c>
      <c r="V314" s="4" t="str">
        <f t="shared" si="4"/>
        <v>Unique</v>
      </c>
      <c r="W314" s="4" t="str">
        <f t="shared" si="5"/>
        <v>green</v>
      </c>
      <c r="X314" s="4" t="str">
        <f t="shared" ref="X314:Z314" si="318">IF(Q314="","Unknown",Q314)</f>
        <v>Maubara, Timor Leste</v>
      </c>
      <c r="Y314" s="4" t="str">
        <f t="shared" si="318"/>
        <v>Unknown</v>
      </c>
      <c r="Z314" s="4" t="str">
        <f t="shared" si="318"/>
        <v>Indonesia</v>
      </c>
      <c r="AA314" s="4" t="str">
        <f t="shared" si="7"/>
        <v>mww</v>
      </c>
    </row>
    <row r="315">
      <c r="A315" s="3" t="s">
        <v>865</v>
      </c>
      <c r="B315" s="3">
        <v>7.5</v>
      </c>
      <c r="C315" s="19">
        <f>Raw_Data!T315</f>
        <v>42303.38125</v>
      </c>
      <c r="D315" s="3">
        <v>8.0</v>
      </c>
      <c r="E315" s="3">
        <v>7.0</v>
      </c>
      <c r="F315" s="3" t="s">
        <v>178</v>
      </c>
      <c r="G315" s="3">
        <v>0.0</v>
      </c>
      <c r="H315" s="3">
        <v>1448.0</v>
      </c>
      <c r="I315" s="3" t="s">
        <v>110</v>
      </c>
      <c r="J315" s="3">
        <v>0.0</v>
      </c>
      <c r="K315" s="3">
        <v>0.622</v>
      </c>
      <c r="L315" s="3">
        <v>18.0</v>
      </c>
      <c r="M315" s="4" t="str">
        <f>Raw_Data!X315</f>
        <v>mww</v>
      </c>
      <c r="N315" s="3">
        <v>231.0</v>
      </c>
      <c r="O315" s="3">
        <v>36.5244</v>
      </c>
      <c r="P315" s="3">
        <v>70.3676</v>
      </c>
      <c r="Q315" s="3" t="s">
        <v>867</v>
      </c>
      <c r="R315" s="3" t="s">
        <v>164</v>
      </c>
      <c r="S315" s="3" t="s">
        <v>175</v>
      </c>
      <c r="T315" s="4" t="str">
        <f t="shared" si="2"/>
        <v>Valid</v>
      </c>
      <c r="U315" s="4">
        <f t="shared" si="3"/>
        <v>1</v>
      </c>
      <c r="V315" s="4" t="str">
        <f t="shared" si="4"/>
        <v>Unique</v>
      </c>
      <c r="W315" s="4" t="str">
        <f t="shared" si="5"/>
        <v>orange</v>
      </c>
      <c r="X315" s="4" t="str">
        <f t="shared" ref="X315:Z315" si="319">IF(Q315="","Unknown",Q315)</f>
        <v>Hindu Kush region, Afghanistan</v>
      </c>
      <c r="Y315" s="4" t="str">
        <f t="shared" si="319"/>
        <v>Asia</v>
      </c>
      <c r="Z315" s="4" t="str">
        <f t="shared" si="319"/>
        <v>Afghanistan</v>
      </c>
      <c r="AA315" s="4" t="str">
        <f t="shared" si="7"/>
        <v>mww</v>
      </c>
    </row>
    <row r="316">
      <c r="A316" s="3" t="s">
        <v>868</v>
      </c>
      <c r="B316" s="3">
        <v>7.1</v>
      </c>
      <c r="C316" s="19">
        <f>Raw_Data!T316</f>
        <v>42297.91111</v>
      </c>
      <c r="D316" s="3">
        <v>6.0</v>
      </c>
      <c r="E316" s="3">
        <v>6.0</v>
      </c>
      <c r="F316" s="3" t="s">
        <v>109</v>
      </c>
      <c r="G316" s="3">
        <v>1.0</v>
      </c>
      <c r="H316" s="3">
        <v>780.0</v>
      </c>
      <c r="I316" s="3" t="s">
        <v>110</v>
      </c>
      <c r="J316" s="3">
        <v>0.0</v>
      </c>
      <c r="K316" s="3">
        <v>0.592</v>
      </c>
      <c r="L316" s="3">
        <v>11.0</v>
      </c>
      <c r="M316" s="4" t="str">
        <f>Raw_Data!X316</f>
        <v>mww</v>
      </c>
      <c r="N316" s="3">
        <v>135.0</v>
      </c>
      <c r="O316" s="3">
        <v>-14.8595</v>
      </c>
      <c r="P316" s="3">
        <v>167.303</v>
      </c>
      <c r="Q316" s="3" t="s">
        <v>185</v>
      </c>
      <c r="R316" s="4"/>
      <c r="S316" s="3" t="s">
        <v>113</v>
      </c>
      <c r="T316" s="4" t="str">
        <f t="shared" si="2"/>
        <v>Valid</v>
      </c>
      <c r="U316" s="4">
        <f t="shared" si="3"/>
        <v>1</v>
      </c>
      <c r="V316" s="4" t="str">
        <f t="shared" si="4"/>
        <v>Unique</v>
      </c>
      <c r="W316" s="4" t="str">
        <f t="shared" si="5"/>
        <v>green</v>
      </c>
      <c r="X316" s="4" t="str">
        <f t="shared" ref="X316:Z316" si="320">IF(Q316="","Unknown",Q316)</f>
        <v>Port-Olry, Vanuatu</v>
      </c>
      <c r="Y316" s="4" t="str">
        <f t="shared" si="320"/>
        <v>Unknown</v>
      </c>
      <c r="Z316" s="4" t="str">
        <f t="shared" si="320"/>
        <v>Vanuatu</v>
      </c>
      <c r="AA316" s="4" t="str">
        <f t="shared" si="7"/>
        <v>mww</v>
      </c>
    </row>
    <row r="317">
      <c r="A317" s="3" t="s">
        <v>870</v>
      </c>
      <c r="B317" s="3">
        <v>6.6</v>
      </c>
      <c r="C317" s="19">
        <f>Raw_Data!T317</f>
        <v>42271.66181</v>
      </c>
      <c r="D317" s="3">
        <v>7.0</v>
      </c>
      <c r="E317" s="3">
        <v>7.0</v>
      </c>
      <c r="F317" s="3" t="s">
        <v>109</v>
      </c>
      <c r="G317" s="3">
        <v>0.0</v>
      </c>
      <c r="H317" s="3">
        <v>671.0</v>
      </c>
      <c r="I317" s="3" t="s">
        <v>110</v>
      </c>
      <c r="J317" s="3">
        <v>0.0</v>
      </c>
      <c r="K317" s="3">
        <v>2.486</v>
      </c>
      <c r="L317" s="3">
        <v>13.0</v>
      </c>
      <c r="M317" s="4" t="str">
        <f>Raw_Data!X317</f>
        <v>mww</v>
      </c>
      <c r="N317" s="3">
        <v>18.0</v>
      </c>
      <c r="O317" s="3">
        <v>-0.6212</v>
      </c>
      <c r="P317" s="3">
        <v>131.262</v>
      </c>
      <c r="Q317" s="3" t="s">
        <v>872</v>
      </c>
      <c r="R317" s="4"/>
      <c r="S317" s="3" t="s">
        <v>153</v>
      </c>
      <c r="T317" s="4" t="str">
        <f t="shared" si="2"/>
        <v>Valid</v>
      </c>
      <c r="U317" s="4">
        <f t="shared" si="3"/>
        <v>1</v>
      </c>
      <c r="V317" s="4" t="str">
        <f t="shared" si="4"/>
        <v>Unique</v>
      </c>
      <c r="W317" s="4" t="str">
        <f t="shared" si="5"/>
        <v>green</v>
      </c>
      <c r="X317" s="4" t="str">
        <f t="shared" ref="X317:Z317" si="321">IF(Q317="","Unknown",Q317)</f>
        <v>Sorong, Indonesia</v>
      </c>
      <c r="Y317" s="4" t="str">
        <f t="shared" si="321"/>
        <v>Unknown</v>
      </c>
      <c r="Z317" s="4" t="str">
        <f t="shared" si="321"/>
        <v>Indonesia</v>
      </c>
      <c r="AA317" s="4" t="str">
        <f t="shared" si="7"/>
        <v>mww</v>
      </c>
    </row>
    <row r="318">
      <c r="A318" s="3" t="s">
        <v>873</v>
      </c>
      <c r="B318" s="3">
        <v>6.6</v>
      </c>
      <c r="C318" s="19">
        <f>Raw_Data!T318</f>
        <v>42268.73611</v>
      </c>
      <c r="D318" s="3">
        <v>5.0</v>
      </c>
      <c r="E318" s="3">
        <v>7.0</v>
      </c>
      <c r="F318" s="3" t="s">
        <v>109</v>
      </c>
      <c r="G318" s="3">
        <v>1.0</v>
      </c>
      <c r="H318" s="3">
        <v>820.0</v>
      </c>
      <c r="I318" s="3" t="s">
        <v>110</v>
      </c>
      <c r="J318" s="3">
        <v>0.0</v>
      </c>
      <c r="K318" s="3">
        <v>1.064</v>
      </c>
      <c r="L318" s="3">
        <v>14.0</v>
      </c>
      <c r="M318" s="4" t="str">
        <f>Raw_Data!X318</f>
        <v>mww</v>
      </c>
      <c r="N318" s="3">
        <v>35.0</v>
      </c>
      <c r="O318" s="3">
        <v>-31.7275</v>
      </c>
      <c r="P318" s="3">
        <v>-71.3792</v>
      </c>
      <c r="Q318" s="3" t="s">
        <v>875</v>
      </c>
      <c r="R318" s="3" t="s">
        <v>121</v>
      </c>
      <c r="S318" s="3" t="s">
        <v>414</v>
      </c>
      <c r="T318" s="4" t="str">
        <f t="shared" si="2"/>
        <v>Valid</v>
      </c>
      <c r="U318" s="4">
        <f t="shared" si="3"/>
        <v>1</v>
      </c>
      <c r="V318" s="4" t="str">
        <f t="shared" si="4"/>
        <v>Unique</v>
      </c>
      <c r="W318" s="4" t="str">
        <f t="shared" si="5"/>
        <v>green</v>
      </c>
      <c r="X318" s="4" t="str">
        <f t="shared" ref="X318:Z318" si="322">IF(Q318="","Unknown",Q318)</f>
        <v>Illapel, Chile</v>
      </c>
      <c r="Y318" s="4" t="str">
        <f t="shared" si="322"/>
        <v>South America</v>
      </c>
      <c r="Z318" s="4" t="str">
        <f t="shared" si="322"/>
        <v>Chile</v>
      </c>
      <c r="AA318" s="4" t="str">
        <f t="shared" si="7"/>
        <v>mww</v>
      </c>
    </row>
    <row r="319">
      <c r="A319" s="3" t="s">
        <v>876</v>
      </c>
      <c r="B319" s="3">
        <v>6.7</v>
      </c>
      <c r="C319" s="19">
        <f>Raw_Data!T319</f>
        <v>42264.17361</v>
      </c>
      <c r="D319" s="3">
        <v>5.0</v>
      </c>
      <c r="E319" s="3">
        <v>7.0</v>
      </c>
      <c r="F319" s="3" t="s">
        <v>109</v>
      </c>
      <c r="G319" s="3">
        <v>0.0</v>
      </c>
      <c r="H319" s="3">
        <v>718.0</v>
      </c>
      <c r="I319" s="3" t="s">
        <v>110</v>
      </c>
      <c r="J319" s="3">
        <v>0.0</v>
      </c>
      <c r="K319" s="3">
        <v>0.853</v>
      </c>
      <c r="L319" s="3">
        <v>35.0</v>
      </c>
      <c r="M319" s="4" t="str">
        <f>Raw_Data!X319</f>
        <v>mww</v>
      </c>
      <c r="N319" s="3">
        <v>23.0</v>
      </c>
      <c r="O319" s="3">
        <v>-31.5173</v>
      </c>
      <c r="P319" s="3">
        <v>-71.804</v>
      </c>
      <c r="Q319" s="3" t="s">
        <v>875</v>
      </c>
      <c r="R319" s="4"/>
      <c r="S319" s="3" t="s">
        <v>414</v>
      </c>
      <c r="T319" s="4" t="str">
        <f t="shared" si="2"/>
        <v>Valid</v>
      </c>
      <c r="U319" s="4">
        <f t="shared" si="3"/>
        <v>1</v>
      </c>
      <c r="V319" s="4" t="str">
        <f t="shared" si="4"/>
        <v>Unique</v>
      </c>
      <c r="W319" s="4" t="str">
        <f t="shared" si="5"/>
        <v>green</v>
      </c>
      <c r="X319" s="4" t="str">
        <f t="shared" ref="X319:Z319" si="323">IF(Q319="","Unknown",Q319)</f>
        <v>Illapel, Chile</v>
      </c>
      <c r="Y319" s="4" t="str">
        <f t="shared" si="323"/>
        <v>Unknown</v>
      </c>
      <c r="Z319" s="4" t="str">
        <f t="shared" si="323"/>
        <v>Chile</v>
      </c>
      <c r="AA319" s="4" t="str">
        <f t="shared" si="7"/>
        <v>mww</v>
      </c>
    </row>
    <row r="320">
      <c r="A320" s="3" t="s">
        <v>878</v>
      </c>
      <c r="B320" s="3">
        <v>6.5</v>
      </c>
      <c r="C320" s="19">
        <f>Raw_Data!T320</f>
        <v>42264.16319</v>
      </c>
      <c r="D320" s="3">
        <v>6.0</v>
      </c>
      <c r="E320" s="3">
        <v>7.0</v>
      </c>
      <c r="F320" s="3" t="s">
        <v>109</v>
      </c>
      <c r="G320" s="3">
        <v>0.0</v>
      </c>
      <c r="H320" s="3">
        <v>657.0</v>
      </c>
      <c r="I320" s="3" t="s">
        <v>110</v>
      </c>
      <c r="J320" s="3">
        <v>0.0</v>
      </c>
      <c r="K320" s="3">
        <v>0.749</v>
      </c>
      <c r="L320" s="3">
        <v>62.0</v>
      </c>
      <c r="M320" s="4" t="str">
        <f>Raw_Data!X320</f>
        <v>mww</v>
      </c>
      <c r="N320" s="3">
        <v>27.0</v>
      </c>
      <c r="O320" s="3">
        <v>-31.4244</v>
      </c>
      <c r="P320" s="3">
        <v>-71.6876</v>
      </c>
      <c r="Q320" s="3" t="s">
        <v>875</v>
      </c>
      <c r="R320" s="4"/>
      <c r="S320" s="3" t="s">
        <v>414</v>
      </c>
      <c r="T320" s="4" t="str">
        <f t="shared" si="2"/>
        <v>Valid</v>
      </c>
      <c r="U320" s="4">
        <f t="shared" si="3"/>
        <v>1</v>
      </c>
      <c r="V320" s="4" t="str">
        <f t="shared" si="4"/>
        <v>Unique</v>
      </c>
      <c r="W320" s="4" t="str">
        <f t="shared" si="5"/>
        <v>green</v>
      </c>
      <c r="X320" s="4" t="str">
        <f t="shared" ref="X320:Z320" si="324">IF(Q320="","Unknown",Q320)</f>
        <v>Illapel, Chile</v>
      </c>
      <c r="Y320" s="4" t="str">
        <f t="shared" si="324"/>
        <v>Unknown</v>
      </c>
      <c r="Z320" s="4" t="str">
        <f t="shared" si="324"/>
        <v>Chile</v>
      </c>
      <c r="AA320" s="4" t="str">
        <f t="shared" si="7"/>
        <v>mww</v>
      </c>
    </row>
    <row r="321">
      <c r="A321" s="3" t="s">
        <v>880</v>
      </c>
      <c r="B321" s="3">
        <v>7.0</v>
      </c>
      <c r="C321" s="19">
        <f>Raw_Data!T321</f>
        <v>42263.97083</v>
      </c>
      <c r="D321" s="3">
        <v>8.0</v>
      </c>
      <c r="E321" s="3">
        <v>7.0</v>
      </c>
      <c r="F321" s="3" t="s">
        <v>109</v>
      </c>
      <c r="G321" s="3">
        <v>0.0</v>
      </c>
      <c r="H321" s="3">
        <v>799.0</v>
      </c>
      <c r="I321" s="3" t="s">
        <v>110</v>
      </c>
      <c r="J321" s="3">
        <v>0.0</v>
      </c>
      <c r="K321" s="3">
        <v>0.903</v>
      </c>
      <c r="L321" s="3">
        <v>13.0</v>
      </c>
      <c r="M321" s="4" t="str">
        <f>Raw_Data!X321</f>
        <v>mww</v>
      </c>
      <c r="N321" s="3">
        <v>28.41</v>
      </c>
      <c r="O321" s="3">
        <v>-31.5622</v>
      </c>
      <c r="P321" s="3">
        <v>-71.4262</v>
      </c>
      <c r="Q321" s="3" t="s">
        <v>875</v>
      </c>
      <c r="R321" s="3" t="s">
        <v>121</v>
      </c>
      <c r="S321" s="3" t="s">
        <v>414</v>
      </c>
      <c r="T321" s="4" t="str">
        <f t="shared" si="2"/>
        <v>Valid</v>
      </c>
      <c r="U321" s="4">
        <f t="shared" si="3"/>
        <v>1</v>
      </c>
      <c r="V321" s="4" t="str">
        <f t="shared" si="4"/>
        <v>Unique</v>
      </c>
      <c r="W321" s="4" t="str">
        <f t="shared" si="5"/>
        <v>green</v>
      </c>
      <c r="X321" s="4" t="str">
        <f t="shared" ref="X321:Z321" si="325">IF(Q321="","Unknown",Q321)</f>
        <v>Illapel, Chile</v>
      </c>
      <c r="Y321" s="4" t="str">
        <f t="shared" si="325"/>
        <v>South America</v>
      </c>
      <c r="Z321" s="4" t="str">
        <f t="shared" si="325"/>
        <v>Chile</v>
      </c>
      <c r="AA321" s="4" t="str">
        <f t="shared" si="7"/>
        <v>mww</v>
      </c>
    </row>
    <row r="322">
      <c r="A322" s="3" t="s">
        <v>882</v>
      </c>
      <c r="B322" s="3">
        <v>8.3</v>
      </c>
      <c r="C322" s="19">
        <f>Raw_Data!T322</f>
        <v>42263.95417</v>
      </c>
      <c r="D322" s="3">
        <v>9.0</v>
      </c>
      <c r="E322" s="3">
        <v>8.0</v>
      </c>
      <c r="F322" s="3" t="s">
        <v>178</v>
      </c>
      <c r="G322" s="3">
        <v>1.0</v>
      </c>
      <c r="H322" s="3">
        <v>1960.0</v>
      </c>
      <c r="I322" s="3" t="s">
        <v>110</v>
      </c>
      <c r="J322" s="3">
        <v>0.0</v>
      </c>
      <c r="K322" s="3">
        <v>0.684</v>
      </c>
      <c r="L322" s="3">
        <v>19.0</v>
      </c>
      <c r="M322" s="4" t="str">
        <f>Raw_Data!X322</f>
        <v>mww</v>
      </c>
      <c r="N322" s="3">
        <v>22.44</v>
      </c>
      <c r="O322" s="3">
        <v>-31.5729</v>
      </c>
      <c r="P322" s="3">
        <v>-71.6744</v>
      </c>
      <c r="Q322" s="3" t="s">
        <v>875</v>
      </c>
      <c r="R322" s="4"/>
      <c r="S322" s="3" t="s">
        <v>414</v>
      </c>
      <c r="T322" s="4" t="str">
        <f t="shared" si="2"/>
        <v>Valid</v>
      </c>
      <c r="U322" s="4">
        <f t="shared" si="3"/>
        <v>1</v>
      </c>
      <c r="V322" s="4" t="str">
        <f t="shared" si="4"/>
        <v>Unique</v>
      </c>
      <c r="W322" s="4" t="str">
        <f t="shared" si="5"/>
        <v>orange</v>
      </c>
      <c r="X322" s="4" t="str">
        <f t="shared" ref="X322:Z322" si="326">IF(Q322="","Unknown",Q322)</f>
        <v>Illapel, Chile</v>
      </c>
      <c r="Y322" s="4" t="str">
        <f t="shared" si="326"/>
        <v>Unknown</v>
      </c>
      <c r="Z322" s="4" t="str">
        <f t="shared" si="326"/>
        <v>Chile</v>
      </c>
      <c r="AA322" s="4" t="str">
        <f t="shared" si="7"/>
        <v>mww</v>
      </c>
    </row>
    <row r="323">
      <c r="A323" s="3" t="s">
        <v>884</v>
      </c>
      <c r="B323" s="3">
        <v>6.7</v>
      </c>
      <c r="C323" s="19">
        <f>Raw_Data!T323</f>
        <v>42260.34306</v>
      </c>
      <c r="D323" s="3">
        <v>5.0</v>
      </c>
      <c r="E323" s="3">
        <v>5.0</v>
      </c>
      <c r="F323" s="3" t="s">
        <v>109</v>
      </c>
      <c r="G323" s="3">
        <v>1.0</v>
      </c>
      <c r="H323" s="3">
        <v>708.0</v>
      </c>
      <c r="I323" s="3" t="s">
        <v>110</v>
      </c>
      <c r="J323" s="3">
        <v>0.0</v>
      </c>
      <c r="K323" s="3">
        <v>1.256</v>
      </c>
      <c r="L323" s="3">
        <v>123.0</v>
      </c>
      <c r="M323" s="4" t="str">
        <f>Raw_Data!X323</f>
        <v>mww</v>
      </c>
      <c r="N323" s="3">
        <v>10.0</v>
      </c>
      <c r="O323" s="3">
        <v>24.913</v>
      </c>
      <c r="P323" s="3">
        <v>-109.623</v>
      </c>
      <c r="Q323" s="3" t="s">
        <v>886</v>
      </c>
      <c r="R323" s="4"/>
      <c r="S323" s="4"/>
      <c r="T323" s="4" t="str">
        <f t="shared" si="2"/>
        <v>Valid</v>
      </c>
      <c r="U323" s="4">
        <f t="shared" si="3"/>
        <v>1</v>
      </c>
      <c r="V323" s="4" t="str">
        <f t="shared" si="4"/>
        <v>Unique</v>
      </c>
      <c r="W323" s="4" t="str">
        <f t="shared" si="5"/>
        <v>green</v>
      </c>
      <c r="X323" s="4" t="str">
        <f t="shared" ref="X323:Z323" si="327">IF(Q323="","Unknown",Q323)</f>
        <v>Topolobampo, Mexico</v>
      </c>
      <c r="Y323" s="4" t="str">
        <f t="shared" si="327"/>
        <v>Unknown</v>
      </c>
      <c r="Z323" s="4" t="str">
        <f t="shared" si="327"/>
        <v>Unknown</v>
      </c>
      <c r="AA323" s="4" t="str">
        <f t="shared" si="7"/>
        <v>mww</v>
      </c>
    </row>
    <row r="324">
      <c r="A324" s="3" t="s">
        <v>887</v>
      </c>
      <c r="B324" s="3">
        <v>6.5</v>
      </c>
      <c r="C324" s="19">
        <f>Raw_Data!T324</f>
        <v>42228.78403</v>
      </c>
      <c r="D324" s="3">
        <v>0.0</v>
      </c>
      <c r="E324" s="3">
        <v>5.0</v>
      </c>
      <c r="F324" s="3" t="s">
        <v>109</v>
      </c>
      <c r="G324" s="3">
        <v>1.0</v>
      </c>
      <c r="H324" s="3">
        <v>650.0</v>
      </c>
      <c r="I324" s="3" t="s">
        <v>110</v>
      </c>
      <c r="J324" s="3">
        <v>0.0</v>
      </c>
      <c r="K324" s="3">
        <v>2.045</v>
      </c>
      <c r="L324" s="3">
        <v>16.0</v>
      </c>
      <c r="M324" s="4" t="str">
        <f>Raw_Data!X324</f>
        <v>mww</v>
      </c>
      <c r="N324" s="3">
        <v>6.43</v>
      </c>
      <c r="O324" s="3">
        <v>-9.3293</v>
      </c>
      <c r="P324" s="3">
        <v>157.877</v>
      </c>
      <c r="Q324" s="3" t="s">
        <v>888</v>
      </c>
      <c r="R324" s="4"/>
      <c r="S324" s="4"/>
      <c r="T324" s="4" t="str">
        <f t="shared" si="2"/>
        <v>Valid</v>
      </c>
      <c r="U324" s="4">
        <f t="shared" si="3"/>
        <v>1</v>
      </c>
      <c r="V324" s="4" t="str">
        <f t="shared" si="4"/>
        <v>Unique</v>
      </c>
      <c r="W324" s="4" t="str">
        <f t="shared" si="5"/>
        <v>green</v>
      </c>
      <c r="X324" s="4" t="str">
        <f t="shared" ref="X324:Z324" si="328">IF(Q324="","Unknown",Q324)</f>
        <v>Gizo, Solomon Islands</v>
      </c>
      <c r="Y324" s="4" t="str">
        <f t="shared" si="328"/>
        <v>Unknown</v>
      </c>
      <c r="Z324" s="4" t="str">
        <f t="shared" si="328"/>
        <v>Unknown</v>
      </c>
      <c r="AA324" s="4" t="str">
        <f t="shared" si="7"/>
        <v>mww</v>
      </c>
    </row>
    <row r="325">
      <c r="A325" s="3" t="s">
        <v>889</v>
      </c>
      <c r="B325" s="3">
        <v>6.6</v>
      </c>
      <c r="C325" s="19">
        <f>Raw_Data!T325</f>
        <v>42226.175</v>
      </c>
      <c r="D325" s="3">
        <v>3.0</v>
      </c>
      <c r="E325" s="3">
        <v>5.0</v>
      </c>
      <c r="F325" s="3" t="s">
        <v>109</v>
      </c>
      <c r="G325" s="3">
        <v>1.0</v>
      </c>
      <c r="H325" s="3">
        <v>671.0</v>
      </c>
      <c r="I325" s="3" t="s">
        <v>110</v>
      </c>
      <c r="J325" s="3">
        <v>0.0</v>
      </c>
      <c r="K325" s="3">
        <v>1.872</v>
      </c>
      <c r="L325" s="3">
        <v>20.0</v>
      </c>
      <c r="M325" s="4" t="str">
        <f>Raw_Data!X325</f>
        <v>mww</v>
      </c>
      <c r="N325" s="3">
        <v>22.0</v>
      </c>
      <c r="O325" s="3">
        <v>-9.3438</v>
      </c>
      <c r="P325" s="3">
        <v>158.053</v>
      </c>
      <c r="Q325" s="3" t="s">
        <v>212</v>
      </c>
      <c r="R325" s="4"/>
      <c r="S325" s="4"/>
      <c r="T325" s="4" t="str">
        <f t="shared" si="2"/>
        <v>Valid</v>
      </c>
      <c r="U325" s="4">
        <f t="shared" si="3"/>
        <v>1</v>
      </c>
      <c r="V325" s="4" t="str">
        <f t="shared" si="4"/>
        <v>Unique</v>
      </c>
      <c r="W325" s="4" t="str">
        <f t="shared" si="5"/>
        <v>green</v>
      </c>
      <c r="X325" s="4" t="str">
        <f t="shared" ref="X325:Z325" si="329">IF(Q325="","Unknown",Q325)</f>
        <v>Malango, Solomon Islands</v>
      </c>
      <c r="Y325" s="4" t="str">
        <f t="shared" si="329"/>
        <v>Unknown</v>
      </c>
      <c r="Z325" s="4" t="str">
        <f t="shared" si="329"/>
        <v>Unknown</v>
      </c>
      <c r="AA325" s="4" t="str">
        <f t="shared" si="7"/>
        <v>mww</v>
      </c>
    </row>
    <row r="326">
      <c r="A326" s="3" t="s">
        <v>890</v>
      </c>
      <c r="B326" s="3">
        <v>7.0</v>
      </c>
      <c r="C326" s="19">
        <f>Raw_Data!T326</f>
        <v>42212.90347</v>
      </c>
      <c r="D326" s="3">
        <v>9.0</v>
      </c>
      <c r="E326" s="3">
        <v>7.0</v>
      </c>
      <c r="F326" s="3" t="s">
        <v>109</v>
      </c>
      <c r="G326" s="3">
        <v>1.0</v>
      </c>
      <c r="H326" s="3">
        <v>762.0</v>
      </c>
      <c r="I326" s="3" t="s">
        <v>110</v>
      </c>
      <c r="J326" s="3">
        <v>0.0</v>
      </c>
      <c r="K326" s="3">
        <v>6.278</v>
      </c>
      <c r="L326" s="3">
        <v>12.0</v>
      </c>
      <c r="M326" s="4" t="str">
        <f>Raw_Data!X326</f>
        <v>mww</v>
      </c>
      <c r="N326" s="3">
        <v>48.0</v>
      </c>
      <c r="O326" s="3">
        <v>-2.6286</v>
      </c>
      <c r="P326" s="3">
        <v>138.528</v>
      </c>
      <c r="Q326" s="3" t="s">
        <v>892</v>
      </c>
      <c r="R326" s="4"/>
      <c r="S326" s="3" t="s">
        <v>153</v>
      </c>
      <c r="T326" s="4" t="str">
        <f t="shared" si="2"/>
        <v>Valid</v>
      </c>
      <c r="U326" s="4">
        <f t="shared" si="3"/>
        <v>1</v>
      </c>
      <c r="V326" s="4" t="str">
        <f t="shared" si="4"/>
        <v>Unique</v>
      </c>
      <c r="W326" s="4" t="str">
        <f t="shared" si="5"/>
        <v>green</v>
      </c>
      <c r="X326" s="4" t="str">
        <f t="shared" ref="X326:Z326" si="330">IF(Q326="","Unknown",Q326)</f>
        <v>Abepura, Indonesia</v>
      </c>
      <c r="Y326" s="4" t="str">
        <f t="shared" si="330"/>
        <v>Unknown</v>
      </c>
      <c r="Z326" s="4" t="str">
        <f t="shared" si="330"/>
        <v>Indonesia</v>
      </c>
      <c r="AA326" s="4" t="str">
        <f t="shared" si="7"/>
        <v>mww</v>
      </c>
    </row>
    <row r="327">
      <c r="A327" s="3" t="s">
        <v>893</v>
      </c>
      <c r="B327" s="3">
        <v>6.9</v>
      </c>
      <c r="C327" s="19">
        <f>Raw_Data!T327</f>
        <v>42212.20069</v>
      </c>
      <c r="D327" s="3">
        <v>4.0</v>
      </c>
      <c r="E327" s="3">
        <v>7.0</v>
      </c>
      <c r="F327" s="3" t="s">
        <v>109</v>
      </c>
      <c r="G327" s="3">
        <v>1.0</v>
      </c>
      <c r="H327" s="3">
        <v>734.0</v>
      </c>
      <c r="I327" s="3" t="s">
        <v>110</v>
      </c>
      <c r="J327" s="3">
        <v>0.0</v>
      </c>
      <c r="K327" s="3">
        <v>0.444</v>
      </c>
      <c r="L327" s="3">
        <v>39.0</v>
      </c>
      <c r="M327" s="4" t="str">
        <f>Raw_Data!X327</f>
        <v>mww</v>
      </c>
      <c r="N327" s="3">
        <v>29.0</v>
      </c>
      <c r="O327" s="3">
        <v>52.376</v>
      </c>
      <c r="P327" s="3">
        <v>-169.446</v>
      </c>
      <c r="Q327" s="3" t="s">
        <v>895</v>
      </c>
      <c r="R327" s="4"/>
      <c r="S327" s="4"/>
      <c r="T327" s="4" t="str">
        <f t="shared" si="2"/>
        <v>Valid</v>
      </c>
      <c r="U327" s="4">
        <f t="shared" si="3"/>
        <v>1</v>
      </c>
      <c r="V327" s="4" t="str">
        <f t="shared" si="4"/>
        <v>Unique</v>
      </c>
      <c r="W327" s="4" t="str">
        <f t="shared" si="5"/>
        <v>green</v>
      </c>
      <c r="X327" s="4" t="str">
        <f t="shared" ref="X327:Z327" si="331">IF(Q327="","Unknown",Q327)</f>
        <v>Fox Islands, Aleutian Islands, Alaska</v>
      </c>
      <c r="Y327" s="4" t="str">
        <f t="shared" si="331"/>
        <v>Unknown</v>
      </c>
      <c r="Z327" s="4" t="str">
        <f t="shared" si="331"/>
        <v>Unknown</v>
      </c>
      <c r="AA327" s="4" t="str">
        <f t="shared" si="7"/>
        <v>mww</v>
      </c>
    </row>
    <row r="328">
      <c r="A328" s="3" t="s">
        <v>896</v>
      </c>
      <c r="B328" s="3">
        <v>7.0</v>
      </c>
      <c r="C328" s="19">
        <f>Raw_Data!T328</f>
        <v>42203.10208</v>
      </c>
      <c r="D328" s="3">
        <v>8.0</v>
      </c>
      <c r="E328" s="3">
        <v>6.0</v>
      </c>
      <c r="F328" s="3" t="s">
        <v>109</v>
      </c>
      <c r="G328" s="3">
        <v>1.0</v>
      </c>
      <c r="H328" s="3">
        <v>759.0</v>
      </c>
      <c r="I328" s="3" t="s">
        <v>110</v>
      </c>
      <c r="J328" s="3">
        <v>0.0</v>
      </c>
      <c r="K328" s="3">
        <v>5.205</v>
      </c>
      <c r="L328" s="3">
        <v>22.0</v>
      </c>
      <c r="M328" s="4" t="str">
        <f>Raw_Data!X328</f>
        <v>mww</v>
      </c>
      <c r="N328" s="3">
        <v>11.0</v>
      </c>
      <c r="O328" s="3">
        <v>-10.4012</v>
      </c>
      <c r="P328" s="3">
        <v>165.141</v>
      </c>
      <c r="Q328" s="3" t="s">
        <v>450</v>
      </c>
      <c r="R328" s="4"/>
      <c r="S328" s="4"/>
      <c r="T328" s="4" t="str">
        <f t="shared" si="2"/>
        <v>Valid</v>
      </c>
      <c r="U328" s="4">
        <f t="shared" si="3"/>
        <v>1</v>
      </c>
      <c r="V328" s="4" t="str">
        <f t="shared" si="4"/>
        <v>Unique</v>
      </c>
      <c r="W328" s="4" t="str">
        <f t="shared" si="5"/>
        <v>green</v>
      </c>
      <c r="X328" s="4" t="str">
        <f t="shared" ref="X328:Z328" si="332">IF(Q328="","Unknown",Q328)</f>
        <v>Lata, Solomon Islands</v>
      </c>
      <c r="Y328" s="4" t="str">
        <f t="shared" si="332"/>
        <v>Unknown</v>
      </c>
      <c r="Z328" s="4" t="str">
        <f t="shared" si="332"/>
        <v>Unknown</v>
      </c>
      <c r="AA328" s="4" t="str">
        <f t="shared" si="7"/>
        <v>mww</v>
      </c>
    </row>
    <row r="329">
      <c r="A329" s="3" t="s">
        <v>898</v>
      </c>
      <c r="B329" s="3">
        <v>6.5</v>
      </c>
      <c r="C329" s="19">
        <f>Raw_Data!T329</f>
        <v>42201.63611</v>
      </c>
      <c r="D329" s="3">
        <v>4.0</v>
      </c>
      <c r="E329" s="3">
        <v>4.0</v>
      </c>
      <c r="F329" s="3" t="s">
        <v>109</v>
      </c>
      <c r="G329" s="3">
        <v>1.0</v>
      </c>
      <c r="H329" s="3">
        <v>686.0</v>
      </c>
      <c r="I329" s="3" t="s">
        <v>110</v>
      </c>
      <c r="J329" s="3">
        <v>0.0</v>
      </c>
      <c r="K329" s="3">
        <v>1.218</v>
      </c>
      <c r="L329" s="3">
        <v>20.0</v>
      </c>
      <c r="M329" s="4" t="str">
        <f>Raw_Data!X329</f>
        <v>mww</v>
      </c>
      <c r="N329" s="3">
        <v>20.0</v>
      </c>
      <c r="O329" s="3">
        <v>13.8672</v>
      </c>
      <c r="P329" s="3">
        <v>-58.5479</v>
      </c>
      <c r="Q329" s="3" t="s">
        <v>900</v>
      </c>
      <c r="R329" s="4"/>
      <c r="S329" s="4"/>
      <c r="T329" s="4" t="str">
        <f t="shared" si="2"/>
        <v>Valid</v>
      </c>
      <c r="U329" s="4">
        <f t="shared" si="3"/>
        <v>1</v>
      </c>
      <c r="V329" s="4" t="str">
        <f t="shared" si="4"/>
        <v>Unique</v>
      </c>
      <c r="W329" s="4" t="str">
        <f t="shared" si="5"/>
        <v>green</v>
      </c>
      <c r="X329" s="4" t="str">
        <f t="shared" ref="X329:Z329" si="333">IF(Q329="","Unknown",Q329)</f>
        <v>Bathsheba, Barbados</v>
      </c>
      <c r="Y329" s="4" t="str">
        <f t="shared" si="333"/>
        <v>Unknown</v>
      </c>
      <c r="Z329" s="4" t="str">
        <f t="shared" si="333"/>
        <v>Unknown</v>
      </c>
      <c r="AA329" s="4" t="str">
        <f t="shared" si="7"/>
        <v>mww</v>
      </c>
    </row>
    <row r="330">
      <c r="A330" s="3" t="s">
        <v>901</v>
      </c>
      <c r="B330" s="3">
        <v>6.7</v>
      </c>
      <c r="C330" s="19">
        <f>Raw_Data!T330</f>
        <v>42195.175</v>
      </c>
      <c r="D330" s="3">
        <v>4.0</v>
      </c>
      <c r="E330" s="3">
        <v>5.0</v>
      </c>
      <c r="F330" s="3" t="s">
        <v>109</v>
      </c>
      <c r="G330" s="3">
        <v>1.0</v>
      </c>
      <c r="H330" s="3">
        <v>691.0</v>
      </c>
      <c r="I330" s="3" t="s">
        <v>110</v>
      </c>
      <c r="J330" s="3">
        <v>0.0</v>
      </c>
      <c r="K330" s="3">
        <v>1.529</v>
      </c>
      <c r="L330" s="3">
        <v>11.0</v>
      </c>
      <c r="M330" s="4" t="str">
        <f>Raw_Data!X330</f>
        <v>mww</v>
      </c>
      <c r="N330" s="3">
        <v>12.0</v>
      </c>
      <c r="O330" s="3">
        <v>-9.307</v>
      </c>
      <c r="P330" s="3">
        <v>158.403</v>
      </c>
      <c r="Q330" s="3" t="s">
        <v>212</v>
      </c>
      <c r="R330" s="4"/>
      <c r="S330" s="3" t="s">
        <v>214</v>
      </c>
      <c r="T330" s="4" t="str">
        <f t="shared" si="2"/>
        <v>Valid</v>
      </c>
      <c r="U330" s="4">
        <f t="shared" si="3"/>
        <v>1</v>
      </c>
      <c r="V330" s="4" t="str">
        <f t="shared" si="4"/>
        <v>Unique</v>
      </c>
      <c r="W330" s="4" t="str">
        <f t="shared" si="5"/>
        <v>green</v>
      </c>
      <c r="X330" s="4" t="str">
        <f t="shared" ref="X330:Z330" si="334">IF(Q330="","Unknown",Q330)</f>
        <v>Malango, Solomon Islands</v>
      </c>
      <c r="Y330" s="4" t="str">
        <f t="shared" si="334"/>
        <v>Unknown</v>
      </c>
      <c r="Z330" s="4" t="str">
        <f t="shared" si="334"/>
        <v>Solomon Islands</v>
      </c>
      <c r="AA330" s="4" t="str">
        <f t="shared" si="7"/>
        <v>mww</v>
      </c>
    </row>
    <row r="331">
      <c r="A331" s="3" t="s">
        <v>902</v>
      </c>
      <c r="B331" s="3">
        <v>6.5</v>
      </c>
      <c r="C331" s="19">
        <f>Raw_Data!T331</f>
        <v>42178.5125</v>
      </c>
      <c r="D331" s="3">
        <v>3.0</v>
      </c>
      <c r="E331" s="3">
        <v>4.0</v>
      </c>
      <c r="F331" s="3" t="s">
        <v>109</v>
      </c>
      <c r="G331" s="3">
        <v>0.0</v>
      </c>
      <c r="H331" s="3">
        <v>652.0</v>
      </c>
      <c r="I331" s="3" t="s">
        <v>110</v>
      </c>
      <c r="J331" s="3">
        <v>0.0</v>
      </c>
      <c r="K331" s="3">
        <v>2.277</v>
      </c>
      <c r="L331" s="3">
        <v>11.0</v>
      </c>
      <c r="M331" s="4" t="str">
        <f>Raw_Data!X331</f>
        <v>mww</v>
      </c>
      <c r="N331" s="3">
        <v>460.0</v>
      </c>
      <c r="O331" s="3">
        <v>27.7375</v>
      </c>
      <c r="P331" s="3">
        <v>139.725</v>
      </c>
      <c r="Q331" s="3" t="s">
        <v>904</v>
      </c>
      <c r="R331" s="4"/>
      <c r="S331" s="4"/>
      <c r="T331" s="4" t="str">
        <f t="shared" si="2"/>
        <v>Valid</v>
      </c>
      <c r="U331" s="4">
        <f t="shared" si="3"/>
        <v>1</v>
      </c>
      <c r="V331" s="4" t="str">
        <f t="shared" si="4"/>
        <v>Unique</v>
      </c>
      <c r="W331" s="4" t="str">
        <f t="shared" si="5"/>
        <v>green</v>
      </c>
      <c r="X331" s="4" t="str">
        <f t="shared" ref="X331:Z331" si="335">IF(Q331="","Unknown",Q331)</f>
        <v>Bonin Islands, Japan region</v>
      </c>
      <c r="Y331" s="4" t="str">
        <f t="shared" si="335"/>
        <v>Unknown</v>
      </c>
      <c r="Z331" s="4" t="str">
        <f t="shared" si="335"/>
        <v>Unknown</v>
      </c>
      <c r="AA331" s="4" t="str">
        <f t="shared" si="7"/>
        <v>mww</v>
      </c>
    </row>
    <row r="332">
      <c r="A332" s="3" t="s">
        <v>905</v>
      </c>
      <c r="B332" s="3">
        <v>7.8</v>
      </c>
      <c r="C332" s="19">
        <f>Raw_Data!T332</f>
        <v>42154.47431</v>
      </c>
      <c r="D332" s="3">
        <v>6.0</v>
      </c>
      <c r="E332" s="3">
        <v>3.0</v>
      </c>
      <c r="F332" s="3" t="s">
        <v>109</v>
      </c>
      <c r="G332" s="3">
        <v>1.0</v>
      </c>
      <c r="H332" s="3">
        <v>1151.0</v>
      </c>
      <c r="I332" s="3" t="s">
        <v>110</v>
      </c>
      <c r="J332" s="3">
        <v>0.0</v>
      </c>
      <c r="K332" s="3">
        <v>1.675</v>
      </c>
      <c r="L332" s="3">
        <v>12.0</v>
      </c>
      <c r="M332" s="4" t="str">
        <f>Raw_Data!X332</f>
        <v>mww</v>
      </c>
      <c r="N332" s="3">
        <v>664.0</v>
      </c>
      <c r="O332" s="3">
        <v>27.8386</v>
      </c>
      <c r="P332" s="3">
        <v>140.493</v>
      </c>
      <c r="Q332" s="3" t="s">
        <v>904</v>
      </c>
      <c r="R332" s="4"/>
      <c r="S332" s="4"/>
      <c r="T332" s="4" t="str">
        <f t="shared" si="2"/>
        <v>Valid</v>
      </c>
      <c r="U332" s="4">
        <f t="shared" si="3"/>
        <v>1</v>
      </c>
      <c r="V332" s="4" t="str">
        <f t="shared" si="4"/>
        <v>Unique</v>
      </c>
      <c r="W332" s="4" t="str">
        <f t="shared" si="5"/>
        <v>green</v>
      </c>
      <c r="X332" s="4" t="str">
        <f t="shared" ref="X332:Z332" si="336">IF(Q332="","Unknown",Q332)</f>
        <v>Bonin Islands, Japan region</v>
      </c>
      <c r="Y332" s="4" t="str">
        <f t="shared" si="336"/>
        <v>Unknown</v>
      </c>
      <c r="Z332" s="4" t="str">
        <f t="shared" si="336"/>
        <v>Unknown</v>
      </c>
      <c r="AA332" s="4" t="str">
        <f t="shared" si="7"/>
        <v>mww</v>
      </c>
    </row>
    <row r="333">
      <c r="A333" s="3" t="s">
        <v>907</v>
      </c>
      <c r="B333" s="3">
        <v>6.8</v>
      </c>
      <c r="C333" s="19">
        <f>Raw_Data!T333</f>
        <v>42153.29167</v>
      </c>
      <c r="D333" s="3">
        <v>5.0</v>
      </c>
      <c r="E333" s="3">
        <v>6.0</v>
      </c>
      <c r="F333" s="3" t="s">
        <v>109</v>
      </c>
      <c r="G333" s="3">
        <v>1.0</v>
      </c>
      <c r="H333" s="3">
        <v>762.0</v>
      </c>
      <c r="I333" s="3" t="s">
        <v>316</v>
      </c>
      <c r="J333" s="3">
        <v>0.0</v>
      </c>
      <c r="K333" s="3">
        <v>0.0</v>
      </c>
      <c r="L333" s="3">
        <v>0.0</v>
      </c>
      <c r="M333" s="4" t="str">
        <f>Raw_Data!X333</f>
        <v>mw</v>
      </c>
      <c r="N333" s="3">
        <v>72.6</v>
      </c>
      <c r="O333" s="3">
        <v>56.594</v>
      </c>
      <c r="P333" s="3">
        <v>-156.43</v>
      </c>
      <c r="Q333" s="3" t="s">
        <v>909</v>
      </c>
      <c r="R333" s="4"/>
      <c r="S333" s="4"/>
      <c r="T333" s="4" t="str">
        <f t="shared" si="2"/>
        <v>Valid</v>
      </c>
      <c r="U333" s="4">
        <f t="shared" si="3"/>
        <v>1</v>
      </c>
      <c r="V333" s="4" t="str">
        <f t="shared" si="4"/>
        <v>Unique</v>
      </c>
      <c r="W333" s="4" t="str">
        <f t="shared" si="5"/>
        <v>green</v>
      </c>
      <c r="X333" s="4" t="str">
        <f t="shared" ref="X333:Z333" si="337">IF(Q333="","Unknown",Q333)</f>
        <v>Ugashik, Alaska</v>
      </c>
      <c r="Y333" s="4" t="str">
        <f t="shared" si="337"/>
        <v>Unknown</v>
      </c>
      <c r="Z333" s="4" t="str">
        <f t="shared" si="337"/>
        <v>Unknown</v>
      </c>
      <c r="AA333" s="4" t="str">
        <f t="shared" si="7"/>
        <v>mw</v>
      </c>
    </row>
    <row r="334">
      <c r="A334" s="3" t="s">
        <v>910</v>
      </c>
      <c r="B334" s="3">
        <v>6.8</v>
      </c>
      <c r="C334" s="19">
        <f>Raw_Data!T334</f>
        <v>42146.99931</v>
      </c>
      <c r="D334" s="3">
        <v>1.0</v>
      </c>
      <c r="E334" s="3">
        <v>5.0</v>
      </c>
      <c r="F334" s="3" t="s">
        <v>109</v>
      </c>
      <c r="G334" s="3">
        <v>1.0</v>
      </c>
      <c r="H334" s="3">
        <v>711.0</v>
      </c>
      <c r="I334" s="3" t="s">
        <v>110</v>
      </c>
      <c r="J334" s="3">
        <v>0.0</v>
      </c>
      <c r="K334" s="3">
        <v>3.619</v>
      </c>
      <c r="L334" s="3">
        <v>18.0</v>
      </c>
      <c r="M334" s="4" t="str">
        <f>Raw_Data!X334</f>
        <v>mww</v>
      </c>
      <c r="N334" s="3">
        <v>10.0</v>
      </c>
      <c r="O334" s="3">
        <v>-11.1093</v>
      </c>
      <c r="P334" s="3">
        <v>163.215</v>
      </c>
      <c r="Q334" s="3" t="s">
        <v>595</v>
      </c>
      <c r="R334" s="4"/>
      <c r="S334" s="4"/>
      <c r="T334" s="4" t="str">
        <f t="shared" si="2"/>
        <v>Valid</v>
      </c>
      <c r="U334" s="4">
        <f t="shared" si="3"/>
        <v>1</v>
      </c>
      <c r="V334" s="4" t="str">
        <f t="shared" si="4"/>
        <v>Unique</v>
      </c>
      <c r="W334" s="4" t="str">
        <f t="shared" si="5"/>
        <v>green</v>
      </c>
      <c r="X334" s="4" t="str">
        <f t="shared" ref="X334:Z334" si="338">IF(Q334="","Unknown",Q334)</f>
        <v>Kirakira, Solomon Islands</v>
      </c>
      <c r="Y334" s="4" t="str">
        <f t="shared" si="338"/>
        <v>Unknown</v>
      </c>
      <c r="Z334" s="4" t="str">
        <f t="shared" si="338"/>
        <v>Unknown</v>
      </c>
      <c r="AA334" s="4" t="str">
        <f t="shared" si="7"/>
        <v>mww</v>
      </c>
    </row>
    <row r="335">
      <c r="A335" s="3" t="s">
        <v>912</v>
      </c>
      <c r="B335" s="3">
        <v>6.9</v>
      </c>
      <c r="C335" s="19">
        <f>Raw_Data!T335</f>
        <v>42146.90625</v>
      </c>
      <c r="D335" s="3">
        <v>1.0</v>
      </c>
      <c r="E335" s="3">
        <v>4.0</v>
      </c>
      <c r="F335" s="3" t="s">
        <v>109</v>
      </c>
      <c r="G335" s="3">
        <v>1.0</v>
      </c>
      <c r="H335" s="3">
        <v>732.0</v>
      </c>
      <c r="I335" s="3" t="s">
        <v>110</v>
      </c>
      <c r="J335" s="3">
        <v>0.0</v>
      </c>
      <c r="K335" s="3">
        <v>4.024</v>
      </c>
      <c r="L335" s="3">
        <v>22.0</v>
      </c>
      <c r="M335" s="4" t="str">
        <f>Raw_Data!X335</f>
        <v>mww</v>
      </c>
      <c r="N335" s="3">
        <v>11.19</v>
      </c>
      <c r="O335" s="3">
        <v>-11.0559</v>
      </c>
      <c r="P335" s="3">
        <v>163.696</v>
      </c>
      <c r="Q335" s="3" t="s">
        <v>595</v>
      </c>
      <c r="R335" s="4"/>
      <c r="S335" s="4"/>
      <c r="T335" s="4" t="str">
        <f t="shared" si="2"/>
        <v>Valid</v>
      </c>
      <c r="U335" s="4">
        <f t="shared" si="3"/>
        <v>1</v>
      </c>
      <c r="V335" s="4" t="str">
        <f t="shared" si="4"/>
        <v>Unique</v>
      </c>
      <c r="W335" s="4" t="str">
        <f t="shared" si="5"/>
        <v>green</v>
      </c>
      <c r="X335" s="4" t="str">
        <f t="shared" ref="X335:Z335" si="339">IF(Q335="","Unknown",Q335)</f>
        <v>Kirakira, Solomon Islands</v>
      </c>
      <c r="Y335" s="4" t="str">
        <f t="shared" si="339"/>
        <v>Unknown</v>
      </c>
      <c r="Z335" s="4" t="str">
        <f t="shared" si="339"/>
        <v>Unknown</v>
      </c>
      <c r="AA335" s="4" t="str">
        <f t="shared" si="7"/>
        <v>mww</v>
      </c>
    </row>
    <row r="336">
      <c r="A336" s="3" t="s">
        <v>914</v>
      </c>
      <c r="B336" s="3">
        <v>6.8</v>
      </c>
      <c r="C336" s="19">
        <f>Raw_Data!T336</f>
        <v>42144.95</v>
      </c>
      <c r="D336" s="3">
        <v>1.0</v>
      </c>
      <c r="E336" s="3">
        <v>4.0</v>
      </c>
      <c r="F336" s="3" t="s">
        <v>109</v>
      </c>
      <c r="G336" s="3">
        <v>1.0</v>
      </c>
      <c r="H336" s="3">
        <v>711.0</v>
      </c>
      <c r="I336" s="3" t="s">
        <v>110</v>
      </c>
      <c r="J336" s="3">
        <v>0.0</v>
      </c>
      <c r="K336" s="3">
        <v>4.395</v>
      </c>
      <c r="L336" s="3">
        <v>15.0</v>
      </c>
      <c r="M336" s="4" t="str">
        <f>Raw_Data!X336</f>
        <v>mww</v>
      </c>
      <c r="N336" s="3">
        <v>11.0</v>
      </c>
      <c r="O336" s="3">
        <v>-10.8759</v>
      </c>
      <c r="P336" s="3">
        <v>164.169</v>
      </c>
      <c r="Q336" s="3" t="s">
        <v>450</v>
      </c>
      <c r="R336" s="4"/>
      <c r="S336" s="4"/>
      <c r="T336" s="4" t="str">
        <f t="shared" si="2"/>
        <v>Valid</v>
      </c>
      <c r="U336" s="4">
        <f t="shared" si="3"/>
        <v>1</v>
      </c>
      <c r="V336" s="4" t="str">
        <f t="shared" si="4"/>
        <v>Unique</v>
      </c>
      <c r="W336" s="4" t="str">
        <f t="shared" si="5"/>
        <v>green</v>
      </c>
      <c r="X336" s="4" t="str">
        <f t="shared" ref="X336:Z336" si="340">IF(Q336="","Unknown",Q336)</f>
        <v>Lata, Solomon Islands</v>
      </c>
      <c r="Y336" s="4" t="str">
        <f t="shared" si="340"/>
        <v>Unknown</v>
      </c>
      <c r="Z336" s="4" t="str">
        <f t="shared" si="340"/>
        <v>Unknown</v>
      </c>
      <c r="AA336" s="4" t="str">
        <f t="shared" si="7"/>
        <v>mww</v>
      </c>
    </row>
    <row r="337">
      <c r="A337" s="3" t="s">
        <v>916</v>
      </c>
      <c r="B337" s="3">
        <v>6.8</v>
      </c>
      <c r="C337" s="19">
        <f>Raw_Data!T337</f>
        <v>42136.88333</v>
      </c>
      <c r="D337" s="3">
        <v>8.0</v>
      </c>
      <c r="E337" s="3">
        <v>6.0</v>
      </c>
      <c r="F337" s="3" t="s">
        <v>109</v>
      </c>
      <c r="G337" s="3">
        <v>1.0</v>
      </c>
      <c r="H337" s="3">
        <v>831.0</v>
      </c>
      <c r="I337" s="3" t="s">
        <v>110</v>
      </c>
      <c r="J337" s="3">
        <v>0.0</v>
      </c>
      <c r="K337" s="3">
        <v>1.422</v>
      </c>
      <c r="L337" s="3">
        <v>8.0</v>
      </c>
      <c r="M337" s="4" t="str">
        <f>Raw_Data!X337</f>
        <v>mww</v>
      </c>
      <c r="N337" s="3">
        <v>35.0</v>
      </c>
      <c r="O337" s="3">
        <v>38.9056</v>
      </c>
      <c r="P337" s="3">
        <v>142.032</v>
      </c>
      <c r="Q337" s="3" t="s">
        <v>917</v>
      </c>
      <c r="R337" s="3" t="s">
        <v>164</v>
      </c>
      <c r="S337" s="3" t="s">
        <v>371</v>
      </c>
      <c r="T337" s="4" t="str">
        <f t="shared" si="2"/>
        <v>Valid</v>
      </c>
      <c r="U337" s="4">
        <f t="shared" si="3"/>
        <v>1</v>
      </c>
      <c r="V337" s="4" t="str">
        <f t="shared" si="4"/>
        <v>Unique</v>
      </c>
      <c r="W337" s="4" t="str">
        <f t="shared" si="5"/>
        <v>green</v>
      </c>
      <c r="X337" s="4" t="str">
        <f t="shared" ref="X337:Z337" si="341">IF(Q337="","Unknown",Q337)</f>
        <v>?funato, Japan</v>
      </c>
      <c r="Y337" s="4" t="str">
        <f t="shared" si="341"/>
        <v>Asia</v>
      </c>
      <c r="Z337" s="4" t="str">
        <f t="shared" si="341"/>
        <v>Japan</v>
      </c>
      <c r="AA337" s="4" t="str">
        <f t="shared" si="7"/>
        <v>mww</v>
      </c>
    </row>
    <row r="338">
      <c r="A338" s="3" t="s">
        <v>918</v>
      </c>
      <c r="B338" s="3">
        <v>7.3</v>
      </c>
      <c r="C338" s="19">
        <f>Raw_Data!T338</f>
        <v>42136.29514</v>
      </c>
      <c r="D338" s="3">
        <v>8.0</v>
      </c>
      <c r="E338" s="3">
        <v>7.0</v>
      </c>
      <c r="F338" s="3" t="s">
        <v>178</v>
      </c>
      <c r="G338" s="3">
        <v>0.0</v>
      </c>
      <c r="H338" s="3">
        <v>1563.0</v>
      </c>
      <c r="I338" s="3" t="s">
        <v>110</v>
      </c>
      <c r="J338" s="3">
        <v>0.0</v>
      </c>
      <c r="K338" s="3">
        <v>0.677</v>
      </c>
      <c r="L338" s="3">
        <v>11.0</v>
      </c>
      <c r="M338" s="4" t="str">
        <f>Raw_Data!X338</f>
        <v>mww</v>
      </c>
      <c r="N338" s="3">
        <v>15.0</v>
      </c>
      <c r="O338" s="3">
        <v>27.8087</v>
      </c>
      <c r="P338" s="3">
        <v>86.0655</v>
      </c>
      <c r="Q338" s="3" t="s">
        <v>919</v>
      </c>
      <c r="R338" s="3" t="s">
        <v>164</v>
      </c>
      <c r="S338" s="3" t="s">
        <v>919</v>
      </c>
      <c r="T338" s="4" t="str">
        <f t="shared" si="2"/>
        <v>Valid</v>
      </c>
      <c r="U338" s="4">
        <f t="shared" si="3"/>
        <v>1</v>
      </c>
      <c r="V338" s="4" t="str">
        <f t="shared" si="4"/>
        <v>Unique</v>
      </c>
      <c r="W338" s="4" t="str">
        <f t="shared" si="5"/>
        <v>orange</v>
      </c>
      <c r="X338" s="4" t="str">
        <f t="shared" ref="X338:Z338" si="342">IF(Q338="","Unknown",Q338)</f>
        <v>Nepal</v>
      </c>
      <c r="Y338" s="4" t="str">
        <f t="shared" si="342"/>
        <v>Asia</v>
      </c>
      <c r="Z338" s="4" t="str">
        <f t="shared" si="342"/>
        <v>Nepal</v>
      </c>
      <c r="AA338" s="4" t="str">
        <f t="shared" si="7"/>
        <v>mww</v>
      </c>
    </row>
    <row r="339">
      <c r="A339" s="3" t="s">
        <v>920</v>
      </c>
      <c r="B339" s="3">
        <v>7.1</v>
      </c>
      <c r="C339" s="19">
        <f>Raw_Data!T339</f>
        <v>42131.29861</v>
      </c>
      <c r="D339" s="3">
        <v>1.0</v>
      </c>
      <c r="E339" s="3">
        <v>6.0</v>
      </c>
      <c r="F339" s="3" t="s">
        <v>109</v>
      </c>
      <c r="G339" s="3">
        <v>1.0</v>
      </c>
      <c r="H339" s="3">
        <v>776.0</v>
      </c>
      <c r="I339" s="3" t="s">
        <v>110</v>
      </c>
      <c r="J339" s="3">
        <v>0.0</v>
      </c>
      <c r="K339" s="3">
        <v>3.835</v>
      </c>
      <c r="L339" s="3">
        <v>11.0</v>
      </c>
      <c r="M339" s="4" t="str">
        <f>Raw_Data!X339</f>
        <v>mww</v>
      </c>
      <c r="N339" s="3">
        <v>10.0</v>
      </c>
      <c r="O339" s="3">
        <v>-7.2175</v>
      </c>
      <c r="P339" s="3">
        <v>154.557</v>
      </c>
      <c r="Q339" s="3" t="s">
        <v>728</v>
      </c>
      <c r="R339" s="4"/>
      <c r="S339" s="4"/>
      <c r="T339" s="4" t="str">
        <f t="shared" si="2"/>
        <v>Valid</v>
      </c>
      <c r="U339" s="4">
        <f t="shared" si="3"/>
        <v>1</v>
      </c>
      <c r="V339" s="4" t="str">
        <f t="shared" si="4"/>
        <v>Unique</v>
      </c>
      <c r="W339" s="4" t="str">
        <f t="shared" si="5"/>
        <v>green</v>
      </c>
      <c r="X339" s="4" t="str">
        <f t="shared" ref="X339:Z339" si="343">IF(Q339="","Unknown",Q339)</f>
        <v>Panguna, Papua New Guinea</v>
      </c>
      <c r="Y339" s="4" t="str">
        <f t="shared" si="343"/>
        <v>Unknown</v>
      </c>
      <c r="Z339" s="4" t="str">
        <f t="shared" si="343"/>
        <v>Unknown</v>
      </c>
      <c r="AA339" s="4" t="str">
        <f t="shared" si="7"/>
        <v>mww</v>
      </c>
    </row>
    <row r="340">
      <c r="A340" s="3" t="s">
        <v>921</v>
      </c>
      <c r="B340" s="3">
        <v>7.5</v>
      </c>
      <c r="C340" s="19">
        <f>Raw_Data!T340</f>
        <v>42129.07222</v>
      </c>
      <c r="D340" s="3">
        <v>7.0</v>
      </c>
      <c r="E340" s="3">
        <v>8.0</v>
      </c>
      <c r="F340" s="3" t="s">
        <v>109</v>
      </c>
      <c r="G340" s="3">
        <v>1.0</v>
      </c>
      <c r="H340" s="3">
        <v>869.0</v>
      </c>
      <c r="I340" s="3" t="s">
        <v>110</v>
      </c>
      <c r="J340" s="3">
        <v>0.0</v>
      </c>
      <c r="K340" s="3">
        <v>1.295</v>
      </c>
      <c r="L340" s="3">
        <v>22.0</v>
      </c>
      <c r="M340" s="4" t="str">
        <f>Raw_Data!X340</f>
        <v>mww</v>
      </c>
      <c r="N340" s="3">
        <v>55.0</v>
      </c>
      <c r="O340" s="3">
        <v>-5.4624</v>
      </c>
      <c r="P340" s="3">
        <v>151.875</v>
      </c>
      <c r="Q340" s="3" t="s">
        <v>633</v>
      </c>
      <c r="R340" s="4"/>
      <c r="S340" s="3" t="s">
        <v>168</v>
      </c>
      <c r="T340" s="4" t="str">
        <f t="shared" si="2"/>
        <v>Valid</v>
      </c>
      <c r="U340" s="4">
        <f t="shared" si="3"/>
        <v>1</v>
      </c>
      <c r="V340" s="4" t="str">
        <f t="shared" si="4"/>
        <v>Unique</v>
      </c>
      <c r="W340" s="4" t="str">
        <f t="shared" si="5"/>
        <v>green</v>
      </c>
      <c r="X340" s="4" t="str">
        <f t="shared" ref="X340:Z340" si="344">IF(Q340="","Unknown",Q340)</f>
        <v>Kokopo, Papua New Guinea</v>
      </c>
      <c r="Y340" s="4" t="str">
        <f t="shared" si="344"/>
        <v>Unknown</v>
      </c>
      <c r="Z340" s="4" t="str">
        <f t="shared" si="344"/>
        <v>Papua New Guinea</v>
      </c>
      <c r="AA340" s="4" t="str">
        <f t="shared" si="7"/>
        <v>mww</v>
      </c>
    </row>
    <row r="341">
      <c r="A341" s="3" t="s">
        <v>922</v>
      </c>
      <c r="B341" s="3">
        <v>6.8</v>
      </c>
      <c r="C341" s="19">
        <f>Raw_Data!T341</f>
        <v>42125.3375</v>
      </c>
      <c r="D341" s="3">
        <v>5.0</v>
      </c>
      <c r="E341" s="3">
        <v>6.0</v>
      </c>
      <c r="F341" s="3" t="s">
        <v>109</v>
      </c>
      <c r="G341" s="3">
        <v>1.0</v>
      </c>
      <c r="H341" s="3">
        <v>714.0</v>
      </c>
      <c r="I341" s="3" t="s">
        <v>110</v>
      </c>
      <c r="J341" s="3">
        <v>0.0</v>
      </c>
      <c r="K341" s="3">
        <v>1.074</v>
      </c>
      <c r="L341" s="3">
        <v>23.0</v>
      </c>
      <c r="M341" s="4" t="str">
        <f>Raw_Data!X341</f>
        <v>mww</v>
      </c>
      <c r="N341" s="3">
        <v>44.0</v>
      </c>
      <c r="O341" s="3">
        <v>-5.2005</v>
      </c>
      <c r="P341" s="3">
        <v>151.777</v>
      </c>
      <c r="Q341" s="3" t="s">
        <v>633</v>
      </c>
      <c r="R341" s="4"/>
      <c r="S341" s="3" t="s">
        <v>168</v>
      </c>
      <c r="T341" s="4" t="str">
        <f t="shared" si="2"/>
        <v>Valid</v>
      </c>
      <c r="U341" s="4">
        <f t="shared" si="3"/>
        <v>1</v>
      </c>
      <c r="V341" s="4" t="str">
        <f t="shared" si="4"/>
        <v>Unique</v>
      </c>
      <c r="W341" s="4" t="str">
        <f t="shared" si="5"/>
        <v>green</v>
      </c>
      <c r="X341" s="4" t="str">
        <f t="shared" ref="X341:Z341" si="345">IF(Q341="","Unknown",Q341)</f>
        <v>Kokopo, Papua New Guinea</v>
      </c>
      <c r="Y341" s="4" t="str">
        <f t="shared" si="345"/>
        <v>Unknown</v>
      </c>
      <c r="Z341" s="4" t="str">
        <f t="shared" si="345"/>
        <v>Papua New Guinea</v>
      </c>
      <c r="AA341" s="4" t="str">
        <f t="shared" si="7"/>
        <v>mww</v>
      </c>
    </row>
    <row r="342">
      <c r="A342" s="3" t="s">
        <v>923</v>
      </c>
      <c r="B342" s="3">
        <v>6.7</v>
      </c>
      <c r="C342" s="19">
        <f>Raw_Data!T342</f>
        <v>42124.44792</v>
      </c>
      <c r="D342" s="3">
        <v>5.0</v>
      </c>
      <c r="E342" s="3">
        <v>6.0</v>
      </c>
      <c r="F342" s="3" t="s">
        <v>109</v>
      </c>
      <c r="G342" s="3">
        <v>1.0</v>
      </c>
      <c r="H342" s="3">
        <v>692.0</v>
      </c>
      <c r="I342" s="3" t="s">
        <v>110</v>
      </c>
      <c r="J342" s="3">
        <v>0.0</v>
      </c>
      <c r="K342" s="3">
        <v>1.239</v>
      </c>
      <c r="L342" s="3">
        <v>12.0</v>
      </c>
      <c r="M342" s="4" t="str">
        <f>Raw_Data!X342</f>
        <v>mww</v>
      </c>
      <c r="N342" s="3">
        <v>31.0</v>
      </c>
      <c r="O342" s="3">
        <v>-5.375</v>
      </c>
      <c r="P342" s="3">
        <v>151.771</v>
      </c>
      <c r="Q342" s="3" t="s">
        <v>633</v>
      </c>
      <c r="R342" s="4"/>
      <c r="S342" s="3" t="s">
        <v>168</v>
      </c>
      <c r="T342" s="4" t="str">
        <f t="shared" si="2"/>
        <v>Valid</v>
      </c>
      <c r="U342" s="4">
        <f t="shared" si="3"/>
        <v>1</v>
      </c>
      <c r="V342" s="4" t="str">
        <f t="shared" si="4"/>
        <v>Unique</v>
      </c>
      <c r="W342" s="4" t="str">
        <f t="shared" si="5"/>
        <v>green</v>
      </c>
      <c r="X342" s="4" t="str">
        <f t="shared" ref="X342:Z342" si="346">IF(Q342="","Unknown",Q342)</f>
        <v>Kokopo, Papua New Guinea</v>
      </c>
      <c r="Y342" s="4" t="str">
        <f t="shared" si="346"/>
        <v>Unknown</v>
      </c>
      <c r="Z342" s="4" t="str">
        <f t="shared" si="346"/>
        <v>Papua New Guinea</v>
      </c>
      <c r="AA342" s="4" t="str">
        <f t="shared" si="7"/>
        <v>mww</v>
      </c>
    </row>
    <row r="343">
      <c r="A343" s="3" t="s">
        <v>925</v>
      </c>
      <c r="B343" s="3">
        <v>6.7</v>
      </c>
      <c r="C343" s="19">
        <f>Raw_Data!T343</f>
        <v>42120.29792</v>
      </c>
      <c r="D343" s="3">
        <v>7.0</v>
      </c>
      <c r="E343" s="3">
        <v>7.0</v>
      </c>
      <c r="F343" s="3" t="s">
        <v>116</v>
      </c>
      <c r="G343" s="3">
        <v>0.0</v>
      </c>
      <c r="H343" s="3">
        <v>1016.0</v>
      </c>
      <c r="I343" s="3" t="s">
        <v>110</v>
      </c>
      <c r="J343" s="3">
        <v>0.0</v>
      </c>
      <c r="K343" s="3">
        <v>0.727</v>
      </c>
      <c r="L343" s="3">
        <v>13.0</v>
      </c>
      <c r="M343" s="4" t="str">
        <f>Raw_Data!X343</f>
        <v>mww</v>
      </c>
      <c r="N343" s="3">
        <v>22.91</v>
      </c>
      <c r="O343" s="3">
        <v>27.7711</v>
      </c>
      <c r="P343" s="3">
        <v>86.0173</v>
      </c>
      <c r="Q343" s="3" t="s">
        <v>927</v>
      </c>
      <c r="R343" s="3" t="s">
        <v>164</v>
      </c>
      <c r="S343" s="3" t="s">
        <v>919</v>
      </c>
      <c r="T343" s="4" t="str">
        <f t="shared" si="2"/>
        <v>Valid</v>
      </c>
      <c r="U343" s="4">
        <f t="shared" si="3"/>
        <v>1</v>
      </c>
      <c r="V343" s="4" t="str">
        <f t="shared" si="4"/>
        <v>Unique</v>
      </c>
      <c r="W343" s="4" t="str">
        <f t="shared" si="5"/>
        <v>yellow</v>
      </c>
      <c r="X343" s="4" t="str">
        <f t="shared" ref="X343:Z343" si="347">IF(Q343="","Unknown",Q343)</f>
        <v>Kod?ri??, Nepal</v>
      </c>
      <c r="Y343" s="4" t="str">
        <f t="shared" si="347"/>
        <v>Asia</v>
      </c>
      <c r="Z343" s="4" t="str">
        <f t="shared" si="347"/>
        <v>Nepal</v>
      </c>
      <c r="AA343" s="4" t="str">
        <f t="shared" si="7"/>
        <v>mww</v>
      </c>
    </row>
    <row r="344">
      <c r="A344" s="3" t="s">
        <v>928</v>
      </c>
      <c r="B344" s="3">
        <v>6.6</v>
      </c>
      <c r="C344" s="19">
        <f>Raw_Data!T344</f>
        <v>42119.28125</v>
      </c>
      <c r="D344" s="3">
        <v>8.0</v>
      </c>
      <c r="E344" s="3">
        <v>7.0</v>
      </c>
      <c r="F344" s="3" t="s">
        <v>116</v>
      </c>
      <c r="G344" s="3">
        <v>0.0</v>
      </c>
      <c r="H344" s="3">
        <v>733.0</v>
      </c>
      <c r="I344" s="3" t="s">
        <v>110</v>
      </c>
      <c r="J344" s="3">
        <v>0.0</v>
      </c>
      <c r="K344" s="3">
        <v>1.778</v>
      </c>
      <c r="L344" s="3">
        <v>16.0</v>
      </c>
      <c r="M344" s="4" t="str">
        <f>Raw_Data!X344</f>
        <v>mww</v>
      </c>
      <c r="N344" s="3">
        <v>10.0</v>
      </c>
      <c r="O344" s="3">
        <v>28.2244</v>
      </c>
      <c r="P344" s="3">
        <v>84.8216</v>
      </c>
      <c r="Q344" s="3" t="s">
        <v>930</v>
      </c>
      <c r="R344" s="3" t="s">
        <v>164</v>
      </c>
      <c r="S344" s="3" t="s">
        <v>919</v>
      </c>
      <c r="T344" s="4" t="str">
        <f t="shared" si="2"/>
        <v>Valid</v>
      </c>
      <c r="U344" s="4">
        <f t="shared" si="3"/>
        <v>1</v>
      </c>
      <c r="V344" s="4" t="str">
        <f t="shared" si="4"/>
        <v>Unique</v>
      </c>
      <c r="W344" s="4" t="str">
        <f t="shared" si="5"/>
        <v>yellow</v>
      </c>
      <c r="X344" s="4" t="str">
        <f t="shared" ref="X344:Z344" si="348">IF(Q344="","Unknown",Q344)</f>
        <v>Bharatpur, Nepal</v>
      </c>
      <c r="Y344" s="4" t="str">
        <f t="shared" si="348"/>
        <v>Asia</v>
      </c>
      <c r="Z344" s="4" t="str">
        <f t="shared" si="348"/>
        <v>Nepal</v>
      </c>
      <c r="AA344" s="4" t="str">
        <f t="shared" si="7"/>
        <v>mww</v>
      </c>
    </row>
    <row r="345">
      <c r="A345" s="3" t="s">
        <v>931</v>
      </c>
      <c r="B345" s="3">
        <v>7.8</v>
      </c>
      <c r="C345" s="19">
        <f>Raw_Data!T345</f>
        <v>42119.25764</v>
      </c>
      <c r="D345" s="3">
        <v>8.0</v>
      </c>
      <c r="E345" s="3">
        <v>9.0</v>
      </c>
      <c r="F345" s="3" t="s">
        <v>198</v>
      </c>
      <c r="G345" s="3">
        <v>0.0</v>
      </c>
      <c r="H345" s="3">
        <v>2820.0</v>
      </c>
      <c r="I345" s="3" t="s">
        <v>110</v>
      </c>
      <c r="J345" s="3">
        <v>0.0</v>
      </c>
      <c r="K345" s="3">
        <v>1.857</v>
      </c>
      <c r="L345" s="3">
        <v>12.0</v>
      </c>
      <c r="M345" s="4" t="str">
        <f>Raw_Data!X345</f>
        <v>mww</v>
      </c>
      <c r="N345" s="3">
        <v>8.22</v>
      </c>
      <c r="O345" s="3">
        <v>28.2305</v>
      </c>
      <c r="P345" s="3">
        <v>84.7314</v>
      </c>
      <c r="Q345" s="3" t="s">
        <v>930</v>
      </c>
      <c r="R345" s="3" t="s">
        <v>164</v>
      </c>
      <c r="S345" s="3" t="s">
        <v>919</v>
      </c>
      <c r="T345" s="4" t="str">
        <f t="shared" si="2"/>
        <v>Valid</v>
      </c>
      <c r="U345" s="4">
        <f t="shared" si="3"/>
        <v>1</v>
      </c>
      <c r="V345" s="4" t="str">
        <f t="shared" si="4"/>
        <v>Unique</v>
      </c>
      <c r="W345" s="4" t="str">
        <f t="shared" si="5"/>
        <v>red</v>
      </c>
      <c r="X345" s="4" t="str">
        <f t="shared" ref="X345:Z345" si="349">IF(Q345="","Unknown",Q345)</f>
        <v>Bharatpur, Nepal</v>
      </c>
      <c r="Y345" s="4" t="str">
        <f t="shared" si="349"/>
        <v>Asia</v>
      </c>
      <c r="Z345" s="4" t="str">
        <f t="shared" si="349"/>
        <v>Nepal</v>
      </c>
      <c r="AA345" s="4" t="str">
        <f t="shared" si="7"/>
        <v>mww</v>
      </c>
    </row>
    <row r="346">
      <c r="A346" s="3" t="s">
        <v>933</v>
      </c>
      <c r="B346" s="3">
        <v>6.5</v>
      </c>
      <c r="C346" s="19">
        <f>Raw_Data!T346</f>
        <v>42111.66111</v>
      </c>
      <c r="D346" s="3">
        <v>0.0</v>
      </c>
      <c r="E346" s="3">
        <v>5.0</v>
      </c>
      <c r="F346" s="3" t="s">
        <v>109</v>
      </c>
      <c r="G346" s="3">
        <v>1.0</v>
      </c>
      <c r="H346" s="3">
        <v>650.0</v>
      </c>
      <c r="I346" s="3" t="s">
        <v>110</v>
      </c>
      <c r="J346" s="3">
        <v>0.0</v>
      </c>
      <c r="K346" s="3">
        <v>3.702</v>
      </c>
      <c r="L346" s="3">
        <v>42.0</v>
      </c>
      <c r="M346" s="4" t="str">
        <f>Raw_Data!X346</f>
        <v>mww</v>
      </c>
      <c r="N346" s="3">
        <v>10.0</v>
      </c>
      <c r="O346" s="3">
        <v>-15.8815</v>
      </c>
      <c r="P346" s="3">
        <v>-178.6</v>
      </c>
      <c r="Q346" s="3" t="s">
        <v>362</v>
      </c>
      <c r="R346" s="4"/>
      <c r="S346" s="4"/>
      <c r="T346" s="4" t="str">
        <f t="shared" si="2"/>
        <v>Valid</v>
      </c>
      <c r="U346" s="4">
        <f t="shared" si="3"/>
        <v>1</v>
      </c>
      <c r="V346" s="4" t="str">
        <f t="shared" si="4"/>
        <v>Unique</v>
      </c>
      <c r="W346" s="4" t="str">
        <f t="shared" si="5"/>
        <v>green</v>
      </c>
      <c r="X346" s="4" t="str">
        <f t="shared" ref="X346:Z346" si="350">IF(Q346="","Unknown",Q346)</f>
        <v>Alo, Wallis and Futuna</v>
      </c>
      <c r="Y346" s="4" t="str">
        <f t="shared" si="350"/>
        <v>Unknown</v>
      </c>
      <c r="Z346" s="4" t="str">
        <f t="shared" si="350"/>
        <v>Unknown</v>
      </c>
      <c r="AA346" s="4" t="str">
        <f t="shared" si="7"/>
        <v>mww</v>
      </c>
    </row>
    <row r="347">
      <c r="A347" s="3" t="s">
        <v>935</v>
      </c>
      <c r="B347" s="3">
        <v>6.5</v>
      </c>
      <c r="C347" s="19">
        <f>Raw_Data!T347</f>
        <v>42093.36667</v>
      </c>
      <c r="D347" s="3">
        <v>2.0</v>
      </c>
      <c r="E347" s="3">
        <v>5.0</v>
      </c>
      <c r="F347" s="3" t="s">
        <v>109</v>
      </c>
      <c r="G347" s="3">
        <v>1.0</v>
      </c>
      <c r="H347" s="3">
        <v>650.0</v>
      </c>
      <c r="I347" s="3" t="s">
        <v>110</v>
      </c>
      <c r="J347" s="3">
        <v>0.0</v>
      </c>
      <c r="K347" s="3">
        <v>4.629</v>
      </c>
      <c r="L347" s="3">
        <v>36.0</v>
      </c>
      <c r="M347" s="4" t="str">
        <f>Raw_Data!X347</f>
        <v>mww</v>
      </c>
      <c r="N347" s="3">
        <v>11.0</v>
      </c>
      <c r="O347" s="3">
        <v>-15.4994</v>
      </c>
      <c r="P347" s="3">
        <v>-173.029</v>
      </c>
      <c r="Q347" s="3" t="s">
        <v>147</v>
      </c>
      <c r="R347" s="4"/>
      <c r="S347" s="4"/>
      <c r="T347" s="4" t="str">
        <f t="shared" si="2"/>
        <v>Valid</v>
      </c>
      <c r="U347" s="4">
        <f t="shared" si="3"/>
        <v>1</v>
      </c>
      <c r="V347" s="4" t="str">
        <f t="shared" si="4"/>
        <v>Unique</v>
      </c>
      <c r="W347" s="4" t="str">
        <f t="shared" si="5"/>
        <v>green</v>
      </c>
      <c r="X347" s="4" t="str">
        <f t="shared" ref="X347:Z347" si="351">IF(Q347="","Unknown",Q347)</f>
        <v>Hihifo, Tonga</v>
      </c>
      <c r="Y347" s="4" t="str">
        <f t="shared" si="351"/>
        <v>Unknown</v>
      </c>
      <c r="Z347" s="4" t="str">
        <f t="shared" si="351"/>
        <v>Unknown</v>
      </c>
      <c r="AA347" s="4" t="str">
        <f t="shared" si="7"/>
        <v>mww</v>
      </c>
    </row>
    <row r="348">
      <c r="A348" s="3" t="s">
        <v>937</v>
      </c>
      <c r="B348" s="3">
        <v>7.5</v>
      </c>
      <c r="C348" s="19">
        <f>Raw_Data!T348</f>
        <v>42092.99167</v>
      </c>
      <c r="D348" s="3">
        <v>6.0</v>
      </c>
      <c r="E348" s="3">
        <v>7.0</v>
      </c>
      <c r="F348" s="3" t="s">
        <v>109</v>
      </c>
      <c r="G348" s="3">
        <v>1.0</v>
      </c>
      <c r="H348" s="3">
        <v>872.0</v>
      </c>
      <c r="I348" s="3" t="s">
        <v>110</v>
      </c>
      <c r="J348" s="3">
        <v>0.0</v>
      </c>
      <c r="K348" s="3">
        <v>0.666</v>
      </c>
      <c r="L348" s="3">
        <v>19.0</v>
      </c>
      <c r="M348" s="4" t="str">
        <f>Raw_Data!X348</f>
        <v>mww</v>
      </c>
      <c r="N348" s="3">
        <v>41.0</v>
      </c>
      <c r="O348" s="3">
        <v>-4.7294</v>
      </c>
      <c r="P348" s="3">
        <v>152.562</v>
      </c>
      <c r="Q348" s="3" t="s">
        <v>633</v>
      </c>
      <c r="R348" s="4"/>
      <c r="S348" s="3" t="s">
        <v>168</v>
      </c>
      <c r="T348" s="4" t="str">
        <f t="shared" si="2"/>
        <v>Valid</v>
      </c>
      <c r="U348" s="4">
        <f t="shared" si="3"/>
        <v>1</v>
      </c>
      <c r="V348" s="4" t="str">
        <f t="shared" si="4"/>
        <v>Unique</v>
      </c>
      <c r="W348" s="4" t="str">
        <f t="shared" si="5"/>
        <v>green</v>
      </c>
      <c r="X348" s="4" t="str">
        <f t="shared" ref="X348:Z348" si="352">IF(Q348="","Unknown",Q348)</f>
        <v>Kokopo, Papua New Guinea</v>
      </c>
      <c r="Y348" s="4" t="str">
        <f t="shared" si="352"/>
        <v>Unknown</v>
      </c>
      <c r="Z348" s="4" t="str">
        <f t="shared" si="352"/>
        <v>Papua New Guinea</v>
      </c>
      <c r="AA348" s="4" t="str">
        <f t="shared" si="7"/>
        <v>mww</v>
      </c>
    </row>
    <row r="349">
      <c r="A349" s="3" t="s">
        <v>939</v>
      </c>
      <c r="B349" s="3">
        <v>7.0</v>
      </c>
      <c r="C349" s="19">
        <f>Raw_Data!T349</f>
        <v>42062.57292</v>
      </c>
      <c r="D349" s="3">
        <v>4.0</v>
      </c>
      <c r="E349" s="3">
        <v>6.0</v>
      </c>
      <c r="F349" s="3" t="s">
        <v>109</v>
      </c>
      <c r="G349" s="3">
        <v>0.0</v>
      </c>
      <c r="H349" s="3">
        <v>760.0</v>
      </c>
      <c r="I349" s="3" t="s">
        <v>110</v>
      </c>
      <c r="J349" s="3">
        <v>0.0</v>
      </c>
      <c r="K349" s="3">
        <v>1.362</v>
      </c>
      <c r="L349" s="3">
        <v>12.0</v>
      </c>
      <c r="M349" s="4" t="str">
        <f>Raw_Data!X349</f>
        <v>mww</v>
      </c>
      <c r="N349" s="3">
        <v>552.06</v>
      </c>
      <c r="O349" s="3">
        <v>-7.2968</v>
      </c>
      <c r="P349" s="3">
        <v>122.535</v>
      </c>
      <c r="Q349" s="3" t="s">
        <v>674</v>
      </c>
      <c r="R349" s="4"/>
      <c r="S349" s="3" t="s">
        <v>153</v>
      </c>
      <c r="T349" s="4" t="str">
        <f t="shared" si="2"/>
        <v>Valid</v>
      </c>
      <c r="U349" s="4">
        <f t="shared" si="3"/>
        <v>1</v>
      </c>
      <c r="V349" s="4" t="str">
        <f t="shared" si="4"/>
        <v>Unique</v>
      </c>
      <c r="W349" s="4" t="str">
        <f t="shared" si="5"/>
        <v>green</v>
      </c>
      <c r="X349" s="4" t="str">
        <f t="shared" ref="X349:Z349" si="353">IF(Q349="","Unknown",Q349)</f>
        <v>Maumere, Indonesia</v>
      </c>
      <c r="Y349" s="4" t="str">
        <f t="shared" si="353"/>
        <v>Unknown</v>
      </c>
      <c r="Z349" s="4" t="str">
        <f t="shared" si="353"/>
        <v>Indonesia</v>
      </c>
      <c r="AA349" s="4" t="str">
        <f t="shared" si="7"/>
        <v>mww</v>
      </c>
    </row>
    <row r="350">
      <c r="A350" s="3" t="s">
        <v>941</v>
      </c>
      <c r="B350" s="3">
        <v>6.7</v>
      </c>
      <c r="C350" s="19">
        <f>Raw_Data!T350</f>
        <v>42051.9625</v>
      </c>
      <c r="D350" s="3">
        <v>5.0</v>
      </c>
      <c r="E350" s="3">
        <v>5.0</v>
      </c>
      <c r="F350" s="3" t="s">
        <v>109</v>
      </c>
      <c r="G350" s="3">
        <v>1.0</v>
      </c>
      <c r="H350" s="3">
        <v>714.0</v>
      </c>
      <c r="I350" s="3" t="s">
        <v>110</v>
      </c>
      <c r="J350" s="3">
        <v>0.0</v>
      </c>
      <c r="K350" s="3">
        <v>1.925</v>
      </c>
      <c r="L350" s="3">
        <v>20.0</v>
      </c>
      <c r="M350" s="4" t="str">
        <f>Raw_Data!X350</f>
        <v>mww</v>
      </c>
      <c r="N350" s="3">
        <v>23.0</v>
      </c>
      <c r="O350" s="3">
        <v>39.8558</v>
      </c>
      <c r="P350" s="3">
        <v>142.881</v>
      </c>
      <c r="Q350" s="3" t="s">
        <v>943</v>
      </c>
      <c r="R350" s="4"/>
      <c r="S350" s="4"/>
      <c r="T350" s="4" t="str">
        <f t="shared" si="2"/>
        <v>Valid</v>
      </c>
      <c r="U350" s="4">
        <f t="shared" si="3"/>
        <v>1</v>
      </c>
      <c r="V350" s="4" t="str">
        <f t="shared" si="4"/>
        <v>Unique</v>
      </c>
      <c r="W350" s="4" t="str">
        <f t="shared" si="5"/>
        <v>green</v>
      </c>
      <c r="X350" s="4" t="str">
        <f t="shared" ref="X350:Z350" si="354">IF(Q350="","Unknown",Q350)</f>
        <v>Miyako, Japan</v>
      </c>
      <c r="Y350" s="4" t="str">
        <f t="shared" si="354"/>
        <v>Unknown</v>
      </c>
      <c r="Z350" s="4" t="str">
        <f t="shared" si="354"/>
        <v>Unknown</v>
      </c>
      <c r="AA350" s="4" t="str">
        <f t="shared" si="7"/>
        <v>mww</v>
      </c>
    </row>
    <row r="351">
      <c r="A351" s="3" t="s">
        <v>944</v>
      </c>
      <c r="B351" s="3">
        <v>6.7</v>
      </c>
      <c r="C351" s="19">
        <f>Raw_Data!T351</f>
        <v>42046.78958</v>
      </c>
      <c r="D351" s="3">
        <v>4.0</v>
      </c>
      <c r="E351" s="3">
        <v>6.0</v>
      </c>
      <c r="F351" s="3" t="s">
        <v>109</v>
      </c>
      <c r="G351" s="3">
        <v>1.0</v>
      </c>
      <c r="H351" s="3">
        <v>700.0</v>
      </c>
      <c r="I351" s="3" t="s">
        <v>110</v>
      </c>
      <c r="J351" s="3">
        <v>0.0</v>
      </c>
      <c r="K351" s="3">
        <v>2.11</v>
      </c>
      <c r="L351" s="3">
        <v>16.0</v>
      </c>
      <c r="M351" s="4" t="str">
        <f>Raw_Data!X351</f>
        <v>mww</v>
      </c>
      <c r="N351" s="3">
        <v>223.0</v>
      </c>
      <c r="O351" s="3">
        <v>-23.1125</v>
      </c>
      <c r="P351" s="3">
        <v>-66.688</v>
      </c>
      <c r="Q351" s="3" t="s">
        <v>945</v>
      </c>
      <c r="R351" s="3" t="s">
        <v>121</v>
      </c>
      <c r="S351" s="3" t="s">
        <v>122</v>
      </c>
      <c r="T351" s="4" t="str">
        <f t="shared" si="2"/>
        <v>Valid</v>
      </c>
      <c r="U351" s="4">
        <f t="shared" si="3"/>
        <v>1</v>
      </c>
      <c r="V351" s="4" t="str">
        <f t="shared" si="4"/>
        <v>Unique</v>
      </c>
      <c r="W351" s="4" t="str">
        <f t="shared" si="5"/>
        <v>green</v>
      </c>
      <c r="X351" s="4" t="str">
        <f t="shared" ref="X351:Z351" si="355">IF(Q351="","Unknown",Q351)</f>
        <v>El Aguilar, Argentina</v>
      </c>
      <c r="Y351" s="4" t="str">
        <f t="shared" si="355"/>
        <v>South America</v>
      </c>
      <c r="Z351" s="4" t="str">
        <f t="shared" si="355"/>
        <v>Argentina</v>
      </c>
      <c r="AA351" s="4" t="str">
        <f t="shared" si="7"/>
        <v>mww</v>
      </c>
    </row>
    <row r="352">
      <c r="A352" s="3" t="s">
        <v>946</v>
      </c>
      <c r="B352" s="3">
        <v>6.8</v>
      </c>
      <c r="C352" s="19">
        <f>Raw_Data!T352</f>
        <v>42027.15764</v>
      </c>
      <c r="D352" s="3">
        <v>1.0</v>
      </c>
      <c r="E352" s="3">
        <v>4.0</v>
      </c>
      <c r="F352" s="3" t="s">
        <v>109</v>
      </c>
      <c r="G352" s="3">
        <v>1.0</v>
      </c>
      <c r="H352" s="3">
        <v>711.0</v>
      </c>
      <c r="I352" s="3" t="s">
        <v>110</v>
      </c>
      <c r="J352" s="3">
        <v>0.0</v>
      </c>
      <c r="K352" s="3">
        <v>2.019</v>
      </c>
      <c r="L352" s="3">
        <v>13.0</v>
      </c>
      <c r="M352" s="4" t="str">
        <f>Raw_Data!X352</f>
        <v>mww</v>
      </c>
      <c r="N352" s="3">
        <v>219.96</v>
      </c>
      <c r="O352" s="3">
        <v>-17.0309</v>
      </c>
      <c r="P352" s="3">
        <v>168.52</v>
      </c>
      <c r="Q352" s="3" t="s">
        <v>948</v>
      </c>
      <c r="R352" s="4"/>
      <c r="S352" s="3" t="s">
        <v>113</v>
      </c>
      <c r="T352" s="4" t="str">
        <f t="shared" si="2"/>
        <v>Valid</v>
      </c>
      <c r="U352" s="4">
        <f t="shared" si="3"/>
        <v>1</v>
      </c>
      <c r="V352" s="4" t="str">
        <f t="shared" si="4"/>
        <v>Unique</v>
      </c>
      <c r="W352" s="4" t="str">
        <f t="shared" si="5"/>
        <v>green</v>
      </c>
      <c r="X352" s="4" t="str">
        <f t="shared" ref="X352:Z352" si="356">IF(Q352="","Unknown",Q352)</f>
        <v>Port-Vila, Vanuatu</v>
      </c>
      <c r="Y352" s="4" t="str">
        <f t="shared" si="356"/>
        <v>Unknown</v>
      </c>
      <c r="Z352" s="4" t="str">
        <f t="shared" si="356"/>
        <v>Vanuatu</v>
      </c>
      <c r="AA352" s="4" t="str">
        <f t="shared" si="7"/>
        <v>mww</v>
      </c>
    </row>
    <row r="353">
      <c r="A353" s="3" t="s">
        <v>949</v>
      </c>
      <c r="B353" s="3">
        <v>6.5</v>
      </c>
      <c r="C353" s="19">
        <f>Raw_Data!T353</f>
        <v>42011.21319</v>
      </c>
      <c r="D353" s="3">
        <v>1.0</v>
      </c>
      <c r="E353" s="3">
        <v>4.0</v>
      </c>
      <c r="F353" s="3" t="s">
        <v>109</v>
      </c>
      <c r="G353" s="3">
        <v>1.0</v>
      </c>
      <c r="H353" s="3">
        <v>650.0</v>
      </c>
      <c r="I353" s="3" t="s">
        <v>110</v>
      </c>
      <c r="J353" s="3">
        <v>0.0</v>
      </c>
      <c r="K353" s="3">
        <v>4.318</v>
      </c>
      <c r="L353" s="3">
        <v>61.0</v>
      </c>
      <c r="M353" s="4" t="str">
        <f>Raw_Data!X353</f>
        <v>mww</v>
      </c>
      <c r="N353" s="3">
        <v>8.0</v>
      </c>
      <c r="O353" s="3">
        <v>5.9045</v>
      </c>
      <c r="P353" s="3">
        <v>-82.6576</v>
      </c>
      <c r="Q353" s="3" t="s">
        <v>950</v>
      </c>
      <c r="R353" s="4"/>
      <c r="S353" s="4"/>
      <c r="T353" s="4" t="str">
        <f t="shared" si="2"/>
        <v>Valid</v>
      </c>
      <c r="U353" s="4">
        <f t="shared" si="3"/>
        <v>1</v>
      </c>
      <c r="V353" s="4" t="str">
        <f t="shared" si="4"/>
        <v>Unique</v>
      </c>
      <c r="W353" s="4" t="str">
        <f t="shared" si="5"/>
        <v>green</v>
      </c>
      <c r="X353" s="4" t="str">
        <f t="shared" ref="X353:Z353" si="357">IF(Q353="","Unknown",Q353)</f>
        <v>Punta de Burica, Panama</v>
      </c>
      <c r="Y353" s="4" t="str">
        <f t="shared" si="357"/>
        <v>Unknown</v>
      </c>
      <c r="Z353" s="4" t="str">
        <f t="shared" si="357"/>
        <v>Unknown</v>
      </c>
      <c r="AA353" s="4" t="str">
        <f t="shared" si="7"/>
        <v>mww</v>
      </c>
    </row>
    <row r="354">
      <c r="A354" s="3" t="s">
        <v>951</v>
      </c>
      <c r="B354" s="3">
        <v>6.6</v>
      </c>
      <c r="C354" s="19">
        <f>Raw_Data!T354</f>
        <v>41981.37083</v>
      </c>
      <c r="D354" s="3">
        <v>7.0</v>
      </c>
      <c r="E354" s="3">
        <v>6.0</v>
      </c>
      <c r="F354" s="3" t="s">
        <v>109</v>
      </c>
      <c r="G354" s="3">
        <v>1.0</v>
      </c>
      <c r="H354" s="3">
        <v>709.0</v>
      </c>
      <c r="I354" s="3" t="s">
        <v>110</v>
      </c>
      <c r="J354" s="3">
        <v>0.0</v>
      </c>
      <c r="K354" s="3">
        <v>2.485</v>
      </c>
      <c r="L354" s="3">
        <v>43.0</v>
      </c>
      <c r="M354" s="4" t="str">
        <f>Raw_Data!X354</f>
        <v>mww</v>
      </c>
      <c r="N354" s="3">
        <v>20.0</v>
      </c>
      <c r="O354" s="3">
        <v>7.9401</v>
      </c>
      <c r="P354" s="3">
        <v>-82.6865</v>
      </c>
      <c r="Q354" s="3" t="s">
        <v>950</v>
      </c>
      <c r="R354" s="4"/>
      <c r="S354" s="3" t="s">
        <v>229</v>
      </c>
      <c r="T354" s="4" t="str">
        <f t="shared" si="2"/>
        <v>Valid</v>
      </c>
      <c r="U354" s="4">
        <f t="shared" si="3"/>
        <v>1</v>
      </c>
      <c r="V354" s="4" t="str">
        <f t="shared" si="4"/>
        <v>Unique</v>
      </c>
      <c r="W354" s="4" t="str">
        <f t="shared" si="5"/>
        <v>green</v>
      </c>
      <c r="X354" s="4" t="str">
        <f t="shared" ref="X354:Z354" si="358">IF(Q354="","Unknown",Q354)</f>
        <v>Punta de Burica, Panama</v>
      </c>
      <c r="Y354" s="4" t="str">
        <f t="shared" si="358"/>
        <v>Unknown</v>
      </c>
      <c r="Z354" s="4" t="str">
        <f t="shared" si="358"/>
        <v>Panama</v>
      </c>
      <c r="AA354" s="4" t="str">
        <f t="shared" si="7"/>
        <v>mww</v>
      </c>
    </row>
    <row r="355">
      <c r="A355" s="3" t="s">
        <v>952</v>
      </c>
      <c r="B355" s="3">
        <v>6.6</v>
      </c>
      <c r="C355" s="19">
        <f>Raw_Data!T355</f>
        <v>41980.05694</v>
      </c>
      <c r="D355" s="3">
        <v>1.0</v>
      </c>
      <c r="E355" s="3">
        <v>5.0</v>
      </c>
      <c r="F355" s="3" t="s">
        <v>109</v>
      </c>
      <c r="G355" s="3">
        <v>1.0</v>
      </c>
      <c r="H355" s="3">
        <v>670.0</v>
      </c>
      <c r="I355" s="3" t="s">
        <v>110</v>
      </c>
      <c r="J355" s="3">
        <v>0.0</v>
      </c>
      <c r="K355" s="3">
        <v>3.246</v>
      </c>
      <c r="L355" s="3">
        <v>12.0</v>
      </c>
      <c r="M355" s="4" t="str">
        <f>Raw_Data!X355</f>
        <v>mww</v>
      </c>
      <c r="N355" s="3">
        <v>23.0</v>
      </c>
      <c r="O355" s="3">
        <v>-6.5108</v>
      </c>
      <c r="P355" s="3">
        <v>154.46</v>
      </c>
      <c r="Q355" s="3" t="s">
        <v>728</v>
      </c>
      <c r="R355" s="4"/>
      <c r="S355" s="4"/>
      <c r="T355" s="4" t="str">
        <f t="shared" si="2"/>
        <v>Valid</v>
      </c>
      <c r="U355" s="4">
        <f t="shared" si="3"/>
        <v>1</v>
      </c>
      <c r="V355" s="4" t="str">
        <f t="shared" si="4"/>
        <v>Unique</v>
      </c>
      <c r="W355" s="4" t="str">
        <f t="shared" si="5"/>
        <v>green</v>
      </c>
      <c r="X355" s="4" t="str">
        <f t="shared" ref="X355:Z355" si="359">IF(Q355="","Unknown",Q355)</f>
        <v>Panguna, Papua New Guinea</v>
      </c>
      <c r="Y355" s="4" t="str">
        <f t="shared" si="359"/>
        <v>Unknown</v>
      </c>
      <c r="Z355" s="4" t="str">
        <f t="shared" si="359"/>
        <v>Unknown</v>
      </c>
      <c r="AA355" s="4" t="str">
        <f t="shared" si="7"/>
        <v>mww</v>
      </c>
    </row>
    <row r="356">
      <c r="A356" s="3" t="s">
        <v>953</v>
      </c>
      <c r="B356" s="3">
        <v>6.6</v>
      </c>
      <c r="C356" s="19">
        <f>Raw_Data!T356</f>
        <v>41975.21597</v>
      </c>
      <c r="D356" s="3">
        <v>1.0</v>
      </c>
      <c r="E356" s="3">
        <v>3.0</v>
      </c>
      <c r="F356" s="3" t="s">
        <v>109</v>
      </c>
      <c r="G356" s="3">
        <v>0.0</v>
      </c>
      <c r="H356" s="3">
        <v>670.0</v>
      </c>
      <c r="I356" s="3" t="s">
        <v>110</v>
      </c>
      <c r="J356" s="3">
        <v>0.0</v>
      </c>
      <c r="K356" s="3">
        <v>2.6</v>
      </c>
      <c r="L356" s="3">
        <v>9.0</v>
      </c>
      <c r="M356" s="4" t="str">
        <f>Raw_Data!X356</f>
        <v>mww</v>
      </c>
      <c r="N356" s="3">
        <v>614.0</v>
      </c>
      <c r="O356" s="3">
        <v>6.1572</v>
      </c>
      <c r="P356" s="3">
        <v>123.126</v>
      </c>
      <c r="Q356" s="3" t="s">
        <v>954</v>
      </c>
      <c r="R356" s="4"/>
      <c r="S356" s="3" t="s">
        <v>258</v>
      </c>
      <c r="T356" s="4" t="str">
        <f t="shared" si="2"/>
        <v>Valid</v>
      </c>
      <c r="U356" s="4">
        <f t="shared" si="3"/>
        <v>1</v>
      </c>
      <c r="V356" s="4" t="str">
        <f t="shared" si="4"/>
        <v>Unique</v>
      </c>
      <c r="W356" s="4" t="str">
        <f t="shared" si="5"/>
        <v>green</v>
      </c>
      <c r="X356" s="4" t="str">
        <f t="shared" ref="X356:Z356" si="360">IF(Q356="","Unknown",Q356)</f>
        <v>Sangay, Philippines</v>
      </c>
      <c r="Y356" s="4" t="str">
        <f t="shared" si="360"/>
        <v>Unknown</v>
      </c>
      <c r="Z356" s="4" t="str">
        <f t="shared" si="360"/>
        <v>Philippines</v>
      </c>
      <c r="AA356" s="4" t="str">
        <f t="shared" si="7"/>
        <v>mww</v>
      </c>
    </row>
    <row r="357">
      <c r="A357" s="3" t="s">
        <v>955</v>
      </c>
      <c r="B357" s="3">
        <v>6.8</v>
      </c>
      <c r="C357" s="19">
        <f>Raw_Data!T357</f>
        <v>41969.60625</v>
      </c>
      <c r="D357" s="3">
        <v>6.0</v>
      </c>
      <c r="E357" s="3">
        <v>5.0</v>
      </c>
      <c r="F357" s="3" t="s">
        <v>109</v>
      </c>
      <c r="G357" s="3">
        <v>1.0</v>
      </c>
      <c r="H357" s="3">
        <v>713.0</v>
      </c>
      <c r="I357" s="3" t="s">
        <v>110</v>
      </c>
      <c r="J357" s="3">
        <v>0.0</v>
      </c>
      <c r="K357" s="3">
        <v>1.421</v>
      </c>
      <c r="L357" s="3">
        <v>19.0</v>
      </c>
      <c r="M357" s="4" t="str">
        <f>Raw_Data!X357</f>
        <v>mww</v>
      </c>
      <c r="N357" s="3">
        <v>39.0</v>
      </c>
      <c r="O357" s="3">
        <v>1.9604</v>
      </c>
      <c r="P357" s="3">
        <v>126.575</v>
      </c>
      <c r="Q357" s="3" t="s">
        <v>957</v>
      </c>
      <c r="R357" s="4"/>
      <c r="S357" s="3" t="s">
        <v>153</v>
      </c>
      <c r="T357" s="4" t="str">
        <f t="shared" si="2"/>
        <v>Valid</v>
      </c>
      <c r="U357" s="4">
        <f t="shared" si="3"/>
        <v>1</v>
      </c>
      <c r="V357" s="4" t="str">
        <f t="shared" si="4"/>
        <v>Unique</v>
      </c>
      <c r="W357" s="4" t="str">
        <f t="shared" si="5"/>
        <v>green</v>
      </c>
      <c r="X357" s="4" t="str">
        <f t="shared" ref="X357:Z357" si="361">IF(Q357="","Unknown",Q357)</f>
        <v>Ternate, Indonesia</v>
      </c>
      <c r="Y357" s="4" t="str">
        <f t="shared" si="361"/>
        <v>Unknown</v>
      </c>
      <c r="Z357" s="4" t="str">
        <f t="shared" si="361"/>
        <v>Indonesia</v>
      </c>
      <c r="AA357" s="4" t="str">
        <f t="shared" si="7"/>
        <v>mww</v>
      </c>
    </row>
    <row r="358">
      <c r="A358" s="3" t="s">
        <v>958</v>
      </c>
      <c r="B358" s="3">
        <v>6.5</v>
      </c>
      <c r="C358" s="19">
        <f>Raw_Data!T358</f>
        <v>41964.42361</v>
      </c>
      <c r="D358" s="3">
        <v>5.0</v>
      </c>
      <c r="E358" s="3">
        <v>5.0</v>
      </c>
      <c r="F358" s="3" t="s">
        <v>109</v>
      </c>
      <c r="G358" s="3">
        <v>1.0</v>
      </c>
      <c r="H358" s="3">
        <v>652.0</v>
      </c>
      <c r="I358" s="3" t="s">
        <v>110</v>
      </c>
      <c r="J358" s="3">
        <v>0.0</v>
      </c>
      <c r="K358" s="3">
        <v>1.549</v>
      </c>
      <c r="L358" s="3">
        <v>9.0</v>
      </c>
      <c r="M358" s="4" t="str">
        <f>Raw_Data!X358</f>
        <v>mww</v>
      </c>
      <c r="N358" s="3">
        <v>35.0</v>
      </c>
      <c r="O358" s="3">
        <v>2.2999</v>
      </c>
      <c r="P358" s="3">
        <v>127.056</v>
      </c>
      <c r="Q358" s="3" t="s">
        <v>205</v>
      </c>
      <c r="R358" s="4"/>
      <c r="S358" s="3" t="s">
        <v>153</v>
      </c>
      <c r="T358" s="4" t="str">
        <f t="shared" si="2"/>
        <v>Valid</v>
      </c>
      <c r="U358" s="4">
        <f t="shared" si="3"/>
        <v>1</v>
      </c>
      <c r="V358" s="4" t="str">
        <f t="shared" si="4"/>
        <v>Unique</v>
      </c>
      <c r="W358" s="4" t="str">
        <f t="shared" si="5"/>
        <v>green</v>
      </c>
      <c r="X358" s="4" t="str">
        <f t="shared" ref="X358:Z358" si="362">IF(Q358="","Unknown",Q358)</f>
        <v>Tobelo, Indonesia</v>
      </c>
      <c r="Y358" s="4" t="str">
        <f t="shared" si="362"/>
        <v>Unknown</v>
      </c>
      <c r="Z358" s="4" t="str">
        <f t="shared" si="362"/>
        <v>Indonesia</v>
      </c>
      <c r="AA358" s="4" t="str">
        <f t="shared" si="7"/>
        <v>mww</v>
      </c>
    </row>
    <row r="359">
      <c r="A359" s="3" t="s">
        <v>960</v>
      </c>
      <c r="B359" s="3">
        <v>6.7</v>
      </c>
      <c r="C359" s="19">
        <f>Raw_Data!T359</f>
        <v>41959.93958</v>
      </c>
      <c r="D359" s="3">
        <v>7.0</v>
      </c>
      <c r="E359" s="3">
        <v>4.0</v>
      </c>
      <c r="F359" s="3" t="s">
        <v>109</v>
      </c>
      <c r="G359" s="3">
        <v>1.0</v>
      </c>
      <c r="H359" s="3">
        <v>698.0</v>
      </c>
      <c r="I359" s="3" t="s">
        <v>110</v>
      </c>
      <c r="J359" s="3">
        <v>0.0</v>
      </c>
      <c r="K359" s="3">
        <v>1.079</v>
      </c>
      <c r="L359" s="3">
        <v>25.0</v>
      </c>
      <c r="M359" s="4" t="str">
        <f>Raw_Data!X359</f>
        <v>mww</v>
      </c>
      <c r="N359" s="3">
        <v>22.0</v>
      </c>
      <c r="O359" s="3">
        <v>-37.6478</v>
      </c>
      <c r="P359" s="3">
        <v>179.662</v>
      </c>
      <c r="Q359" s="3" t="s">
        <v>387</v>
      </c>
      <c r="R359" s="4"/>
      <c r="S359" s="4"/>
      <c r="T359" s="4" t="str">
        <f t="shared" si="2"/>
        <v>Valid</v>
      </c>
      <c r="U359" s="4">
        <f t="shared" si="3"/>
        <v>1</v>
      </c>
      <c r="V359" s="4" t="str">
        <f t="shared" si="4"/>
        <v>Unique</v>
      </c>
      <c r="W359" s="4" t="str">
        <f t="shared" si="5"/>
        <v>green</v>
      </c>
      <c r="X359" s="4" t="str">
        <f t="shared" ref="X359:Z359" si="363">IF(Q359="","Unknown",Q359)</f>
        <v>Gisborne, New Zealand</v>
      </c>
      <c r="Y359" s="4" t="str">
        <f t="shared" si="363"/>
        <v>Unknown</v>
      </c>
      <c r="Z359" s="4" t="str">
        <f t="shared" si="363"/>
        <v>Unknown</v>
      </c>
      <c r="AA359" s="4" t="str">
        <f t="shared" si="7"/>
        <v>mww</v>
      </c>
    </row>
    <row r="360">
      <c r="A360" s="3" t="s">
        <v>962</v>
      </c>
      <c r="B360" s="3">
        <v>7.1</v>
      </c>
      <c r="C360" s="19">
        <f>Raw_Data!T360</f>
        <v>41958.10486</v>
      </c>
      <c r="D360" s="3">
        <v>4.0</v>
      </c>
      <c r="E360" s="3">
        <v>6.0</v>
      </c>
      <c r="F360" s="3" t="s">
        <v>109</v>
      </c>
      <c r="G360" s="3">
        <v>1.0</v>
      </c>
      <c r="H360" s="3">
        <v>779.0</v>
      </c>
      <c r="I360" s="3" t="s">
        <v>110</v>
      </c>
      <c r="J360" s="3">
        <v>0.0</v>
      </c>
      <c r="K360" s="3">
        <v>1.397</v>
      </c>
      <c r="L360" s="3">
        <v>18.0</v>
      </c>
      <c r="M360" s="4" t="str">
        <f>Raw_Data!X360</f>
        <v>mww</v>
      </c>
      <c r="N360" s="3">
        <v>45.0</v>
      </c>
      <c r="O360" s="3">
        <v>1.8929</v>
      </c>
      <c r="P360" s="3">
        <v>126.522</v>
      </c>
      <c r="Q360" s="3" t="s">
        <v>957</v>
      </c>
      <c r="R360" s="4"/>
      <c r="S360" s="3" t="s">
        <v>153</v>
      </c>
      <c r="T360" s="4" t="str">
        <f t="shared" si="2"/>
        <v>Valid</v>
      </c>
      <c r="U360" s="4">
        <f t="shared" si="3"/>
        <v>1</v>
      </c>
      <c r="V360" s="4" t="str">
        <f t="shared" si="4"/>
        <v>Unique</v>
      </c>
      <c r="W360" s="4" t="str">
        <f t="shared" si="5"/>
        <v>green</v>
      </c>
      <c r="X360" s="4" t="str">
        <f t="shared" ref="X360:Z360" si="364">IF(Q360="","Unknown",Q360)</f>
        <v>Ternate, Indonesia</v>
      </c>
      <c r="Y360" s="4" t="str">
        <f t="shared" si="364"/>
        <v>Unknown</v>
      </c>
      <c r="Z360" s="4" t="str">
        <f t="shared" si="364"/>
        <v>Indonesia</v>
      </c>
      <c r="AA360" s="4" t="str">
        <f t="shared" si="7"/>
        <v>mww</v>
      </c>
    </row>
    <row r="361">
      <c r="A361" s="3" t="s">
        <v>964</v>
      </c>
      <c r="B361" s="3">
        <v>6.6</v>
      </c>
      <c r="C361" s="19">
        <f>Raw_Data!T361</f>
        <v>41950.14792</v>
      </c>
      <c r="D361" s="3">
        <v>2.0</v>
      </c>
      <c r="E361" s="3">
        <v>6.0</v>
      </c>
      <c r="F361" s="3" t="s">
        <v>109</v>
      </c>
      <c r="G361" s="3">
        <v>1.0</v>
      </c>
      <c r="H361" s="3">
        <v>671.0</v>
      </c>
      <c r="I361" s="3" t="s">
        <v>110</v>
      </c>
      <c r="J361" s="3">
        <v>0.0</v>
      </c>
      <c r="K361" s="3">
        <v>3.557</v>
      </c>
      <c r="L361" s="3">
        <v>13.0</v>
      </c>
      <c r="M361" s="4" t="str">
        <f>Raw_Data!X361</f>
        <v>mww</v>
      </c>
      <c r="N361" s="3">
        <v>53.19</v>
      </c>
      <c r="O361" s="3">
        <v>-5.9873</v>
      </c>
      <c r="P361" s="3">
        <v>148.232</v>
      </c>
      <c r="Q361" s="3" t="s">
        <v>965</v>
      </c>
      <c r="R361" s="4"/>
      <c r="S361" s="3" t="s">
        <v>168</v>
      </c>
      <c r="T361" s="4" t="str">
        <f t="shared" si="2"/>
        <v>Valid</v>
      </c>
      <c r="U361" s="4">
        <f t="shared" si="3"/>
        <v>1</v>
      </c>
      <c r="V361" s="4" t="str">
        <f t="shared" si="4"/>
        <v>Unique</v>
      </c>
      <c r="W361" s="4" t="str">
        <f t="shared" si="5"/>
        <v>green</v>
      </c>
      <c r="X361" s="4" t="str">
        <f t="shared" ref="X361:Z361" si="365">IF(Q361="","Unknown",Q361)</f>
        <v>Finschhafen, Papua New Guinea</v>
      </c>
      <c r="Y361" s="4" t="str">
        <f t="shared" si="365"/>
        <v>Unknown</v>
      </c>
      <c r="Z361" s="4" t="str">
        <f t="shared" si="365"/>
        <v>Papua New Guinea</v>
      </c>
      <c r="AA361" s="4" t="str">
        <f t="shared" si="7"/>
        <v>mww</v>
      </c>
    </row>
    <row r="362">
      <c r="A362" s="3" t="s">
        <v>966</v>
      </c>
      <c r="B362" s="3">
        <v>7.1</v>
      </c>
      <c r="C362" s="19">
        <f>Raw_Data!T362</f>
        <v>41944.78958</v>
      </c>
      <c r="D362" s="3">
        <v>3.0</v>
      </c>
      <c r="E362" s="3">
        <v>6.0</v>
      </c>
      <c r="F362" s="3" t="s">
        <v>109</v>
      </c>
      <c r="G362" s="3">
        <v>1.0</v>
      </c>
      <c r="H362" s="3">
        <v>776.0</v>
      </c>
      <c r="I362" s="3" t="s">
        <v>110</v>
      </c>
      <c r="J362" s="3">
        <v>0.0</v>
      </c>
      <c r="K362" s="3">
        <v>4.415</v>
      </c>
      <c r="L362" s="3">
        <v>13.0</v>
      </c>
      <c r="M362" s="4" t="str">
        <f>Raw_Data!X362</f>
        <v>mww</v>
      </c>
      <c r="N362" s="3">
        <v>434.0</v>
      </c>
      <c r="O362" s="3">
        <v>-19.6903</v>
      </c>
      <c r="P362" s="3">
        <v>-177.759</v>
      </c>
      <c r="Q362" s="3" t="s">
        <v>777</v>
      </c>
      <c r="R362" s="4"/>
      <c r="S362" s="4"/>
      <c r="T362" s="4" t="str">
        <f t="shared" si="2"/>
        <v>Valid</v>
      </c>
      <c r="U362" s="4">
        <f t="shared" si="3"/>
        <v>1</v>
      </c>
      <c r="V362" s="4" t="str">
        <f t="shared" si="4"/>
        <v>Unique</v>
      </c>
      <c r="W362" s="4" t="str">
        <f t="shared" si="5"/>
        <v>green</v>
      </c>
      <c r="X362" s="4" t="str">
        <f t="shared" ref="X362:Z362" si="366">IF(Q362="","Unknown",Q362)</f>
        <v>Fiji region</v>
      </c>
      <c r="Y362" s="4" t="str">
        <f t="shared" si="366"/>
        <v>Unknown</v>
      </c>
      <c r="Z362" s="4" t="str">
        <f t="shared" si="366"/>
        <v>Unknown</v>
      </c>
      <c r="AA362" s="4" t="str">
        <f t="shared" si="7"/>
        <v>mww</v>
      </c>
    </row>
    <row r="363">
      <c r="A363" s="3" t="s">
        <v>967</v>
      </c>
      <c r="B363" s="3">
        <v>7.3</v>
      </c>
      <c r="C363" s="19">
        <f>Raw_Data!T363</f>
        <v>41926.16042</v>
      </c>
      <c r="D363" s="3">
        <v>8.0</v>
      </c>
      <c r="E363" s="3">
        <v>6.0</v>
      </c>
      <c r="F363" s="3" t="s">
        <v>116</v>
      </c>
      <c r="G363" s="3">
        <v>1.0</v>
      </c>
      <c r="H363" s="3">
        <v>982.0</v>
      </c>
      <c r="I363" s="3" t="s">
        <v>110</v>
      </c>
      <c r="J363" s="3">
        <v>0.0</v>
      </c>
      <c r="K363" s="3">
        <v>1.078</v>
      </c>
      <c r="L363" s="3">
        <v>18.0</v>
      </c>
      <c r="M363" s="4" t="str">
        <f>Raw_Data!X363</f>
        <v>mww</v>
      </c>
      <c r="N363" s="3">
        <v>40.0</v>
      </c>
      <c r="O363" s="3">
        <v>12.5262</v>
      </c>
      <c r="P363" s="3">
        <v>-88.1225</v>
      </c>
      <c r="Q363" s="3" t="s">
        <v>117</v>
      </c>
      <c r="R363" s="4"/>
      <c r="S363" s="4"/>
      <c r="T363" s="4" t="str">
        <f t="shared" si="2"/>
        <v>Valid</v>
      </c>
      <c r="U363" s="4">
        <f t="shared" si="3"/>
        <v>1</v>
      </c>
      <c r="V363" s="4" t="str">
        <f t="shared" si="4"/>
        <v>Unique</v>
      </c>
      <c r="W363" s="4" t="str">
        <f t="shared" si="5"/>
        <v>yellow</v>
      </c>
      <c r="X363" s="4" t="str">
        <f t="shared" ref="X363:Z363" si="367">IF(Q363="","Unknown",Q363)</f>
        <v>Intipucá, El Salvador</v>
      </c>
      <c r="Y363" s="4" t="str">
        <f t="shared" si="367"/>
        <v>Unknown</v>
      </c>
      <c r="Z363" s="4" t="str">
        <f t="shared" si="367"/>
        <v>Unknown</v>
      </c>
      <c r="AA363" s="4" t="str">
        <f t="shared" si="7"/>
        <v>mww</v>
      </c>
    </row>
    <row r="364">
      <c r="A364" s="3" t="s">
        <v>969</v>
      </c>
      <c r="B364" s="3">
        <v>6.7</v>
      </c>
      <c r="C364" s="19">
        <f>Raw_Data!T364</f>
        <v>41899.25972</v>
      </c>
      <c r="D364" s="3">
        <v>5.0</v>
      </c>
      <c r="E364" s="3">
        <v>5.0</v>
      </c>
      <c r="F364" s="3" t="s">
        <v>109</v>
      </c>
      <c r="G364" s="3">
        <v>1.0</v>
      </c>
      <c r="H364" s="3">
        <v>724.0</v>
      </c>
      <c r="I364" s="3" t="s">
        <v>110</v>
      </c>
      <c r="J364" s="3">
        <v>0.0</v>
      </c>
      <c r="K364" s="3">
        <v>0.46</v>
      </c>
      <c r="L364" s="3">
        <v>11.0</v>
      </c>
      <c r="M364" s="4" t="str">
        <f>Raw_Data!X364</f>
        <v>mww</v>
      </c>
      <c r="N364" s="3">
        <v>130.0</v>
      </c>
      <c r="O364" s="3">
        <v>13.7641</v>
      </c>
      <c r="P364" s="3">
        <v>144.429</v>
      </c>
      <c r="Q364" s="3" t="s">
        <v>971</v>
      </c>
      <c r="R364" s="4"/>
      <c r="S364" s="4"/>
      <c r="T364" s="4" t="str">
        <f t="shared" si="2"/>
        <v>Valid</v>
      </c>
      <c r="U364" s="4">
        <f t="shared" si="3"/>
        <v>1</v>
      </c>
      <c r="V364" s="4" t="str">
        <f t="shared" si="4"/>
        <v>Unique</v>
      </c>
      <c r="W364" s="4" t="str">
        <f t="shared" si="5"/>
        <v>green</v>
      </c>
      <c r="X364" s="4" t="str">
        <f t="shared" ref="X364:Z364" si="368">IF(Q364="","Unknown",Q364)</f>
        <v>Piti Village, Guam</v>
      </c>
      <c r="Y364" s="4" t="str">
        <f t="shared" si="368"/>
        <v>Unknown</v>
      </c>
      <c r="Z364" s="4" t="str">
        <f t="shared" si="368"/>
        <v>Unknown</v>
      </c>
      <c r="AA364" s="4" t="str">
        <f t="shared" si="7"/>
        <v>mww</v>
      </c>
    </row>
    <row r="365">
      <c r="A365" s="3" t="s">
        <v>972</v>
      </c>
      <c r="B365" s="3">
        <v>6.8</v>
      </c>
      <c r="C365" s="19">
        <f>Raw_Data!T365</f>
        <v>41875.97292</v>
      </c>
      <c r="D365" s="3">
        <v>6.0</v>
      </c>
      <c r="E365" s="3">
        <v>6.0</v>
      </c>
      <c r="F365" s="3" t="s">
        <v>109</v>
      </c>
      <c r="G365" s="3">
        <v>1.0</v>
      </c>
      <c r="H365" s="3">
        <v>741.0</v>
      </c>
      <c r="I365" s="3" t="s">
        <v>110</v>
      </c>
      <c r="J365" s="3">
        <v>0.0</v>
      </c>
      <c r="K365" s="3">
        <v>4.107</v>
      </c>
      <c r="L365" s="3">
        <v>18.0</v>
      </c>
      <c r="M365" s="4" t="str">
        <f>Raw_Data!X365</f>
        <v>mww</v>
      </c>
      <c r="N365" s="3">
        <v>101.0</v>
      </c>
      <c r="O365" s="3">
        <v>-14.598</v>
      </c>
      <c r="P365" s="3">
        <v>-73.5714</v>
      </c>
      <c r="Q365" s="3" t="s">
        <v>974</v>
      </c>
      <c r="R365" s="3" t="s">
        <v>121</v>
      </c>
      <c r="S365" s="3" t="s">
        <v>265</v>
      </c>
      <c r="T365" s="4" t="str">
        <f t="shared" si="2"/>
        <v>Valid</v>
      </c>
      <c r="U365" s="4">
        <f t="shared" si="3"/>
        <v>1</v>
      </c>
      <c r="V365" s="4" t="str">
        <f t="shared" si="4"/>
        <v>Unique</v>
      </c>
      <c r="W365" s="4" t="str">
        <f t="shared" si="5"/>
        <v>green</v>
      </c>
      <c r="X365" s="4" t="str">
        <f t="shared" ref="X365:Z365" si="369">IF(Q365="","Unknown",Q365)</f>
        <v>Aniso, Peru</v>
      </c>
      <c r="Y365" s="4" t="str">
        <f t="shared" si="369"/>
        <v>South America</v>
      </c>
      <c r="Z365" s="4" t="str">
        <f t="shared" si="369"/>
        <v>Peru</v>
      </c>
      <c r="AA365" s="4" t="str">
        <f t="shared" si="7"/>
        <v>mww</v>
      </c>
    </row>
    <row r="366">
      <c r="A366" s="3" t="s">
        <v>975</v>
      </c>
      <c r="B366" s="3">
        <v>6.9</v>
      </c>
      <c r="C366" s="19">
        <f>Raw_Data!T366</f>
        <v>41854.01528</v>
      </c>
      <c r="D366" s="3">
        <v>0.0</v>
      </c>
      <c r="E366" s="3">
        <v>4.0</v>
      </c>
      <c r="F366" s="3" t="s">
        <v>109</v>
      </c>
      <c r="G366" s="3">
        <v>1.0</v>
      </c>
      <c r="H366" s="3">
        <v>732.0</v>
      </c>
      <c r="I366" s="3" t="s">
        <v>110</v>
      </c>
      <c r="J366" s="3">
        <v>0.0</v>
      </c>
      <c r="K366" s="3">
        <v>6.393</v>
      </c>
      <c r="L366" s="3">
        <v>12.0</v>
      </c>
      <c r="M366" s="4" t="str">
        <f>Raw_Data!X366</f>
        <v>mww</v>
      </c>
      <c r="N366" s="3">
        <v>13.0</v>
      </c>
      <c r="O366" s="3">
        <v>0.8295</v>
      </c>
      <c r="P366" s="3">
        <v>146.169</v>
      </c>
      <c r="Q366" s="3" t="s">
        <v>976</v>
      </c>
      <c r="R366" s="4"/>
      <c r="S366" s="4"/>
      <c r="T366" s="4" t="str">
        <f t="shared" si="2"/>
        <v>Valid</v>
      </c>
      <c r="U366" s="4">
        <f t="shared" si="3"/>
        <v>1</v>
      </c>
      <c r="V366" s="4" t="str">
        <f t="shared" si="4"/>
        <v>Unique</v>
      </c>
      <c r="W366" s="4" t="str">
        <f t="shared" si="5"/>
        <v>green</v>
      </c>
      <c r="X366" s="4" t="str">
        <f t="shared" ref="X366:Z366" si="370">IF(Q366="","Unknown",Q366)</f>
        <v>Micronesia region</v>
      </c>
      <c r="Y366" s="4" t="str">
        <f t="shared" si="370"/>
        <v>Unknown</v>
      </c>
      <c r="Z366" s="4" t="str">
        <f t="shared" si="370"/>
        <v>Unknown</v>
      </c>
      <c r="AA366" s="4" t="str">
        <f t="shared" si="7"/>
        <v>mww</v>
      </c>
    </row>
    <row r="367">
      <c r="A367" s="3" t="s">
        <v>775</v>
      </c>
      <c r="B367" s="3">
        <v>6.9</v>
      </c>
      <c r="C367" s="19">
        <f>Raw_Data!T367</f>
        <v>41841.62083</v>
      </c>
      <c r="D367" s="3">
        <v>0.0</v>
      </c>
      <c r="E367" s="3">
        <v>6.0</v>
      </c>
      <c r="F367" s="3" t="s">
        <v>109</v>
      </c>
      <c r="G367" s="3">
        <v>1.0</v>
      </c>
      <c r="H367" s="3">
        <v>732.0</v>
      </c>
      <c r="I367" s="3" t="s">
        <v>110</v>
      </c>
      <c r="J367" s="3">
        <v>0.0</v>
      </c>
      <c r="K367" s="3">
        <v>3.934</v>
      </c>
      <c r="L367" s="3">
        <v>15.0</v>
      </c>
      <c r="M367" s="4" t="str">
        <f>Raw_Data!X367</f>
        <v>mww</v>
      </c>
      <c r="N367" s="3">
        <v>615.42</v>
      </c>
      <c r="O367" s="3">
        <v>-19.8015</v>
      </c>
      <c r="P367" s="3">
        <v>-178.4</v>
      </c>
      <c r="Q367" s="3" t="s">
        <v>777</v>
      </c>
      <c r="R367" s="4"/>
      <c r="S367" s="3" t="s">
        <v>219</v>
      </c>
      <c r="T367" s="4" t="str">
        <f t="shared" si="2"/>
        <v>Valid</v>
      </c>
      <c r="U367" s="4">
        <f t="shared" si="3"/>
        <v>1</v>
      </c>
      <c r="V367" s="4" t="str">
        <f t="shared" si="4"/>
        <v>Unique</v>
      </c>
      <c r="W367" s="4" t="str">
        <f t="shared" si="5"/>
        <v>green</v>
      </c>
      <c r="X367" s="4" t="str">
        <f t="shared" ref="X367:Z367" si="371">IF(Q367="","Unknown",Q367)</f>
        <v>Fiji region</v>
      </c>
      <c r="Y367" s="4" t="str">
        <f t="shared" si="371"/>
        <v>Unknown</v>
      </c>
      <c r="Z367" s="4" t="str">
        <f t="shared" si="371"/>
        <v>Fiji</v>
      </c>
      <c r="AA367" s="4" t="str">
        <f t="shared" si="7"/>
        <v>mww</v>
      </c>
    </row>
    <row r="368">
      <c r="A368" s="3" t="s">
        <v>978</v>
      </c>
      <c r="B368" s="3">
        <v>6.5</v>
      </c>
      <c r="C368" s="19">
        <f>Raw_Data!T368</f>
        <v>41831.80694</v>
      </c>
      <c r="D368" s="3">
        <v>5.0</v>
      </c>
      <c r="E368" s="3">
        <v>4.0</v>
      </c>
      <c r="F368" s="3" t="s">
        <v>109</v>
      </c>
      <c r="G368" s="3">
        <v>1.0</v>
      </c>
      <c r="H368" s="3">
        <v>706.0</v>
      </c>
      <c r="I368" s="3" t="s">
        <v>110</v>
      </c>
      <c r="J368" s="3">
        <v>0.0</v>
      </c>
      <c r="K368" s="3">
        <v>2.421</v>
      </c>
      <c r="L368" s="3">
        <v>9.0</v>
      </c>
      <c r="M368" s="4" t="str">
        <f>Raw_Data!X368</f>
        <v>mww</v>
      </c>
      <c r="N368" s="3">
        <v>20.0</v>
      </c>
      <c r="O368" s="3">
        <v>37.0052</v>
      </c>
      <c r="P368" s="3">
        <v>142.452</v>
      </c>
      <c r="Q368" s="3" t="s">
        <v>282</v>
      </c>
      <c r="R368" s="4"/>
      <c r="S368" s="4"/>
      <c r="T368" s="4" t="str">
        <f t="shared" si="2"/>
        <v>Valid</v>
      </c>
      <c r="U368" s="4">
        <f t="shared" si="3"/>
        <v>1</v>
      </c>
      <c r="V368" s="4" t="str">
        <f t="shared" si="4"/>
        <v>Unique</v>
      </c>
      <c r="W368" s="4" t="str">
        <f t="shared" si="5"/>
        <v>green</v>
      </c>
      <c r="X368" s="4" t="str">
        <f t="shared" ref="X368:Z368" si="372">IF(Q368="","Unknown",Q368)</f>
        <v>Namie, Japan</v>
      </c>
      <c r="Y368" s="4" t="str">
        <f t="shared" si="372"/>
        <v>Unknown</v>
      </c>
      <c r="Z368" s="4" t="str">
        <f t="shared" si="372"/>
        <v>Unknown</v>
      </c>
      <c r="AA368" s="4" t="str">
        <f t="shared" si="7"/>
        <v>mww</v>
      </c>
    </row>
    <row r="369">
      <c r="A369" s="3" t="s">
        <v>979</v>
      </c>
      <c r="B369" s="3">
        <v>6.9</v>
      </c>
      <c r="C369" s="19">
        <f>Raw_Data!T369</f>
        <v>41827.47431</v>
      </c>
      <c r="D369" s="3">
        <v>8.0</v>
      </c>
      <c r="E369" s="3">
        <v>7.0</v>
      </c>
      <c r="F369" s="3" t="s">
        <v>178</v>
      </c>
      <c r="G369" s="3">
        <v>1.0</v>
      </c>
      <c r="H369" s="3">
        <v>1079.0</v>
      </c>
      <c r="I369" s="3" t="s">
        <v>110</v>
      </c>
      <c r="J369" s="3">
        <v>0.0</v>
      </c>
      <c r="K369" s="3">
        <v>0.263</v>
      </c>
      <c r="L369" s="3">
        <v>51.0</v>
      </c>
      <c r="M369" s="4" t="str">
        <f>Raw_Data!X369</f>
        <v>mww</v>
      </c>
      <c r="N369" s="3">
        <v>53.0</v>
      </c>
      <c r="O369" s="3">
        <v>14.724</v>
      </c>
      <c r="P369" s="3">
        <v>-92.4614</v>
      </c>
      <c r="Q369" s="3" t="s">
        <v>541</v>
      </c>
      <c r="R369" s="4"/>
      <c r="S369" s="3" t="s">
        <v>234</v>
      </c>
      <c r="T369" s="4" t="str">
        <f t="shared" si="2"/>
        <v>Valid</v>
      </c>
      <c r="U369" s="4">
        <f t="shared" si="3"/>
        <v>1</v>
      </c>
      <c r="V369" s="4" t="str">
        <f t="shared" si="4"/>
        <v>Unique</v>
      </c>
      <c r="W369" s="4" t="str">
        <f t="shared" si="5"/>
        <v>orange</v>
      </c>
      <c r="X369" s="4" t="str">
        <f t="shared" ref="X369:Z369" si="373">IF(Q369="","Unknown",Q369)</f>
        <v>Puerto Madero, Mexico</v>
      </c>
      <c r="Y369" s="4" t="str">
        <f t="shared" si="373"/>
        <v>Unknown</v>
      </c>
      <c r="Z369" s="4" t="str">
        <f t="shared" si="373"/>
        <v>Mexico</v>
      </c>
      <c r="AA369" s="4" t="str">
        <f t="shared" si="7"/>
        <v>mww</v>
      </c>
    </row>
    <row r="370">
      <c r="A370" s="3" t="s">
        <v>980</v>
      </c>
      <c r="B370" s="3">
        <v>6.5</v>
      </c>
      <c r="C370" s="19">
        <f>Raw_Data!T370</f>
        <v>41824.625</v>
      </c>
      <c r="D370" s="3">
        <v>0.0</v>
      </c>
      <c r="E370" s="3">
        <v>4.0</v>
      </c>
      <c r="F370" s="3" t="s">
        <v>109</v>
      </c>
      <c r="G370" s="3">
        <v>1.0</v>
      </c>
      <c r="H370" s="3">
        <v>650.0</v>
      </c>
      <c r="I370" s="3" t="s">
        <v>110</v>
      </c>
      <c r="J370" s="3">
        <v>0.0</v>
      </c>
      <c r="K370" s="3">
        <v>2.124</v>
      </c>
      <c r="L370" s="3">
        <v>15.0</v>
      </c>
      <c r="M370" s="4" t="str">
        <f>Raw_Data!X370</f>
        <v>mww</v>
      </c>
      <c r="N370" s="3">
        <v>20.0</v>
      </c>
      <c r="O370" s="3">
        <v>-6.2304</v>
      </c>
      <c r="P370" s="3">
        <v>152.807</v>
      </c>
      <c r="Q370" s="3" t="s">
        <v>633</v>
      </c>
      <c r="R370" s="4"/>
      <c r="S370" s="4"/>
      <c r="T370" s="4" t="str">
        <f t="shared" si="2"/>
        <v>Valid</v>
      </c>
      <c r="U370" s="4">
        <f t="shared" si="3"/>
        <v>1</v>
      </c>
      <c r="V370" s="4" t="str">
        <f t="shared" si="4"/>
        <v>Unique</v>
      </c>
      <c r="W370" s="4" t="str">
        <f t="shared" si="5"/>
        <v>green</v>
      </c>
      <c r="X370" s="4" t="str">
        <f t="shared" ref="X370:Z370" si="374">IF(Q370="","Unknown",Q370)</f>
        <v>Kokopo, Papua New Guinea</v>
      </c>
      <c r="Y370" s="4" t="str">
        <f t="shared" si="374"/>
        <v>Unknown</v>
      </c>
      <c r="Z370" s="4" t="str">
        <f t="shared" si="374"/>
        <v>Unknown</v>
      </c>
      <c r="AA370" s="4" t="str">
        <f t="shared" si="7"/>
        <v>mww</v>
      </c>
    </row>
    <row r="371">
      <c r="A371" s="3" t="s">
        <v>981</v>
      </c>
      <c r="B371" s="3">
        <v>6.7</v>
      </c>
      <c r="C371" s="19">
        <f>Raw_Data!T371</f>
        <v>41819.71875</v>
      </c>
      <c r="D371" s="3">
        <v>0.0</v>
      </c>
      <c r="E371" s="3">
        <v>5.0</v>
      </c>
      <c r="F371" s="3" t="s">
        <v>109</v>
      </c>
      <c r="G371" s="3">
        <v>1.0</v>
      </c>
      <c r="H371" s="3">
        <v>691.0</v>
      </c>
      <c r="I371" s="3" t="s">
        <v>110</v>
      </c>
      <c r="J371" s="3">
        <v>0.0</v>
      </c>
      <c r="K371" s="3">
        <v>6.713</v>
      </c>
      <c r="L371" s="3">
        <v>45.0</v>
      </c>
      <c r="M371" s="4" t="str">
        <f>Raw_Data!X371</f>
        <v>mww</v>
      </c>
      <c r="N371" s="3">
        <v>18.0</v>
      </c>
      <c r="O371" s="3">
        <v>-14.9831</v>
      </c>
      <c r="P371" s="3">
        <v>-175.51</v>
      </c>
      <c r="Q371" s="3" t="s">
        <v>983</v>
      </c>
      <c r="R371" s="4"/>
      <c r="S371" s="4"/>
      <c r="T371" s="4" t="str">
        <f t="shared" si="2"/>
        <v>Valid</v>
      </c>
      <c r="U371" s="4">
        <f t="shared" si="3"/>
        <v>1</v>
      </c>
      <c r="V371" s="4" t="str">
        <f t="shared" si="4"/>
        <v>Unique</v>
      </c>
      <c r="W371" s="4" t="str">
        <f t="shared" si="5"/>
        <v>green</v>
      </c>
      <c r="X371" s="4" t="str">
        <f t="shared" ref="X371:Z371" si="375">IF(Q371="","Unknown",Q371)</f>
        <v>Mata-Utu, Wallis and Futuna</v>
      </c>
      <c r="Y371" s="4" t="str">
        <f t="shared" si="375"/>
        <v>Unknown</v>
      </c>
      <c r="Z371" s="4" t="str">
        <f t="shared" si="375"/>
        <v>Unknown</v>
      </c>
      <c r="AA371" s="4" t="str">
        <f t="shared" si="7"/>
        <v>mww</v>
      </c>
    </row>
    <row r="372">
      <c r="A372" s="3" t="s">
        <v>335</v>
      </c>
      <c r="B372" s="3">
        <v>6.9</v>
      </c>
      <c r="C372" s="19">
        <f>Raw_Data!T372</f>
        <v>41819.32778</v>
      </c>
      <c r="D372" s="3">
        <v>0.0</v>
      </c>
      <c r="E372" s="3">
        <v>5.0</v>
      </c>
      <c r="F372" s="3" t="s">
        <v>109</v>
      </c>
      <c r="G372" s="3">
        <v>1.0</v>
      </c>
      <c r="H372" s="3">
        <v>732.0</v>
      </c>
      <c r="I372" s="3" t="s">
        <v>110</v>
      </c>
      <c r="J372" s="3">
        <v>0.0</v>
      </c>
      <c r="K372" s="3">
        <v>4.838</v>
      </c>
      <c r="L372" s="3">
        <v>25.0</v>
      </c>
      <c r="M372" s="4" t="str">
        <f>Raw_Data!X372</f>
        <v>mww</v>
      </c>
      <c r="N372" s="3">
        <v>8.0</v>
      </c>
      <c r="O372" s="3">
        <v>-55.4703</v>
      </c>
      <c r="P372" s="3">
        <v>-28.3669</v>
      </c>
      <c r="Q372" s="3" t="s">
        <v>329</v>
      </c>
      <c r="R372" s="4"/>
      <c r="S372" s="4"/>
      <c r="T372" s="4" t="str">
        <f t="shared" si="2"/>
        <v>Valid</v>
      </c>
      <c r="U372" s="4">
        <f t="shared" si="3"/>
        <v>1</v>
      </c>
      <c r="V372" s="4" t="str">
        <f t="shared" si="4"/>
        <v>Unique</v>
      </c>
      <c r="W372" s="4" t="str">
        <f t="shared" si="5"/>
        <v>green</v>
      </c>
      <c r="X372" s="4" t="str">
        <f t="shared" ref="X372:Z372" si="376">IF(Q372="","Unknown",Q372)</f>
        <v>South Sandwich Islands region</v>
      </c>
      <c r="Y372" s="4" t="str">
        <f t="shared" si="376"/>
        <v>Unknown</v>
      </c>
      <c r="Z372" s="4" t="str">
        <f t="shared" si="376"/>
        <v>Unknown</v>
      </c>
      <c r="AA372" s="4" t="str">
        <f t="shared" si="7"/>
        <v>mww</v>
      </c>
    </row>
    <row r="373">
      <c r="A373" s="3" t="s">
        <v>985</v>
      </c>
      <c r="B373" s="3">
        <v>7.9</v>
      </c>
      <c r="C373" s="19">
        <f>Raw_Data!T373</f>
        <v>41813.87014</v>
      </c>
      <c r="D373" s="3">
        <v>6.0</v>
      </c>
      <c r="E373" s="3">
        <v>8.0</v>
      </c>
      <c r="F373" s="3" t="s">
        <v>109</v>
      </c>
      <c r="G373" s="3">
        <v>1.0</v>
      </c>
      <c r="H373" s="3">
        <v>963.0</v>
      </c>
      <c r="I373" s="3" t="s">
        <v>110</v>
      </c>
      <c r="J373" s="3">
        <v>0.0</v>
      </c>
      <c r="K373" s="3">
        <v>0.133</v>
      </c>
      <c r="L373" s="3">
        <v>22.0</v>
      </c>
      <c r="M373" s="4" t="str">
        <f>Raw_Data!X373</f>
        <v>mww</v>
      </c>
      <c r="N373" s="3">
        <v>109.0</v>
      </c>
      <c r="O373" s="3">
        <v>51.8486</v>
      </c>
      <c r="P373" s="3">
        <v>178.735</v>
      </c>
      <c r="Q373" s="3" t="s">
        <v>987</v>
      </c>
      <c r="R373" s="3" t="s">
        <v>233</v>
      </c>
      <c r="S373" s="3" t="s">
        <v>318</v>
      </c>
      <c r="T373" s="4" t="str">
        <f t="shared" si="2"/>
        <v>Valid</v>
      </c>
      <c r="U373" s="4">
        <f t="shared" si="3"/>
        <v>1</v>
      </c>
      <c r="V373" s="4" t="str">
        <f t="shared" si="4"/>
        <v>Unique</v>
      </c>
      <c r="W373" s="4" t="str">
        <f t="shared" si="5"/>
        <v>green</v>
      </c>
      <c r="X373" s="4" t="str">
        <f t="shared" ref="X373:Z373" si="377">IF(Q373="","Unknown",Q373)</f>
        <v>Rat Islands, Aleutian Islands, Alaska</v>
      </c>
      <c r="Y373" s="4" t="str">
        <f t="shared" si="377"/>
        <v>North America</v>
      </c>
      <c r="Z373" s="4" t="str">
        <f t="shared" si="377"/>
        <v>United States of America</v>
      </c>
      <c r="AA373" s="4" t="str">
        <f t="shared" si="7"/>
        <v>mww</v>
      </c>
    </row>
    <row r="374">
      <c r="A374" s="3" t="s">
        <v>988</v>
      </c>
      <c r="B374" s="3">
        <v>6.7</v>
      </c>
      <c r="C374" s="19">
        <f>Raw_Data!T374</f>
        <v>41813.8375</v>
      </c>
      <c r="D374" s="3">
        <v>0.0</v>
      </c>
      <c r="E374" s="3">
        <v>5.0</v>
      </c>
      <c r="F374" s="3" t="s">
        <v>109</v>
      </c>
      <c r="G374" s="3">
        <v>0.0</v>
      </c>
      <c r="H374" s="3">
        <v>691.0</v>
      </c>
      <c r="I374" s="3" t="s">
        <v>110</v>
      </c>
      <c r="J374" s="3">
        <v>0.0</v>
      </c>
      <c r="K374" s="3">
        <v>0.748</v>
      </c>
      <c r="L374" s="3">
        <v>43.0</v>
      </c>
      <c r="M374" s="4" t="str">
        <f>Raw_Data!X374</f>
        <v>mwc</v>
      </c>
      <c r="N374" s="3">
        <v>26.59</v>
      </c>
      <c r="O374" s="3">
        <v>-29.9414</v>
      </c>
      <c r="P374" s="3">
        <v>-177.607</v>
      </c>
      <c r="Q374" s="3" t="s">
        <v>156</v>
      </c>
      <c r="R374" s="4"/>
      <c r="S374" s="4"/>
      <c r="T374" s="4" t="str">
        <f t="shared" si="2"/>
        <v>Valid</v>
      </c>
      <c r="U374" s="4">
        <f t="shared" si="3"/>
        <v>1</v>
      </c>
      <c r="V374" s="4" t="str">
        <f t="shared" si="4"/>
        <v>Unique</v>
      </c>
      <c r="W374" s="4" t="str">
        <f t="shared" si="5"/>
        <v>green</v>
      </c>
      <c r="X374" s="4" t="str">
        <f t="shared" ref="X374:Z374" si="378">IF(Q374="","Unknown",Q374)</f>
        <v>Kermadec Islands, New Zealand</v>
      </c>
      <c r="Y374" s="4" t="str">
        <f t="shared" si="378"/>
        <v>Unknown</v>
      </c>
      <c r="Z374" s="4" t="str">
        <f t="shared" si="378"/>
        <v>Unknown</v>
      </c>
      <c r="AA374" s="4" t="str">
        <f t="shared" si="7"/>
        <v>mwc</v>
      </c>
    </row>
    <row r="375">
      <c r="A375" s="3" t="s">
        <v>358</v>
      </c>
      <c r="B375" s="3">
        <v>6.5</v>
      </c>
      <c r="C375" s="19">
        <f>Raw_Data!T375</f>
        <v>41813.80625</v>
      </c>
      <c r="D375" s="3">
        <v>0.0</v>
      </c>
      <c r="E375" s="3">
        <v>5.0</v>
      </c>
      <c r="F375" s="3" t="s">
        <v>109</v>
      </c>
      <c r="G375" s="3">
        <v>0.0</v>
      </c>
      <c r="H375" s="3">
        <v>650.0</v>
      </c>
      <c r="I375" s="3" t="s">
        <v>110</v>
      </c>
      <c r="J375" s="3">
        <v>0.0</v>
      </c>
      <c r="K375" s="3">
        <v>0.778</v>
      </c>
      <c r="L375" s="3">
        <v>30.0</v>
      </c>
      <c r="M375" s="4" t="str">
        <f>Raw_Data!X375</f>
        <v>mwc</v>
      </c>
      <c r="N375" s="3">
        <v>10.0</v>
      </c>
      <c r="O375" s="3">
        <v>-29.9379</v>
      </c>
      <c r="P375" s="3">
        <v>-177.516</v>
      </c>
      <c r="Q375" s="3" t="s">
        <v>156</v>
      </c>
      <c r="R375" s="4"/>
      <c r="S375" s="4"/>
      <c r="T375" s="4" t="str">
        <f t="shared" si="2"/>
        <v>Valid</v>
      </c>
      <c r="U375" s="4">
        <f t="shared" si="3"/>
        <v>1</v>
      </c>
      <c r="V375" s="4" t="str">
        <f t="shared" si="4"/>
        <v>Unique</v>
      </c>
      <c r="W375" s="4" t="str">
        <f t="shared" si="5"/>
        <v>green</v>
      </c>
      <c r="X375" s="4" t="str">
        <f t="shared" ref="X375:Z375" si="379">IF(Q375="","Unknown",Q375)</f>
        <v>Kermadec Islands, New Zealand</v>
      </c>
      <c r="Y375" s="4" t="str">
        <f t="shared" si="379"/>
        <v>Unknown</v>
      </c>
      <c r="Z375" s="4" t="str">
        <f t="shared" si="379"/>
        <v>Unknown</v>
      </c>
      <c r="AA375" s="4" t="str">
        <f t="shared" si="7"/>
        <v>mwc</v>
      </c>
    </row>
    <row r="376">
      <c r="A376" s="3" t="s">
        <v>183</v>
      </c>
      <c r="B376" s="3">
        <v>6.9</v>
      </c>
      <c r="C376" s="19">
        <f>Raw_Data!T376</f>
        <v>41813.80486</v>
      </c>
      <c r="D376" s="3">
        <v>0.0</v>
      </c>
      <c r="E376" s="3">
        <v>5.0</v>
      </c>
      <c r="F376" s="3" t="s">
        <v>109</v>
      </c>
      <c r="G376" s="3">
        <v>1.0</v>
      </c>
      <c r="H376" s="3">
        <v>732.0</v>
      </c>
      <c r="I376" s="3" t="s">
        <v>110</v>
      </c>
      <c r="J376" s="3">
        <v>0.0</v>
      </c>
      <c r="K376" s="3">
        <v>0.751</v>
      </c>
      <c r="L376" s="3">
        <v>35.0</v>
      </c>
      <c r="M376" s="4" t="str">
        <f>Raw_Data!X376</f>
        <v>mww</v>
      </c>
      <c r="N376" s="3">
        <v>20.0</v>
      </c>
      <c r="O376" s="3">
        <v>-29.9772</v>
      </c>
      <c r="P376" s="3">
        <v>-177.725</v>
      </c>
      <c r="Q376" s="3" t="s">
        <v>156</v>
      </c>
      <c r="R376" s="4"/>
      <c r="S376" s="4"/>
      <c r="T376" s="4" t="str">
        <f t="shared" si="2"/>
        <v>Valid</v>
      </c>
      <c r="U376" s="4">
        <f t="shared" si="3"/>
        <v>1</v>
      </c>
      <c r="V376" s="4" t="str">
        <f t="shared" si="4"/>
        <v>Unique</v>
      </c>
      <c r="W376" s="4" t="str">
        <f t="shared" si="5"/>
        <v>green</v>
      </c>
      <c r="X376" s="4" t="str">
        <f t="shared" ref="X376:Z376" si="380">IF(Q376="","Unknown",Q376)</f>
        <v>Kermadec Islands, New Zealand</v>
      </c>
      <c r="Y376" s="4" t="str">
        <f t="shared" si="380"/>
        <v>Unknown</v>
      </c>
      <c r="Z376" s="4" t="str">
        <f t="shared" si="380"/>
        <v>Unknown</v>
      </c>
      <c r="AA376" s="4" t="str">
        <f t="shared" si="7"/>
        <v>mww</v>
      </c>
    </row>
    <row r="377">
      <c r="A377" s="3" t="s">
        <v>992</v>
      </c>
      <c r="B377" s="3">
        <v>6.9</v>
      </c>
      <c r="C377" s="19">
        <f>Raw_Data!T377</f>
        <v>41783.39236</v>
      </c>
      <c r="D377" s="3">
        <v>9.0</v>
      </c>
      <c r="E377" s="3">
        <v>7.0</v>
      </c>
      <c r="F377" s="3" t="s">
        <v>109</v>
      </c>
      <c r="G377" s="3">
        <v>0.0</v>
      </c>
      <c r="H377" s="3">
        <v>951.0</v>
      </c>
      <c r="I377" s="3" t="s">
        <v>110</v>
      </c>
      <c r="J377" s="3">
        <v>0.0</v>
      </c>
      <c r="K377" s="3">
        <v>0.402</v>
      </c>
      <c r="L377" s="3">
        <v>25.0</v>
      </c>
      <c r="M377" s="4" t="str">
        <f>Raw_Data!X377</f>
        <v>mww</v>
      </c>
      <c r="N377" s="3">
        <v>6.43</v>
      </c>
      <c r="O377" s="3">
        <v>40.2893</v>
      </c>
      <c r="P377" s="3">
        <v>25.3889</v>
      </c>
      <c r="Q377" s="3" t="s">
        <v>994</v>
      </c>
      <c r="R377" s="3" t="s">
        <v>404</v>
      </c>
      <c r="S377" s="3" t="s">
        <v>405</v>
      </c>
      <c r="T377" s="4" t="str">
        <f t="shared" si="2"/>
        <v>Valid</v>
      </c>
      <c r="U377" s="4">
        <f t="shared" si="3"/>
        <v>1</v>
      </c>
      <c r="V377" s="4" t="str">
        <f t="shared" si="4"/>
        <v>Unique</v>
      </c>
      <c r="W377" s="4" t="str">
        <f t="shared" si="5"/>
        <v>green</v>
      </c>
      <c r="X377" s="4" t="str">
        <f t="shared" ref="X377:Z377" si="381">IF(Q377="","Unknown",Q377)</f>
        <v>Kamariótissa, Greece</v>
      </c>
      <c r="Y377" s="4" t="str">
        <f t="shared" si="381"/>
        <v>Europe</v>
      </c>
      <c r="Z377" s="4" t="str">
        <f t="shared" si="381"/>
        <v>Greece</v>
      </c>
      <c r="AA377" s="4" t="str">
        <f t="shared" si="7"/>
        <v>mww</v>
      </c>
    </row>
    <row r="378">
      <c r="A378" s="3" t="s">
        <v>995</v>
      </c>
      <c r="B378" s="3">
        <v>6.5</v>
      </c>
      <c r="C378" s="19">
        <f>Raw_Data!T378</f>
        <v>41772.27431</v>
      </c>
      <c r="D378" s="3">
        <v>7.0</v>
      </c>
      <c r="E378" s="3">
        <v>5.0</v>
      </c>
      <c r="F378" s="3" t="s">
        <v>109</v>
      </c>
      <c r="G378" s="3">
        <v>1.0</v>
      </c>
      <c r="H378" s="3">
        <v>694.0</v>
      </c>
      <c r="I378" s="3" t="s">
        <v>110</v>
      </c>
      <c r="J378" s="3">
        <v>0.0</v>
      </c>
      <c r="K378" s="3">
        <v>3.121</v>
      </c>
      <c r="L378" s="3">
        <v>33.0</v>
      </c>
      <c r="M378" s="4" t="str">
        <f>Raw_Data!X378</f>
        <v>mww</v>
      </c>
      <c r="N378" s="3">
        <v>10.0</v>
      </c>
      <c r="O378" s="3">
        <v>7.2096</v>
      </c>
      <c r="P378" s="3">
        <v>-82.3045</v>
      </c>
      <c r="Q378" s="3" t="s">
        <v>950</v>
      </c>
      <c r="R378" s="4"/>
      <c r="S378" s="4"/>
      <c r="T378" s="4" t="str">
        <f t="shared" si="2"/>
        <v>Valid</v>
      </c>
      <c r="U378" s="4">
        <f t="shared" si="3"/>
        <v>1</v>
      </c>
      <c r="V378" s="4" t="str">
        <f t="shared" si="4"/>
        <v>Unique</v>
      </c>
      <c r="W378" s="4" t="str">
        <f t="shared" si="5"/>
        <v>green</v>
      </c>
      <c r="X378" s="4" t="str">
        <f t="shared" ref="X378:Z378" si="382">IF(Q378="","Unknown",Q378)</f>
        <v>Punta de Burica, Panama</v>
      </c>
      <c r="Y378" s="4" t="str">
        <f t="shared" si="382"/>
        <v>Unknown</v>
      </c>
      <c r="Z378" s="4" t="str">
        <f t="shared" si="382"/>
        <v>Unknown</v>
      </c>
      <c r="AA378" s="4" t="str">
        <f t="shared" si="7"/>
        <v>mww</v>
      </c>
    </row>
    <row r="379">
      <c r="A379" s="3" t="s">
        <v>997</v>
      </c>
      <c r="B379" s="3">
        <v>6.6</v>
      </c>
      <c r="C379" s="19">
        <f>Raw_Data!T379</f>
        <v>41760.275</v>
      </c>
      <c r="D379" s="3">
        <v>0.0</v>
      </c>
      <c r="E379" s="3">
        <v>5.0</v>
      </c>
      <c r="F379" s="3" t="s">
        <v>109</v>
      </c>
      <c r="G379" s="3">
        <v>1.0</v>
      </c>
      <c r="H379" s="3">
        <v>670.0</v>
      </c>
      <c r="I379" s="3" t="s">
        <v>110</v>
      </c>
      <c r="J379" s="3">
        <v>0.0</v>
      </c>
      <c r="K379" s="3">
        <v>3.34</v>
      </c>
      <c r="L379" s="3">
        <v>10.0</v>
      </c>
      <c r="M379" s="4" t="str">
        <f>Raw_Data!X379</f>
        <v>mww</v>
      </c>
      <c r="N379" s="3">
        <v>106.0</v>
      </c>
      <c r="O379" s="3">
        <v>-21.4542</v>
      </c>
      <c r="P379" s="3">
        <v>170.355</v>
      </c>
      <c r="Q379" s="3" t="s">
        <v>246</v>
      </c>
      <c r="R379" s="4"/>
      <c r="S379" s="4"/>
      <c r="T379" s="4" t="str">
        <f t="shared" si="2"/>
        <v>Valid</v>
      </c>
      <c r="U379" s="4">
        <f t="shared" si="3"/>
        <v>1</v>
      </c>
      <c r="V379" s="4" t="str">
        <f t="shared" si="4"/>
        <v>Unique</v>
      </c>
      <c r="W379" s="4" t="str">
        <f t="shared" si="5"/>
        <v>green</v>
      </c>
      <c r="X379" s="4" t="str">
        <f t="shared" ref="X379:Z379" si="383">IF(Q379="","Unknown",Q379)</f>
        <v>Isangel, Vanuatu</v>
      </c>
      <c r="Y379" s="4" t="str">
        <f t="shared" si="383"/>
        <v>Unknown</v>
      </c>
      <c r="Z379" s="4" t="str">
        <f t="shared" si="383"/>
        <v>Unknown</v>
      </c>
      <c r="AA379" s="4" t="str">
        <f t="shared" si="7"/>
        <v>mww</v>
      </c>
    </row>
    <row r="380">
      <c r="A380" s="3" t="s">
        <v>998</v>
      </c>
      <c r="B380" s="3">
        <v>6.5</v>
      </c>
      <c r="C380" s="19">
        <f>Raw_Data!T380</f>
        <v>41753.13194</v>
      </c>
      <c r="D380" s="3">
        <v>4.0</v>
      </c>
      <c r="E380" s="3">
        <v>6.0</v>
      </c>
      <c r="F380" s="3" t="s">
        <v>109</v>
      </c>
      <c r="G380" s="3">
        <v>1.0</v>
      </c>
      <c r="H380" s="3">
        <v>838.0</v>
      </c>
      <c r="I380" s="3" t="s">
        <v>110</v>
      </c>
      <c r="J380" s="3">
        <v>0.0</v>
      </c>
      <c r="K380" s="3">
        <v>0.0</v>
      </c>
      <c r="L380" s="3">
        <v>0.0</v>
      </c>
      <c r="M380" s="4" t="str">
        <f>Raw_Data!X380</f>
        <v>mww</v>
      </c>
      <c r="N380" s="3">
        <v>10.0</v>
      </c>
      <c r="O380" s="3">
        <v>49.6388</v>
      </c>
      <c r="P380" s="3">
        <v>-127.732</v>
      </c>
      <c r="Q380" s="3" t="s">
        <v>1000</v>
      </c>
      <c r="R380" s="4"/>
      <c r="S380" s="4"/>
      <c r="T380" s="4" t="str">
        <f t="shared" si="2"/>
        <v>Valid</v>
      </c>
      <c r="U380" s="4">
        <f t="shared" si="3"/>
        <v>1</v>
      </c>
      <c r="V380" s="4" t="str">
        <f t="shared" si="4"/>
        <v>Unique</v>
      </c>
      <c r="W380" s="4" t="str">
        <f t="shared" si="5"/>
        <v>green</v>
      </c>
      <c r="X380" s="4" t="str">
        <f t="shared" ref="X380:Z380" si="384">IF(Q380="","Unknown",Q380)</f>
        <v>Vernon, Canada</v>
      </c>
      <c r="Y380" s="4" t="str">
        <f t="shared" si="384"/>
        <v>Unknown</v>
      </c>
      <c r="Z380" s="4" t="str">
        <f t="shared" si="384"/>
        <v>Unknown</v>
      </c>
      <c r="AA380" s="4" t="str">
        <f t="shared" si="7"/>
        <v>mww</v>
      </c>
    </row>
    <row r="381">
      <c r="A381" s="3" t="s">
        <v>1001</v>
      </c>
      <c r="B381" s="3">
        <v>7.5</v>
      </c>
      <c r="C381" s="19">
        <f>Raw_Data!T381</f>
        <v>41748.56111</v>
      </c>
      <c r="D381" s="3">
        <v>0.0</v>
      </c>
      <c r="E381" s="3">
        <v>6.0</v>
      </c>
      <c r="F381" s="3" t="s">
        <v>109</v>
      </c>
      <c r="G381" s="3">
        <v>1.0</v>
      </c>
      <c r="H381" s="3">
        <v>865.0</v>
      </c>
      <c r="I381" s="3" t="s">
        <v>110</v>
      </c>
      <c r="J381" s="3">
        <v>0.0</v>
      </c>
      <c r="K381" s="3">
        <v>3.82</v>
      </c>
      <c r="L381" s="3">
        <v>16.0</v>
      </c>
      <c r="M381" s="4" t="str">
        <f>Raw_Data!X381</f>
        <v>mww</v>
      </c>
      <c r="N381" s="3">
        <v>43.37</v>
      </c>
      <c r="O381" s="3">
        <v>-6.7547</v>
      </c>
      <c r="P381" s="3">
        <v>155.024</v>
      </c>
      <c r="Q381" s="3" t="s">
        <v>728</v>
      </c>
      <c r="R381" s="4"/>
      <c r="S381" s="4"/>
      <c r="T381" s="4" t="str">
        <f t="shared" si="2"/>
        <v>Valid</v>
      </c>
      <c r="U381" s="4">
        <f t="shared" si="3"/>
        <v>1</v>
      </c>
      <c r="V381" s="4" t="str">
        <f t="shared" si="4"/>
        <v>Unique</v>
      </c>
      <c r="W381" s="4" t="str">
        <f t="shared" si="5"/>
        <v>green</v>
      </c>
      <c r="X381" s="4" t="str">
        <f t="shared" ref="X381:Z381" si="385">IF(Q381="","Unknown",Q381)</f>
        <v>Panguna, Papua New Guinea</v>
      </c>
      <c r="Y381" s="4" t="str">
        <f t="shared" si="385"/>
        <v>Unknown</v>
      </c>
      <c r="Z381" s="4" t="str">
        <f t="shared" si="385"/>
        <v>Unknown</v>
      </c>
      <c r="AA381" s="4" t="str">
        <f t="shared" si="7"/>
        <v>mww</v>
      </c>
    </row>
    <row r="382">
      <c r="A382" s="3" t="s">
        <v>1003</v>
      </c>
      <c r="B382" s="3">
        <v>6.6</v>
      </c>
      <c r="C382" s="19">
        <f>Raw_Data!T382</f>
        <v>41748.04444</v>
      </c>
      <c r="D382" s="3">
        <v>0.0</v>
      </c>
      <c r="E382" s="3">
        <v>6.0</v>
      </c>
      <c r="F382" s="3" t="s">
        <v>109</v>
      </c>
      <c r="G382" s="3">
        <v>1.0</v>
      </c>
      <c r="H382" s="3">
        <v>670.0</v>
      </c>
      <c r="I382" s="3" t="s">
        <v>110</v>
      </c>
      <c r="J382" s="3">
        <v>0.0</v>
      </c>
      <c r="K382" s="3">
        <v>3.803</v>
      </c>
      <c r="L382" s="3">
        <v>11.0</v>
      </c>
      <c r="M382" s="4" t="str">
        <f>Raw_Data!X382</f>
        <v>mww</v>
      </c>
      <c r="N382" s="3">
        <v>29.0</v>
      </c>
      <c r="O382" s="3">
        <v>-6.6558</v>
      </c>
      <c r="P382" s="3">
        <v>155.087</v>
      </c>
      <c r="Q382" s="3" t="s">
        <v>728</v>
      </c>
      <c r="R382" s="4"/>
      <c r="S382" s="3" t="s">
        <v>168</v>
      </c>
      <c r="T382" s="4" t="str">
        <f t="shared" si="2"/>
        <v>Valid</v>
      </c>
      <c r="U382" s="4">
        <f t="shared" si="3"/>
        <v>1</v>
      </c>
      <c r="V382" s="4" t="str">
        <f t="shared" si="4"/>
        <v>Unique</v>
      </c>
      <c r="W382" s="4" t="str">
        <f t="shared" si="5"/>
        <v>green</v>
      </c>
      <c r="X382" s="4" t="str">
        <f t="shared" ref="X382:Z382" si="386">IF(Q382="","Unknown",Q382)</f>
        <v>Panguna, Papua New Guinea</v>
      </c>
      <c r="Y382" s="4" t="str">
        <f t="shared" si="386"/>
        <v>Unknown</v>
      </c>
      <c r="Z382" s="4" t="str">
        <f t="shared" si="386"/>
        <v>Papua New Guinea</v>
      </c>
      <c r="AA382" s="4" t="str">
        <f t="shared" si="7"/>
        <v>mww</v>
      </c>
    </row>
    <row r="383">
      <c r="A383" s="3" t="s">
        <v>1005</v>
      </c>
      <c r="B383" s="3">
        <v>7.2</v>
      </c>
      <c r="C383" s="19">
        <f>Raw_Data!T383</f>
        <v>41747.60208</v>
      </c>
      <c r="D383" s="3">
        <v>8.0</v>
      </c>
      <c r="E383" s="3">
        <v>7.0</v>
      </c>
      <c r="F383" s="3" t="s">
        <v>116</v>
      </c>
      <c r="G383" s="3">
        <v>1.0</v>
      </c>
      <c r="H383" s="3">
        <v>1017.0</v>
      </c>
      <c r="I383" s="3" t="s">
        <v>110</v>
      </c>
      <c r="J383" s="3">
        <v>0.0</v>
      </c>
      <c r="K383" s="3">
        <v>2.25</v>
      </c>
      <c r="L383" s="3">
        <v>46.0</v>
      </c>
      <c r="M383" s="4" t="str">
        <f>Raw_Data!X383</f>
        <v>mww</v>
      </c>
      <c r="N383" s="3">
        <v>24.0</v>
      </c>
      <c r="O383" s="3">
        <v>17.397</v>
      </c>
      <c r="P383" s="3">
        <v>-100.972</v>
      </c>
      <c r="Q383" s="3" t="s">
        <v>1007</v>
      </c>
      <c r="R383" s="3" t="s">
        <v>233</v>
      </c>
      <c r="S383" s="3" t="s">
        <v>234</v>
      </c>
      <c r="T383" s="4" t="str">
        <f t="shared" si="2"/>
        <v>Valid</v>
      </c>
      <c r="U383" s="4">
        <f t="shared" si="3"/>
        <v>1</v>
      </c>
      <c r="V383" s="4" t="str">
        <f t="shared" si="4"/>
        <v>Unique</v>
      </c>
      <c r="W383" s="4" t="str">
        <f t="shared" si="5"/>
        <v>yellow</v>
      </c>
      <c r="X383" s="4" t="str">
        <f t="shared" ref="X383:Z383" si="387">IF(Q383="","Unknown",Q383)</f>
        <v>Coyuquilla Norte, Mexico</v>
      </c>
      <c r="Y383" s="4" t="str">
        <f t="shared" si="387"/>
        <v>North America</v>
      </c>
      <c r="Z383" s="4" t="str">
        <f t="shared" si="387"/>
        <v>Mexico</v>
      </c>
      <c r="AA383" s="4" t="str">
        <f t="shared" si="7"/>
        <v>mww</v>
      </c>
    </row>
    <row r="384">
      <c r="A384" s="3" t="s">
        <v>1008</v>
      </c>
      <c r="B384" s="3">
        <v>6.6</v>
      </c>
      <c r="C384" s="19">
        <f>Raw_Data!T384</f>
        <v>41742.55833</v>
      </c>
      <c r="D384" s="3">
        <v>0.0</v>
      </c>
      <c r="E384" s="3">
        <v>6.0</v>
      </c>
      <c r="F384" s="3" t="s">
        <v>109</v>
      </c>
      <c r="G384" s="3">
        <v>0.0</v>
      </c>
      <c r="H384" s="3">
        <v>670.0</v>
      </c>
      <c r="I384" s="3" t="s">
        <v>110</v>
      </c>
      <c r="J384" s="3">
        <v>0.0</v>
      </c>
      <c r="K384" s="3">
        <v>2.666</v>
      </c>
      <c r="L384" s="3">
        <v>22.0</v>
      </c>
      <c r="M384" s="4" t="str">
        <f>Raw_Data!X384</f>
        <v>mww</v>
      </c>
      <c r="N384" s="3">
        <v>10.0</v>
      </c>
      <c r="O384" s="3">
        <v>-11.1284</v>
      </c>
      <c r="P384" s="3">
        <v>162.052</v>
      </c>
      <c r="Q384" s="3" t="s">
        <v>595</v>
      </c>
      <c r="R384" s="4"/>
      <c r="S384" s="4"/>
      <c r="T384" s="4" t="str">
        <f t="shared" si="2"/>
        <v>Valid</v>
      </c>
      <c r="U384" s="4">
        <f t="shared" si="3"/>
        <v>1</v>
      </c>
      <c r="V384" s="4" t="str">
        <f t="shared" si="4"/>
        <v>Unique</v>
      </c>
      <c r="W384" s="4" t="str">
        <f t="shared" si="5"/>
        <v>green</v>
      </c>
      <c r="X384" s="4" t="str">
        <f t="shared" ref="X384:Z384" si="388">IF(Q384="","Unknown",Q384)</f>
        <v>Kirakira, Solomon Islands</v>
      </c>
      <c r="Y384" s="4" t="str">
        <f t="shared" si="388"/>
        <v>Unknown</v>
      </c>
      <c r="Z384" s="4" t="str">
        <f t="shared" si="388"/>
        <v>Unknown</v>
      </c>
      <c r="AA384" s="4" t="str">
        <f t="shared" si="7"/>
        <v>mww</v>
      </c>
    </row>
    <row r="385">
      <c r="A385" s="3" t="s">
        <v>1010</v>
      </c>
      <c r="B385" s="3">
        <v>7.4</v>
      </c>
      <c r="C385" s="19">
        <f>Raw_Data!T385</f>
        <v>41742.525</v>
      </c>
      <c r="D385" s="3">
        <v>0.0</v>
      </c>
      <c r="E385" s="3">
        <v>6.0</v>
      </c>
      <c r="F385" s="3" t="s">
        <v>109</v>
      </c>
      <c r="G385" s="3">
        <v>1.0</v>
      </c>
      <c r="H385" s="3">
        <v>842.0</v>
      </c>
      <c r="I385" s="3" t="s">
        <v>110</v>
      </c>
      <c r="J385" s="3">
        <v>0.0</v>
      </c>
      <c r="K385" s="3">
        <v>2.885</v>
      </c>
      <c r="L385" s="3">
        <v>17.0</v>
      </c>
      <c r="M385" s="4" t="str">
        <f>Raw_Data!X385</f>
        <v>mww</v>
      </c>
      <c r="N385" s="3">
        <v>39.0</v>
      </c>
      <c r="O385" s="3">
        <v>-11.4633</v>
      </c>
      <c r="P385" s="3">
        <v>162.051</v>
      </c>
      <c r="Q385" s="3" t="s">
        <v>595</v>
      </c>
      <c r="R385" s="4"/>
      <c r="S385" s="4"/>
      <c r="T385" s="4" t="str">
        <f t="shared" si="2"/>
        <v>Valid</v>
      </c>
      <c r="U385" s="4">
        <f t="shared" si="3"/>
        <v>1</v>
      </c>
      <c r="V385" s="4" t="str">
        <f t="shared" si="4"/>
        <v>Unique</v>
      </c>
      <c r="W385" s="4" t="str">
        <f t="shared" si="5"/>
        <v>green</v>
      </c>
      <c r="X385" s="4" t="str">
        <f t="shared" ref="X385:Z385" si="389">IF(Q385="","Unknown",Q385)</f>
        <v>Kirakira, Solomon Islands</v>
      </c>
      <c r="Y385" s="4" t="str">
        <f t="shared" si="389"/>
        <v>Unknown</v>
      </c>
      <c r="Z385" s="4" t="str">
        <f t="shared" si="389"/>
        <v>Unknown</v>
      </c>
      <c r="AA385" s="4" t="str">
        <f t="shared" si="7"/>
        <v>mww</v>
      </c>
    </row>
    <row r="386">
      <c r="A386" s="3" t="s">
        <v>1012</v>
      </c>
      <c r="B386" s="3">
        <v>7.6</v>
      </c>
      <c r="C386" s="19">
        <f>Raw_Data!T386</f>
        <v>41741.84306</v>
      </c>
      <c r="D386" s="3">
        <v>0.0</v>
      </c>
      <c r="E386" s="3">
        <v>7.0</v>
      </c>
      <c r="F386" s="3" t="s">
        <v>109</v>
      </c>
      <c r="G386" s="3">
        <v>1.0</v>
      </c>
      <c r="H386" s="3">
        <v>889.0</v>
      </c>
      <c r="I386" s="3" t="s">
        <v>110</v>
      </c>
      <c r="J386" s="3">
        <v>0.0</v>
      </c>
      <c r="K386" s="3">
        <v>2.828</v>
      </c>
      <c r="L386" s="3">
        <v>13.0</v>
      </c>
      <c r="M386" s="4" t="str">
        <f>Raw_Data!X386</f>
        <v>mww</v>
      </c>
      <c r="N386" s="3">
        <v>22.56</v>
      </c>
      <c r="O386" s="3">
        <v>-11.2701</v>
      </c>
      <c r="P386" s="3">
        <v>162.148</v>
      </c>
      <c r="Q386" s="3" t="s">
        <v>595</v>
      </c>
      <c r="R386" s="4"/>
      <c r="S386" s="4"/>
      <c r="T386" s="4" t="str">
        <f t="shared" si="2"/>
        <v>Valid</v>
      </c>
      <c r="U386" s="4">
        <f t="shared" si="3"/>
        <v>1</v>
      </c>
      <c r="V386" s="4" t="str">
        <f t="shared" si="4"/>
        <v>Unique</v>
      </c>
      <c r="W386" s="4" t="str">
        <f t="shared" si="5"/>
        <v>green</v>
      </c>
      <c r="X386" s="4" t="str">
        <f t="shared" ref="X386:Z386" si="390">IF(Q386="","Unknown",Q386)</f>
        <v>Kirakira, Solomon Islands</v>
      </c>
      <c r="Y386" s="4" t="str">
        <f t="shared" si="390"/>
        <v>Unknown</v>
      </c>
      <c r="Z386" s="4" t="str">
        <f t="shared" si="390"/>
        <v>Unknown</v>
      </c>
      <c r="AA386" s="4" t="str">
        <f t="shared" si="7"/>
        <v>mww</v>
      </c>
    </row>
    <row r="387">
      <c r="A387" s="3" t="s">
        <v>1013</v>
      </c>
      <c r="B387" s="3">
        <v>6.6</v>
      </c>
      <c r="C387" s="19">
        <f>Raw_Data!T387</f>
        <v>41740.85347</v>
      </c>
      <c r="D387" s="3">
        <v>6.0</v>
      </c>
      <c r="E387" s="3">
        <v>5.0</v>
      </c>
      <c r="F387" s="3" t="s">
        <v>109</v>
      </c>
      <c r="G387" s="3">
        <v>1.0</v>
      </c>
      <c r="H387" s="3">
        <v>677.0</v>
      </c>
      <c r="I387" s="3" t="s">
        <v>110</v>
      </c>
      <c r="J387" s="3">
        <v>0.0</v>
      </c>
      <c r="K387" s="3">
        <v>0.761</v>
      </c>
      <c r="L387" s="3">
        <v>20.0</v>
      </c>
      <c r="M387" s="4" t="str">
        <f>Raw_Data!X387</f>
        <v>mww</v>
      </c>
      <c r="N387" s="3">
        <v>135.0</v>
      </c>
      <c r="O387" s="3">
        <v>11.642</v>
      </c>
      <c r="P387" s="3">
        <v>-85.8779</v>
      </c>
      <c r="Q387" s="3" t="s">
        <v>1014</v>
      </c>
      <c r="R387" s="4"/>
      <c r="S387" s="3" t="s">
        <v>1015</v>
      </c>
      <c r="T387" s="4" t="str">
        <f t="shared" si="2"/>
        <v>Valid</v>
      </c>
      <c r="U387" s="4">
        <f t="shared" si="3"/>
        <v>1</v>
      </c>
      <c r="V387" s="4" t="str">
        <f t="shared" si="4"/>
        <v>Unique</v>
      </c>
      <c r="W387" s="4" t="str">
        <f t="shared" si="5"/>
        <v>green</v>
      </c>
      <c r="X387" s="4" t="str">
        <f t="shared" ref="X387:Z387" si="391">IF(Q387="","Unknown",Q387)</f>
        <v>Belén, Nicaragua</v>
      </c>
      <c r="Y387" s="4" t="str">
        <f t="shared" si="391"/>
        <v>Unknown</v>
      </c>
      <c r="Z387" s="4" t="str">
        <f t="shared" si="391"/>
        <v>Nicaragua</v>
      </c>
      <c r="AA387" s="4" t="str">
        <f t="shared" si="7"/>
        <v>mww</v>
      </c>
    </row>
    <row r="388">
      <c r="A388" s="3" t="s">
        <v>1016</v>
      </c>
      <c r="B388" s="3">
        <v>6.5</v>
      </c>
      <c r="C388" s="19">
        <f>Raw_Data!T388</f>
        <v>41740.34444</v>
      </c>
      <c r="D388" s="3">
        <v>0.0</v>
      </c>
      <c r="E388" s="3">
        <v>6.0</v>
      </c>
      <c r="F388" s="3" t="s">
        <v>109</v>
      </c>
      <c r="G388" s="3">
        <v>1.0</v>
      </c>
      <c r="H388" s="3">
        <v>650.0</v>
      </c>
      <c r="I388" s="3" t="s">
        <v>110</v>
      </c>
      <c r="J388" s="3">
        <v>0.0</v>
      </c>
      <c r="K388" s="3">
        <v>3.787</v>
      </c>
      <c r="L388" s="3">
        <v>16.0</v>
      </c>
      <c r="M388" s="4" t="str">
        <f>Raw_Data!X388</f>
        <v>mww</v>
      </c>
      <c r="N388" s="3">
        <v>20.0</v>
      </c>
      <c r="O388" s="3">
        <v>-6.7878</v>
      </c>
      <c r="P388" s="3">
        <v>154.95</v>
      </c>
      <c r="Q388" s="3" t="s">
        <v>728</v>
      </c>
      <c r="R388" s="4"/>
      <c r="S388" s="4"/>
      <c r="T388" s="4" t="str">
        <f t="shared" si="2"/>
        <v>Valid</v>
      </c>
      <c r="U388" s="4">
        <f t="shared" si="3"/>
        <v>1</v>
      </c>
      <c r="V388" s="4" t="str">
        <f t="shared" si="4"/>
        <v>Unique</v>
      </c>
      <c r="W388" s="4" t="str">
        <f t="shared" si="5"/>
        <v>green</v>
      </c>
      <c r="X388" s="4" t="str">
        <f t="shared" ref="X388:Z388" si="392">IF(Q388="","Unknown",Q388)</f>
        <v>Panguna, Papua New Guinea</v>
      </c>
      <c r="Y388" s="4" t="str">
        <f t="shared" si="392"/>
        <v>Unknown</v>
      </c>
      <c r="Z388" s="4" t="str">
        <f t="shared" si="392"/>
        <v>Unknown</v>
      </c>
      <c r="AA388" s="4" t="str">
        <f t="shared" si="7"/>
        <v>mww</v>
      </c>
    </row>
    <row r="389">
      <c r="A389" s="3" t="s">
        <v>1017</v>
      </c>
      <c r="B389" s="3">
        <v>7.1</v>
      </c>
      <c r="C389" s="19">
        <f>Raw_Data!T389</f>
        <v>41740.29653</v>
      </c>
      <c r="D389" s="3">
        <v>0.0</v>
      </c>
      <c r="E389" s="3">
        <v>7.0</v>
      </c>
      <c r="F389" s="3" t="s">
        <v>109</v>
      </c>
      <c r="G389" s="3">
        <v>1.0</v>
      </c>
      <c r="H389" s="3">
        <v>776.0</v>
      </c>
      <c r="I389" s="3" t="s">
        <v>110</v>
      </c>
      <c r="J389" s="3">
        <v>0.0</v>
      </c>
      <c r="K389" s="3">
        <v>3.729</v>
      </c>
      <c r="L389" s="3">
        <v>21.0</v>
      </c>
      <c r="M389" s="4" t="str">
        <f>Raw_Data!X389</f>
        <v>mww</v>
      </c>
      <c r="N389" s="3">
        <v>60.53</v>
      </c>
      <c r="O389" s="3">
        <v>-6.5858</v>
      </c>
      <c r="P389" s="3">
        <v>155.048</v>
      </c>
      <c r="Q389" s="3" t="s">
        <v>728</v>
      </c>
      <c r="R389" s="4"/>
      <c r="S389" s="3" t="s">
        <v>168</v>
      </c>
      <c r="T389" s="4" t="str">
        <f t="shared" si="2"/>
        <v>Valid</v>
      </c>
      <c r="U389" s="4">
        <f t="shared" si="3"/>
        <v>1</v>
      </c>
      <c r="V389" s="4" t="str">
        <f t="shared" si="4"/>
        <v>Unique</v>
      </c>
      <c r="W389" s="4" t="str">
        <f t="shared" si="5"/>
        <v>green</v>
      </c>
      <c r="X389" s="4" t="str">
        <f t="shared" ref="X389:Z389" si="393">IF(Q389="","Unknown",Q389)</f>
        <v>Panguna, Papua New Guinea</v>
      </c>
      <c r="Y389" s="4" t="str">
        <f t="shared" si="393"/>
        <v>Unknown</v>
      </c>
      <c r="Z389" s="4" t="str">
        <f t="shared" si="393"/>
        <v>Papua New Guinea</v>
      </c>
      <c r="AA389" s="4" t="str">
        <f t="shared" si="7"/>
        <v>mww</v>
      </c>
    </row>
    <row r="390">
      <c r="A390" s="3" t="s">
        <v>1018</v>
      </c>
      <c r="B390" s="3">
        <v>7.7</v>
      </c>
      <c r="C390" s="19">
        <f>Raw_Data!T390</f>
        <v>41732.11319</v>
      </c>
      <c r="D390" s="3">
        <v>8.0</v>
      </c>
      <c r="E390" s="3">
        <v>9.0</v>
      </c>
      <c r="F390" s="3" t="s">
        <v>116</v>
      </c>
      <c r="G390" s="3">
        <v>1.0</v>
      </c>
      <c r="H390" s="3">
        <v>1057.0</v>
      </c>
      <c r="I390" s="3" t="s">
        <v>110</v>
      </c>
      <c r="J390" s="3">
        <v>0.0</v>
      </c>
      <c r="K390" s="3">
        <v>1.029</v>
      </c>
      <c r="L390" s="3">
        <v>44.0</v>
      </c>
      <c r="M390" s="4" t="str">
        <f>Raw_Data!X390</f>
        <v>mww</v>
      </c>
      <c r="N390" s="3">
        <v>22.4</v>
      </c>
      <c r="O390" s="3">
        <v>-20.5709</v>
      </c>
      <c r="P390" s="3">
        <v>-70.4931</v>
      </c>
      <c r="Q390" s="3" t="s">
        <v>1019</v>
      </c>
      <c r="R390" s="4"/>
      <c r="S390" s="4"/>
      <c r="T390" s="4" t="str">
        <f t="shared" si="2"/>
        <v>Valid</v>
      </c>
      <c r="U390" s="4">
        <f t="shared" si="3"/>
        <v>1</v>
      </c>
      <c r="V390" s="4" t="str">
        <f t="shared" si="4"/>
        <v>Unique</v>
      </c>
      <c r="W390" s="4" t="str">
        <f t="shared" si="5"/>
        <v>yellow</v>
      </c>
      <c r="X390" s="4" t="str">
        <f t="shared" ref="X390:Z390" si="394">IF(Q390="","Unknown",Q390)</f>
        <v>Iquique, Chile</v>
      </c>
      <c r="Y390" s="4" t="str">
        <f t="shared" si="394"/>
        <v>Unknown</v>
      </c>
      <c r="Z390" s="4" t="str">
        <f t="shared" si="394"/>
        <v>Unknown</v>
      </c>
      <c r="AA390" s="4" t="str">
        <f t="shared" si="7"/>
        <v>mww</v>
      </c>
    </row>
    <row r="391">
      <c r="A391" s="3" t="s">
        <v>1020</v>
      </c>
      <c r="B391" s="3">
        <v>6.5</v>
      </c>
      <c r="C391" s="19">
        <f>Raw_Data!T391</f>
        <v>41732.08194</v>
      </c>
      <c r="D391" s="3">
        <v>7.0</v>
      </c>
      <c r="E391" s="3">
        <v>7.0</v>
      </c>
      <c r="F391" s="3" t="s">
        <v>109</v>
      </c>
      <c r="G391" s="3">
        <v>0.0</v>
      </c>
      <c r="H391" s="3">
        <v>670.0</v>
      </c>
      <c r="I391" s="3" t="s">
        <v>110</v>
      </c>
      <c r="J391" s="3">
        <v>0.0</v>
      </c>
      <c r="K391" s="3">
        <v>0.828</v>
      </c>
      <c r="L391" s="3">
        <v>82.0</v>
      </c>
      <c r="M391" s="4" t="str">
        <f>Raw_Data!X391</f>
        <v>mww</v>
      </c>
      <c r="N391" s="3">
        <v>24.07</v>
      </c>
      <c r="O391" s="3">
        <v>-20.3113</v>
      </c>
      <c r="P391" s="3">
        <v>-70.5756</v>
      </c>
      <c r="Q391" s="3" t="s">
        <v>1019</v>
      </c>
      <c r="R391" s="4"/>
      <c r="S391" s="4"/>
      <c r="T391" s="4" t="str">
        <f t="shared" si="2"/>
        <v>Valid</v>
      </c>
      <c r="U391" s="4">
        <f t="shared" si="3"/>
        <v>1</v>
      </c>
      <c r="V391" s="4" t="str">
        <f t="shared" si="4"/>
        <v>Unique</v>
      </c>
      <c r="W391" s="4" t="str">
        <f t="shared" si="5"/>
        <v>green</v>
      </c>
      <c r="X391" s="4" t="str">
        <f t="shared" ref="X391:Z391" si="395">IF(Q391="","Unknown",Q391)</f>
        <v>Iquique, Chile</v>
      </c>
      <c r="Y391" s="4" t="str">
        <f t="shared" si="395"/>
        <v>Unknown</v>
      </c>
      <c r="Z391" s="4" t="str">
        <f t="shared" si="395"/>
        <v>Unknown</v>
      </c>
      <c r="AA391" s="4" t="str">
        <f t="shared" si="7"/>
        <v>mww</v>
      </c>
    </row>
    <row r="392">
      <c r="A392" s="3" t="s">
        <v>1021</v>
      </c>
      <c r="B392" s="3">
        <v>6.9</v>
      </c>
      <c r="C392" s="19">
        <f>Raw_Data!T392</f>
        <v>41730.99792</v>
      </c>
      <c r="D392" s="3">
        <v>0.0</v>
      </c>
      <c r="E392" s="3">
        <v>5.0</v>
      </c>
      <c r="F392" s="3" t="s">
        <v>109</v>
      </c>
      <c r="G392" s="3">
        <v>0.0</v>
      </c>
      <c r="H392" s="3">
        <v>732.0</v>
      </c>
      <c r="I392" s="3" t="s">
        <v>110</v>
      </c>
      <c r="J392" s="3">
        <v>0.0</v>
      </c>
      <c r="K392" s="3">
        <v>0.828</v>
      </c>
      <c r="L392" s="3">
        <v>119.0</v>
      </c>
      <c r="M392" s="4" t="str">
        <f>Raw_Data!X392</f>
        <v>mww</v>
      </c>
      <c r="N392" s="3">
        <v>28.42</v>
      </c>
      <c r="O392" s="3">
        <v>-19.8927</v>
      </c>
      <c r="P392" s="3">
        <v>-70.9455</v>
      </c>
      <c r="Q392" s="3" t="s">
        <v>1019</v>
      </c>
      <c r="R392" s="4"/>
      <c r="S392" s="4"/>
      <c r="T392" s="4" t="str">
        <f t="shared" si="2"/>
        <v>Valid</v>
      </c>
      <c r="U392" s="4">
        <f t="shared" si="3"/>
        <v>1</v>
      </c>
      <c r="V392" s="4" t="str">
        <f t="shared" si="4"/>
        <v>Unique</v>
      </c>
      <c r="W392" s="4" t="str">
        <f t="shared" si="5"/>
        <v>green</v>
      </c>
      <c r="X392" s="4" t="str">
        <f t="shared" ref="X392:Z392" si="396">IF(Q392="","Unknown",Q392)</f>
        <v>Iquique, Chile</v>
      </c>
      <c r="Y392" s="4" t="str">
        <f t="shared" si="396"/>
        <v>Unknown</v>
      </c>
      <c r="Z392" s="4" t="str">
        <f t="shared" si="396"/>
        <v>Unknown</v>
      </c>
      <c r="AA392" s="4" t="str">
        <f t="shared" si="7"/>
        <v>mww</v>
      </c>
    </row>
    <row r="393">
      <c r="A393" s="3" t="s">
        <v>1022</v>
      </c>
      <c r="B393" s="3">
        <v>8.2</v>
      </c>
      <c r="C393" s="19">
        <f>Raw_Data!T393</f>
        <v>41730.99028</v>
      </c>
      <c r="D393" s="3">
        <v>9.0</v>
      </c>
      <c r="E393" s="3">
        <v>8.0</v>
      </c>
      <c r="F393" s="3" t="s">
        <v>116</v>
      </c>
      <c r="G393" s="3">
        <v>1.0</v>
      </c>
      <c r="H393" s="3">
        <v>1332.0</v>
      </c>
      <c r="I393" s="3" t="s">
        <v>110</v>
      </c>
      <c r="J393" s="3">
        <v>0.0</v>
      </c>
      <c r="K393" s="3">
        <v>0.609</v>
      </c>
      <c r="L393" s="3">
        <v>23.0</v>
      </c>
      <c r="M393" s="4" t="str">
        <f>Raw_Data!X393</f>
        <v>mww</v>
      </c>
      <c r="N393" s="3">
        <v>25.0</v>
      </c>
      <c r="O393" s="3">
        <v>-19.6097</v>
      </c>
      <c r="P393" s="3">
        <v>-70.7691</v>
      </c>
      <c r="Q393" s="3" t="s">
        <v>1019</v>
      </c>
      <c r="R393" s="4"/>
      <c r="S393" s="4"/>
      <c r="T393" s="4" t="str">
        <f t="shared" si="2"/>
        <v>Valid</v>
      </c>
      <c r="U393" s="4">
        <f t="shared" si="3"/>
        <v>1</v>
      </c>
      <c r="V393" s="4" t="str">
        <f t="shared" si="4"/>
        <v>Unique</v>
      </c>
      <c r="W393" s="4" t="str">
        <f t="shared" si="5"/>
        <v>yellow</v>
      </c>
      <c r="X393" s="4" t="str">
        <f t="shared" ref="X393:Z393" si="397">IF(Q393="","Unknown",Q393)</f>
        <v>Iquique, Chile</v>
      </c>
      <c r="Y393" s="4" t="str">
        <f t="shared" si="397"/>
        <v>Unknown</v>
      </c>
      <c r="Z393" s="4" t="str">
        <f t="shared" si="397"/>
        <v>Unknown</v>
      </c>
      <c r="AA393" s="4" t="str">
        <f t="shared" si="7"/>
        <v>mww</v>
      </c>
    </row>
    <row r="394">
      <c r="A394" s="3" t="s">
        <v>1023</v>
      </c>
      <c r="B394" s="3">
        <v>6.7</v>
      </c>
      <c r="C394" s="19">
        <f>Raw_Data!T394</f>
        <v>41714.88611</v>
      </c>
      <c r="D394" s="3">
        <v>7.0</v>
      </c>
      <c r="E394" s="3">
        <v>7.0</v>
      </c>
      <c r="F394" s="3" t="s">
        <v>109</v>
      </c>
      <c r="G394" s="3">
        <v>1.0</v>
      </c>
      <c r="H394" s="3">
        <v>718.0</v>
      </c>
      <c r="I394" s="3" t="s">
        <v>110</v>
      </c>
      <c r="J394" s="3">
        <v>0.0</v>
      </c>
      <c r="K394" s="3">
        <v>1.008</v>
      </c>
      <c r="L394" s="3">
        <v>44.0</v>
      </c>
      <c r="M394" s="4" t="str">
        <f>Raw_Data!X394</f>
        <v>mww</v>
      </c>
      <c r="N394" s="3">
        <v>20.0</v>
      </c>
      <c r="O394" s="3">
        <v>-19.9807</v>
      </c>
      <c r="P394" s="3">
        <v>-70.7022</v>
      </c>
      <c r="Q394" s="3" t="s">
        <v>1019</v>
      </c>
      <c r="R394" s="4"/>
      <c r="S394" s="4"/>
      <c r="T394" s="4" t="str">
        <f t="shared" si="2"/>
        <v>Valid</v>
      </c>
      <c r="U394" s="4">
        <f t="shared" si="3"/>
        <v>1</v>
      </c>
      <c r="V394" s="4" t="str">
        <f t="shared" si="4"/>
        <v>Unique</v>
      </c>
      <c r="W394" s="4" t="str">
        <f t="shared" si="5"/>
        <v>green</v>
      </c>
      <c r="X394" s="4" t="str">
        <f t="shared" ref="X394:Z394" si="398">IF(Q394="","Unknown",Q394)</f>
        <v>Iquique, Chile</v>
      </c>
      <c r="Y394" s="4" t="str">
        <f t="shared" si="398"/>
        <v>Unknown</v>
      </c>
      <c r="Z394" s="4" t="str">
        <f t="shared" si="398"/>
        <v>Unknown</v>
      </c>
      <c r="AA394" s="4" t="str">
        <f t="shared" si="7"/>
        <v>mww</v>
      </c>
    </row>
    <row r="395">
      <c r="A395" s="3" t="s">
        <v>1025</v>
      </c>
      <c r="B395" s="3">
        <v>6.8</v>
      </c>
      <c r="C395" s="19">
        <f>Raw_Data!T395</f>
        <v>41708.22083</v>
      </c>
      <c r="D395" s="3">
        <v>5.0</v>
      </c>
      <c r="E395" s="3">
        <v>5.0</v>
      </c>
      <c r="F395" s="3" t="s">
        <v>109</v>
      </c>
      <c r="G395" s="3">
        <v>1.0</v>
      </c>
      <c r="H395" s="3">
        <v>1211.0</v>
      </c>
      <c r="I395" s="3" t="s">
        <v>1026</v>
      </c>
      <c r="J395" s="3">
        <v>112.0</v>
      </c>
      <c r="K395" s="3">
        <v>0.6568</v>
      </c>
      <c r="L395" s="3">
        <v>229.0</v>
      </c>
      <c r="M395" s="4" t="str">
        <f>Raw_Data!X395</f>
        <v>mw</v>
      </c>
      <c r="N395" s="3">
        <v>16.441</v>
      </c>
      <c r="O395" s="3">
        <v>40.8287</v>
      </c>
      <c r="P395" s="3">
        <v>-125.134</v>
      </c>
      <c r="Q395" s="3" t="s">
        <v>1027</v>
      </c>
      <c r="R395" s="4"/>
      <c r="S395" s="4"/>
      <c r="T395" s="4" t="str">
        <f t="shared" si="2"/>
        <v>Valid</v>
      </c>
      <c r="U395" s="4">
        <f t="shared" si="3"/>
        <v>1</v>
      </c>
      <c r="V395" s="4" t="str">
        <f t="shared" si="4"/>
        <v>Unique</v>
      </c>
      <c r="W395" s="4" t="str">
        <f t="shared" si="5"/>
        <v>green</v>
      </c>
      <c r="X395" s="4" t="str">
        <f t="shared" ref="X395:Z395" si="399">IF(Q395="","Unknown",Q395)</f>
        <v>Indianola, California</v>
      </c>
      <c r="Y395" s="4" t="str">
        <f t="shared" si="399"/>
        <v>Unknown</v>
      </c>
      <c r="Z395" s="4" t="str">
        <f t="shared" si="399"/>
        <v>Unknown</v>
      </c>
      <c r="AA395" s="4" t="str">
        <f t="shared" si="7"/>
        <v>mw</v>
      </c>
    </row>
    <row r="396">
      <c r="A396" s="3" t="s">
        <v>1028</v>
      </c>
      <c r="B396" s="3">
        <v>6.5</v>
      </c>
      <c r="C396" s="19">
        <f>Raw_Data!T396</f>
        <v>41700.84097</v>
      </c>
      <c r="D396" s="3">
        <v>4.0</v>
      </c>
      <c r="E396" s="3">
        <v>5.0</v>
      </c>
      <c r="F396" s="3" t="s">
        <v>109</v>
      </c>
      <c r="G396" s="3">
        <v>1.0</v>
      </c>
      <c r="H396" s="3">
        <v>668.0</v>
      </c>
      <c r="I396" s="3" t="s">
        <v>110</v>
      </c>
      <c r="J396" s="3">
        <v>0.0</v>
      </c>
      <c r="K396" s="3">
        <v>1.001</v>
      </c>
      <c r="L396" s="3">
        <v>17.0</v>
      </c>
      <c r="M396" s="4" t="str">
        <f>Raw_Data!X396</f>
        <v>mww</v>
      </c>
      <c r="N396" s="3">
        <v>119.0</v>
      </c>
      <c r="O396" s="3">
        <v>27.4312</v>
      </c>
      <c r="P396" s="3">
        <v>127.367</v>
      </c>
      <c r="Q396" s="3" t="s">
        <v>1029</v>
      </c>
      <c r="R396" s="4"/>
      <c r="S396" s="4"/>
      <c r="T396" s="4" t="str">
        <f t="shared" si="2"/>
        <v>Valid</v>
      </c>
      <c r="U396" s="4">
        <f t="shared" si="3"/>
        <v>1</v>
      </c>
      <c r="V396" s="4" t="str">
        <f t="shared" si="4"/>
        <v>Unique</v>
      </c>
      <c r="W396" s="4" t="str">
        <f t="shared" si="5"/>
        <v>green</v>
      </c>
      <c r="X396" s="4" t="str">
        <f t="shared" ref="X396:Z396" si="400">IF(Q396="","Unknown",Q396)</f>
        <v>Nago, Japan</v>
      </c>
      <c r="Y396" s="4" t="str">
        <f t="shared" si="400"/>
        <v>Unknown</v>
      </c>
      <c r="Z396" s="4" t="str">
        <f t="shared" si="400"/>
        <v>Unknown</v>
      </c>
      <c r="AA396" s="4" t="str">
        <f t="shared" si="7"/>
        <v>mww</v>
      </c>
    </row>
    <row r="397">
      <c r="A397" s="3" t="s">
        <v>1030</v>
      </c>
      <c r="B397" s="3">
        <v>6.5</v>
      </c>
      <c r="C397" s="19">
        <f>Raw_Data!T397</f>
        <v>41688.39375</v>
      </c>
      <c r="D397" s="3">
        <v>5.0</v>
      </c>
      <c r="E397" s="3">
        <v>4.0</v>
      </c>
      <c r="F397" s="3" t="s">
        <v>109</v>
      </c>
      <c r="G397" s="3">
        <v>1.0</v>
      </c>
      <c r="H397" s="3">
        <v>681.0</v>
      </c>
      <c r="I397" s="3" t="s">
        <v>110</v>
      </c>
      <c r="J397" s="3">
        <v>0.0</v>
      </c>
      <c r="K397" s="3">
        <v>1.635</v>
      </c>
      <c r="L397" s="3">
        <v>30.0</v>
      </c>
      <c r="M397" s="4" t="str">
        <f>Raw_Data!X397</f>
        <v>mww</v>
      </c>
      <c r="N397" s="3">
        <v>14.83</v>
      </c>
      <c r="O397" s="3">
        <v>14.6682</v>
      </c>
      <c r="P397" s="3">
        <v>-58.9272</v>
      </c>
      <c r="Q397" s="3" t="s">
        <v>1032</v>
      </c>
      <c r="R397" s="4"/>
      <c r="S397" s="4"/>
      <c r="T397" s="4" t="str">
        <f t="shared" si="2"/>
        <v>Valid</v>
      </c>
      <c r="U397" s="4">
        <f t="shared" si="3"/>
        <v>1</v>
      </c>
      <c r="V397" s="4" t="str">
        <f t="shared" si="4"/>
        <v>Unique</v>
      </c>
      <c r="W397" s="4" t="str">
        <f t="shared" si="5"/>
        <v>green</v>
      </c>
      <c r="X397" s="4" t="str">
        <f t="shared" ref="X397:Z397" si="401">IF(Q397="","Unknown",Q397)</f>
        <v>Greenland, Barbados</v>
      </c>
      <c r="Y397" s="4" t="str">
        <f t="shared" si="401"/>
        <v>Unknown</v>
      </c>
      <c r="Z397" s="4" t="str">
        <f t="shared" si="401"/>
        <v>Unknown</v>
      </c>
      <c r="AA397" s="4" t="str">
        <f t="shared" si="7"/>
        <v>mww</v>
      </c>
    </row>
    <row r="398">
      <c r="A398" s="3" t="s">
        <v>1033</v>
      </c>
      <c r="B398" s="3">
        <v>6.9</v>
      </c>
      <c r="C398" s="19">
        <f>Raw_Data!T398</f>
        <v>41682.38819</v>
      </c>
      <c r="D398" s="3">
        <v>3.0</v>
      </c>
      <c r="E398" s="3">
        <v>8.0</v>
      </c>
      <c r="F398" s="3" t="s">
        <v>116</v>
      </c>
      <c r="G398" s="3">
        <v>0.0</v>
      </c>
      <c r="H398" s="3">
        <v>733.0</v>
      </c>
      <c r="I398" s="3" t="s">
        <v>110</v>
      </c>
      <c r="J398" s="3">
        <v>0.0</v>
      </c>
      <c r="K398" s="3">
        <v>7.496</v>
      </c>
      <c r="L398" s="3">
        <v>18.0</v>
      </c>
      <c r="M398" s="4" t="str">
        <f>Raw_Data!X398</f>
        <v>mww</v>
      </c>
      <c r="N398" s="3">
        <v>10.0</v>
      </c>
      <c r="O398" s="3">
        <v>35.9053</v>
      </c>
      <c r="P398" s="3">
        <v>82.5864</v>
      </c>
      <c r="Q398" s="3" t="s">
        <v>1034</v>
      </c>
      <c r="R398" s="3" t="s">
        <v>164</v>
      </c>
      <c r="S398" s="3" t="s">
        <v>251</v>
      </c>
      <c r="T398" s="4" t="str">
        <f t="shared" si="2"/>
        <v>Valid</v>
      </c>
      <c r="U398" s="4">
        <f t="shared" si="3"/>
        <v>1</v>
      </c>
      <c r="V398" s="4" t="str">
        <f t="shared" si="4"/>
        <v>Unique</v>
      </c>
      <c r="W398" s="4" t="str">
        <f t="shared" si="5"/>
        <v>yellow</v>
      </c>
      <c r="X398" s="4" t="str">
        <f t="shared" ref="X398:Z398" si="402">IF(Q398="","Unknown",Q398)</f>
        <v>Hotan, China</v>
      </c>
      <c r="Y398" s="4" t="str">
        <f t="shared" si="402"/>
        <v>Asia</v>
      </c>
      <c r="Z398" s="4" t="str">
        <f t="shared" si="402"/>
        <v>People's Republic of China</v>
      </c>
      <c r="AA398" s="4" t="str">
        <f t="shared" si="7"/>
        <v>mww</v>
      </c>
    </row>
    <row r="399">
      <c r="A399" s="3" t="s">
        <v>1035</v>
      </c>
      <c r="B399" s="3">
        <v>6.5</v>
      </c>
      <c r="C399" s="19">
        <f>Raw_Data!T399</f>
        <v>41677.36111</v>
      </c>
      <c r="D399" s="3">
        <v>0.0</v>
      </c>
      <c r="E399" s="3">
        <v>5.0</v>
      </c>
      <c r="F399" s="3" t="s">
        <v>109</v>
      </c>
      <c r="G399" s="3">
        <v>1.0</v>
      </c>
      <c r="H399" s="3">
        <v>650.0</v>
      </c>
      <c r="I399" s="3" t="s">
        <v>110</v>
      </c>
      <c r="J399" s="3">
        <v>0.0</v>
      </c>
      <c r="K399" s="3">
        <v>0.409</v>
      </c>
      <c r="L399" s="3">
        <v>20.0</v>
      </c>
      <c r="M399" s="4" t="str">
        <f>Raw_Data!X399</f>
        <v>mww</v>
      </c>
      <c r="N399" s="3">
        <v>122.0</v>
      </c>
      <c r="O399" s="3">
        <v>-15.0691</v>
      </c>
      <c r="P399" s="3">
        <v>167.372</v>
      </c>
      <c r="Q399" s="3" t="s">
        <v>185</v>
      </c>
      <c r="R399" s="4"/>
      <c r="S399" s="3" t="s">
        <v>113</v>
      </c>
      <c r="T399" s="4" t="str">
        <f t="shared" si="2"/>
        <v>Valid</v>
      </c>
      <c r="U399" s="4">
        <f t="shared" si="3"/>
        <v>1</v>
      </c>
      <c r="V399" s="4" t="str">
        <f t="shared" si="4"/>
        <v>Unique</v>
      </c>
      <c r="W399" s="4" t="str">
        <f t="shared" si="5"/>
        <v>green</v>
      </c>
      <c r="X399" s="4" t="str">
        <f t="shared" ref="X399:Z399" si="403">IF(Q399="","Unknown",Q399)</f>
        <v>Port-Olry, Vanuatu</v>
      </c>
      <c r="Y399" s="4" t="str">
        <f t="shared" si="403"/>
        <v>Unknown</v>
      </c>
      <c r="Z399" s="4" t="str">
        <f t="shared" si="403"/>
        <v>Vanuatu</v>
      </c>
      <c r="AA399" s="4" t="str">
        <f t="shared" si="7"/>
        <v>mww</v>
      </c>
    </row>
    <row r="400">
      <c r="A400" s="3" t="s">
        <v>1036</v>
      </c>
      <c r="B400" s="3">
        <v>6.5</v>
      </c>
      <c r="C400" s="19">
        <f>Raw_Data!T400</f>
        <v>41672.39306</v>
      </c>
      <c r="D400" s="3">
        <v>0.0</v>
      </c>
      <c r="E400" s="3">
        <v>3.0</v>
      </c>
      <c r="F400" s="3" t="s">
        <v>109</v>
      </c>
      <c r="G400" s="3">
        <v>1.0</v>
      </c>
      <c r="H400" s="3">
        <v>650.0</v>
      </c>
      <c r="I400" s="3" t="s">
        <v>110</v>
      </c>
      <c r="J400" s="3">
        <v>0.0</v>
      </c>
      <c r="K400" s="3">
        <v>3.651</v>
      </c>
      <c r="L400" s="3">
        <v>22.0</v>
      </c>
      <c r="M400" s="4" t="str">
        <f>Raw_Data!X400</f>
        <v>mww</v>
      </c>
      <c r="N400" s="3">
        <v>44.26</v>
      </c>
      <c r="O400" s="3">
        <v>-32.9076</v>
      </c>
      <c r="P400" s="3">
        <v>-177.881</v>
      </c>
      <c r="Q400" s="3" t="s">
        <v>254</v>
      </c>
      <c r="R400" s="4"/>
      <c r="S400" s="4"/>
      <c r="T400" s="4" t="str">
        <f t="shared" si="2"/>
        <v>Valid</v>
      </c>
      <c r="U400" s="4">
        <f t="shared" si="3"/>
        <v>1</v>
      </c>
      <c r="V400" s="4" t="str">
        <f t="shared" si="4"/>
        <v>Unique</v>
      </c>
      <c r="W400" s="4" t="str">
        <f t="shared" si="5"/>
        <v>green</v>
      </c>
      <c r="X400" s="4" t="str">
        <f t="shared" ref="X400:Z400" si="404">IF(Q400="","Unknown",Q400)</f>
        <v>the Kermadec Islands</v>
      </c>
      <c r="Y400" s="4" t="str">
        <f t="shared" si="404"/>
        <v>Unknown</v>
      </c>
      <c r="Z400" s="4" t="str">
        <f t="shared" si="404"/>
        <v>Unknown</v>
      </c>
      <c r="AA400" s="4" t="str">
        <f t="shared" si="7"/>
        <v>mww</v>
      </c>
    </row>
    <row r="401">
      <c r="A401" s="3" t="s">
        <v>1037</v>
      </c>
      <c r="B401" s="3">
        <v>6.5</v>
      </c>
      <c r="C401" s="19">
        <f>Raw_Data!T401</f>
        <v>41640.66875</v>
      </c>
      <c r="D401" s="3">
        <v>0.0</v>
      </c>
      <c r="E401" s="3">
        <v>4.0</v>
      </c>
      <c r="F401" s="3" t="s">
        <v>109</v>
      </c>
      <c r="G401" s="3">
        <v>1.0</v>
      </c>
      <c r="H401" s="3">
        <v>650.0</v>
      </c>
      <c r="I401" s="3" t="s">
        <v>110</v>
      </c>
      <c r="J401" s="3">
        <v>0.0</v>
      </c>
      <c r="K401" s="3">
        <v>3.997</v>
      </c>
      <c r="L401" s="3">
        <v>14.0</v>
      </c>
      <c r="M401" s="4" t="str">
        <f>Raw_Data!X401</f>
        <v>mww</v>
      </c>
      <c r="N401" s="3">
        <v>187.0</v>
      </c>
      <c r="O401" s="3">
        <v>-13.8633</v>
      </c>
      <c r="P401" s="3">
        <v>167.249</v>
      </c>
      <c r="Q401" s="3" t="s">
        <v>112</v>
      </c>
      <c r="R401" s="4"/>
      <c r="S401" s="3" t="s">
        <v>113</v>
      </c>
      <c r="T401" s="4" t="str">
        <f t="shared" si="2"/>
        <v>Valid</v>
      </c>
      <c r="U401" s="4">
        <f t="shared" si="3"/>
        <v>1</v>
      </c>
      <c r="V401" s="4" t="str">
        <f t="shared" si="4"/>
        <v>Unique</v>
      </c>
      <c r="W401" s="4" t="str">
        <f t="shared" si="5"/>
        <v>green</v>
      </c>
      <c r="X401" s="4" t="str">
        <f t="shared" ref="X401:Z401" si="405">IF(Q401="","Unknown",Q401)</f>
        <v>Sola, Vanuatu</v>
      </c>
      <c r="Y401" s="4" t="str">
        <f t="shared" si="405"/>
        <v>Unknown</v>
      </c>
      <c r="Z401" s="4" t="str">
        <f t="shared" si="405"/>
        <v>Vanuatu</v>
      </c>
      <c r="AA401" s="4" t="str">
        <f t="shared" si="7"/>
        <v>mww</v>
      </c>
    </row>
    <row r="402">
      <c r="A402" s="3" t="s">
        <v>1038</v>
      </c>
      <c r="B402" s="3">
        <v>6.5</v>
      </c>
      <c r="C402" s="19">
        <f>Raw_Data!T402</f>
        <v>41601.325</v>
      </c>
      <c r="D402" s="3">
        <v>3.0</v>
      </c>
      <c r="E402" s="3">
        <v>4.0</v>
      </c>
      <c r="F402" s="3" t="s">
        <v>109</v>
      </c>
      <c r="G402" s="3">
        <v>0.0</v>
      </c>
      <c r="H402" s="3">
        <v>651.0</v>
      </c>
      <c r="I402" s="3" t="s">
        <v>110</v>
      </c>
      <c r="J402" s="3">
        <v>0.0</v>
      </c>
      <c r="K402" s="3">
        <v>5.194</v>
      </c>
      <c r="L402" s="3">
        <v>22.0</v>
      </c>
      <c r="M402" s="4" t="str">
        <f>Raw_Data!X402</f>
        <v>mww</v>
      </c>
      <c r="N402" s="3">
        <v>371.0</v>
      </c>
      <c r="O402" s="3">
        <v>-17.1171</v>
      </c>
      <c r="P402" s="3">
        <v>-176.545</v>
      </c>
      <c r="Q402" s="3" t="s">
        <v>777</v>
      </c>
      <c r="R402" s="4"/>
      <c r="S402" s="4"/>
      <c r="T402" s="4" t="str">
        <f t="shared" si="2"/>
        <v>Valid</v>
      </c>
      <c r="U402" s="4">
        <f t="shared" si="3"/>
        <v>1</v>
      </c>
      <c r="V402" s="4" t="str">
        <f t="shared" si="4"/>
        <v>Unique</v>
      </c>
      <c r="W402" s="4" t="str">
        <f t="shared" si="5"/>
        <v>green</v>
      </c>
      <c r="X402" s="4" t="str">
        <f t="shared" ref="X402:Z402" si="406">IF(Q402="","Unknown",Q402)</f>
        <v>Fiji region</v>
      </c>
      <c r="Y402" s="4" t="str">
        <f t="shared" si="406"/>
        <v>Unknown</v>
      </c>
      <c r="Z402" s="4" t="str">
        <f t="shared" si="406"/>
        <v>Unknown</v>
      </c>
      <c r="AA402" s="4" t="str">
        <f t="shared" si="7"/>
        <v>mww</v>
      </c>
    </row>
    <row r="403">
      <c r="A403" s="3" t="s">
        <v>1040</v>
      </c>
      <c r="B403" s="3">
        <v>7.7</v>
      </c>
      <c r="C403" s="19">
        <f>Raw_Data!T403</f>
        <v>41595.37778</v>
      </c>
      <c r="D403" s="3">
        <v>1.0</v>
      </c>
      <c r="E403" s="3">
        <v>8.0</v>
      </c>
      <c r="F403" s="3" t="s">
        <v>109</v>
      </c>
      <c r="G403" s="3">
        <v>1.0</v>
      </c>
      <c r="H403" s="3">
        <v>912.0</v>
      </c>
      <c r="I403" s="3" t="s">
        <v>110</v>
      </c>
      <c r="J403" s="3">
        <v>0.0</v>
      </c>
      <c r="K403" s="3">
        <v>8.05</v>
      </c>
      <c r="L403" s="3">
        <v>23.0</v>
      </c>
      <c r="M403" s="4" t="str">
        <f>Raw_Data!X403</f>
        <v>mww</v>
      </c>
      <c r="N403" s="3">
        <v>10.0</v>
      </c>
      <c r="O403" s="3">
        <v>-60.2738</v>
      </c>
      <c r="P403" s="3">
        <v>-46.4011</v>
      </c>
      <c r="Q403" s="3" t="s">
        <v>1042</v>
      </c>
      <c r="R403" s="4"/>
      <c r="S403" s="3" t="s">
        <v>497</v>
      </c>
      <c r="T403" s="4" t="str">
        <f t="shared" si="2"/>
        <v>Valid</v>
      </c>
      <c r="U403" s="4">
        <f t="shared" si="3"/>
        <v>1</v>
      </c>
      <c r="V403" s="4" t="str">
        <f t="shared" si="4"/>
        <v>Unique</v>
      </c>
      <c r="W403" s="4" t="str">
        <f t="shared" si="5"/>
        <v>green</v>
      </c>
      <c r="X403" s="4" t="str">
        <f t="shared" ref="X403:Z403" si="407">IF(Q403="","Unknown",Q403)</f>
        <v>Scotia Sea</v>
      </c>
      <c r="Y403" s="4" t="str">
        <f t="shared" si="407"/>
        <v>Unknown</v>
      </c>
      <c r="Z403" s="4" t="str">
        <f t="shared" si="407"/>
        <v>United Kingdom of Great Britain and Northern Ireland (the)</v>
      </c>
      <c r="AA403" s="4" t="str">
        <f t="shared" si="7"/>
        <v>mww</v>
      </c>
    </row>
    <row r="404">
      <c r="A404" s="3" t="s">
        <v>1043</v>
      </c>
      <c r="B404" s="3">
        <v>6.9</v>
      </c>
      <c r="C404" s="19">
        <f>Raw_Data!T404</f>
        <v>41594.14861</v>
      </c>
      <c r="D404" s="3">
        <v>0.0</v>
      </c>
      <c r="E404" s="3">
        <v>5.0</v>
      </c>
      <c r="F404" s="3" t="s">
        <v>109</v>
      </c>
      <c r="G404" s="3">
        <v>1.0</v>
      </c>
      <c r="H404" s="3">
        <v>732.0</v>
      </c>
      <c r="I404" s="3" t="s">
        <v>110</v>
      </c>
      <c r="J404" s="3">
        <v>0.0</v>
      </c>
      <c r="K404" s="3">
        <v>8.284</v>
      </c>
      <c r="L404" s="3">
        <v>17.0</v>
      </c>
      <c r="M404" s="4" t="str">
        <f>Raw_Data!X404</f>
        <v>mww</v>
      </c>
      <c r="N404" s="3">
        <v>9.97</v>
      </c>
      <c r="O404" s="3">
        <v>-60.2627</v>
      </c>
      <c r="P404" s="3">
        <v>-47.0621</v>
      </c>
      <c r="Q404" s="3" t="s">
        <v>1042</v>
      </c>
      <c r="R404" s="4"/>
      <c r="S404" s="3" t="s">
        <v>497</v>
      </c>
      <c r="T404" s="4" t="str">
        <f t="shared" si="2"/>
        <v>Valid</v>
      </c>
      <c r="U404" s="4">
        <f t="shared" si="3"/>
        <v>1</v>
      </c>
      <c r="V404" s="4" t="str">
        <f t="shared" si="4"/>
        <v>Unique</v>
      </c>
      <c r="W404" s="4" t="str">
        <f t="shared" si="5"/>
        <v>green</v>
      </c>
      <c r="X404" s="4" t="str">
        <f t="shared" ref="X404:Z404" si="408">IF(Q404="","Unknown",Q404)</f>
        <v>Scotia Sea</v>
      </c>
      <c r="Y404" s="4" t="str">
        <f t="shared" si="408"/>
        <v>Unknown</v>
      </c>
      <c r="Z404" s="4" t="str">
        <f t="shared" si="408"/>
        <v>United Kingdom of Great Britain and Northern Ireland (the)</v>
      </c>
      <c r="AA404" s="4" t="str">
        <f t="shared" si="7"/>
        <v>mww</v>
      </c>
    </row>
    <row r="405">
      <c r="A405" s="3" t="s">
        <v>1045</v>
      </c>
      <c r="B405" s="3">
        <v>6.6</v>
      </c>
      <c r="C405" s="19">
        <f>Raw_Data!T405</f>
        <v>41578.96042</v>
      </c>
      <c r="D405" s="3">
        <v>6.0</v>
      </c>
      <c r="E405" s="3">
        <v>7.0</v>
      </c>
      <c r="F405" s="3" t="s">
        <v>109</v>
      </c>
      <c r="G405" s="3">
        <v>1.0</v>
      </c>
      <c r="H405" s="3">
        <v>723.0</v>
      </c>
      <c r="I405" s="3" t="s">
        <v>110</v>
      </c>
      <c r="J405" s="3">
        <v>0.0</v>
      </c>
      <c r="K405" s="3">
        <v>0.636</v>
      </c>
      <c r="L405" s="3">
        <v>31.0</v>
      </c>
      <c r="M405" s="4" t="str">
        <f>Raw_Data!X405</f>
        <v>mww</v>
      </c>
      <c r="N405" s="3">
        <v>27.0</v>
      </c>
      <c r="O405" s="3">
        <v>-30.2921</v>
      </c>
      <c r="P405" s="3">
        <v>-71.5215</v>
      </c>
      <c r="Q405" s="3" t="s">
        <v>547</v>
      </c>
      <c r="R405" s="3" t="s">
        <v>121</v>
      </c>
      <c r="S405" s="3" t="s">
        <v>414</v>
      </c>
      <c r="T405" s="4" t="str">
        <f t="shared" si="2"/>
        <v>Valid</v>
      </c>
      <c r="U405" s="4">
        <f t="shared" si="3"/>
        <v>1</v>
      </c>
      <c r="V405" s="4" t="str">
        <f t="shared" si="4"/>
        <v>Unique</v>
      </c>
      <c r="W405" s="4" t="str">
        <f t="shared" si="5"/>
        <v>green</v>
      </c>
      <c r="X405" s="4" t="str">
        <f t="shared" ref="X405:Z405" si="409">IF(Q405="","Unknown",Q405)</f>
        <v>Coquimbo, Chile</v>
      </c>
      <c r="Y405" s="4" t="str">
        <f t="shared" si="409"/>
        <v>South America</v>
      </c>
      <c r="Z405" s="4" t="str">
        <f t="shared" si="409"/>
        <v>Chile</v>
      </c>
      <c r="AA405" s="4" t="str">
        <f t="shared" si="7"/>
        <v>mww</v>
      </c>
    </row>
    <row r="406">
      <c r="A406" s="3" t="s">
        <v>1047</v>
      </c>
      <c r="B406" s="3">
        <v>7.1</v>
      </c>
      <c r="C406" s="19">
        <f>Raw_Data!T406</f>
        <v>41572.71528</v>
      </c>
      <c r="D406" s="3">
        <v>6.0</v>
      </c>
      <c r="E406" s="3">
        <v>4.0</v>
      </c>
      <c r="F406" s="3" t="s">
        <v>109</v>
      </c>
      <c r="G406" s="3">
        <v>1.0</v>
      </c>
      <c r="H406" s="3">
        <v>872.0</v>
      </c>
      <c r="I406" s="3" t="s">
        <v>110</v>
      </c>
      <c r="J406" s="3">
        <v>0.0</v>
      </c>
      <c r="K406" s="3">
        <v>3.968</v>
      </c>
      <c r="L406" s="3">
        <v>10.0</v>
      </c>
      <c r="M406" s="4" t="str">
        <f>Raw_Data!X406</f>
        <v>mww</v>
      </c>
      <c r="N406" s="3">
        <v>35.0</v>
      </c>
      <c r="O406" s="3">
        <v>37.1557</v>
      </c>
      <c r="P406" s="3">
        <v>144.661</v>
      </c>
      <c r="Q406" s="3" t="s">
        <v>1049</v>
      </c>
      <c r="R406" s="4"/>
      <c r="S406" s="4"/>
      <c r="T406" s="4" t="str">
        <f t="shared" si="2"/>
        <v>Valid</v>
      </c>
      <c r="U406" s="4">
        <f t="shared" si="3"/>
        <v>1</v>
      </c>
      <c r="V406" s="4" t="str">
        <f t="shared" si="4"/>
        <v>Unique</v>
      </c>
      <c r="W406" s="4" t="str">
        <f t="shared" si="5"/>
        <v>green</v>
      </c>
      <c r="X406" s="4" t="str">
        <f t="shared" ref="X406:Z406" si="410">IF(Q406="","Unknown",Q406)</f>
        <v>off the east coast of Honshu, Japan</v>
      </c>
      <c r="Y406" s="4" t="str">
        <f t="shared" si="410"/>
        <v>Unknown</v>
      </c>
      <c r="Z406" s="4" t="str">
        <f t="shared" si="410"/>
        <v>Unknown</v>
      </c>
      <c r="AA406" s="4" t="str">
        <f t="shared" si="7"/>
        <v>mww</v>
      </c>
    </row>
    <row r="407">
      <c r="A407" s="3" t="s">
        <v>1050</v>
      </c>
      <c r="B407" s="3">
        <v>6.6</v>
      </c>
      <c r="C407" s="19">
        <f>Raw_Data!T407</f>
        <v>41566.74583</v>
      </c>
      <c r="D407" s="3">
        <v>8.0</v>
      </c>
      <c r="E407" s="3">
        <v>5.0</v>
      </c>
      <c r="F407" s="3" t="s">
        <v>109</v>
      </c>
      <c r="G407" s="3">
        <v>1.0</v>
      </c>
      <c r="H407" s="3">
        <v>692.0</v>
      </c>
      <c r="I407" s="3" t="s">
        <v>110</v>
      </c>
      <c r="J407" s="3">
        <v>0.0</v>
      </c>
      <c r="K407" s="3">
        <v>1.98</v>
      </c>
      <c r="L407" s="3">
        <v>44.0</v>
      </c>
      <c r="M407" s="4" t="str">
        <f>Raw_Data!X407</f>
        <v>mww</v>
      </c>
      <c r="N407" s="3">
        <v>9.45</v>
      </c>
      <c r="O407" s="3">
        <v>26.0913</v>
      </c>
      <c r="P407" s="3">
        <v>-110.321</v>
      </c>
      <c r="Q407" s="3" t="s">
        <v>1052</v>
      </c>
      <c r="R407" s="4"/>
      <c r="S407" s="4"/>
      <c r="T407" s="4" t="str">
        <f t="shared" si="2"/>
        <v>Valid</v>
      </c>
      <c r="U407" s="4">
        <f t="shared" si="3"/>
        <v>1</v>
      </c>
      <c r="V407" s="4" t="str">
        <f t="shared" si="4"/>
        <v>Unique</v>
      </c>
      <c r="W407" s="4" t="str">
        <f t="shared" si="5"/>
        <v>green</v>
      </c>
      <c r="X407" s="4" t="str">
        <f t="shared" ref="X407:Z407" si="411">IF(Q407="","Unknown",Q407)</f>
        <v>Etchoropo, Mexico</v>
      </c>
      <c r="Y407" s="4" t="str">
        <f t="shared" si="411"/>
        <v>Unknown</v>
      </c>
      <c r="Z407" s="4" t="str">
        <f t="shared" si="411"/>
        <v>Unknown</v>
      </c>
      <c r="AA407" s="4" t="str">
        <f t="shared" si="7"/>
        <v>mww</v>
      </c>
    </row>
    <row r="408">
      <c r="A408" s="3" t="s">
        <v>1053</v>
      </c>
      <c r="B408" s="3">
        <v>6.8</v>
      </c>
      <c r="C408" s="19">
        <f>Raw_Data!T408</f>
        <v>41563.4375</v>
      </c>
      <c r="D408" s="3">
        <v>0.0</v>
      </c>
      <c r="E408" s="3">
        <v>6.0</v>
      </c>
      <c r="F408" s="3" t="s">
        <v>109</v>
      </c>
      <c r="G408" s="3">
        <v>1.0</v>
      </c>
      <c r="H408" s="3">
        <v>711.0</v>
      </c>
      <c r="I408" s="3" t="s">
        <v>110</v>
      </c>
      <c r="J408" s="3">
        <v>0.0</v>
      </c>
      <c r="K408" s="3">
        <v>5.79</v>
      </c>
      <c r="L408" s="3">
        <v>9.0</v>
      </c>
      <c r="M408" s="4" t="str">
        <f>Raw_Data!X408</f>
        <v>mww</v>
      </c>
      <c r="N408" s="3">
        <v>35.0</v>
      </c>
      <c r="O408" s="3">
        <v>-6.4456</v>
      </c>
      <c r="P408" s="3">
        <v>154.931</v>
      </c>
      <c r="Q408" s="3" t="s">
        <v>728</v>
      </c>
      <c r="R408" s="4"/>
      <c r="S408" s="3" t="s">
        <v>168</v>
      </c>
      <c r="T408" s="4" t="str">
        <f t="shared" si="2"/>
        <v>Valid</v>
      </c>
      <c r="U408" s="4">
        <f t="shared" si="3"/>
        <v>1</v>
      </c>
      <c r="V408" s="4" t="str">
        <f t="shared" si="4"/>
        <v>Unique</v>
      </c>
      <c r="W408" s="4" t="str">
        <f t="shared" si="5"/>
        <v>green</v>
      </c>
      <c r="X408" s="4" t="str">
        <f t="shared" ref="X408:Z408" si="412">IF(Q408="","Unknown",Q408)</f>
        <v>Panguna, Papua New Guinea</v>
      </c>
      <c r="Y408" s="4" t="str">
        <f t="shared" si="412"/>
        <v>Unknown</v>
      </c>
      <c r="Z408" s="4" t="str">
        <f t="shared" si="412"/>
        <v>Papua New Guinea</v>
      </c>
      <c r="AA408" s="4" t="str">
        <f t="shared" si="7"/>
        <v>mww</v>
      </c>
    </row>
    <row r="409">
      <c r="A409" s="3" t="s">
        <v>1055</v>
      </c>
      <c r="B409" s="3">
        <v>7.1</v>
      </c>
      <c r="C409" s="19">
        <f>Raw_Data!T409</f>
        <v>41562.00833</v>
      </c>
      <c r="D409" s="3">
        <v>9.0</v>
      </c>
      <c r="E409" s="3">
        <v>8.0</v>
      </c>
      <c r="F409" s="3" t="s">
        <v>178</v>
      </c>
      <c r="G409" s="3">
        <v>1.0</v>
      </c>
      <c r="H409" s="3">
        <v>1092.0</v>
      </c>
      <c r="I409" s="3" t="s">
        <v>110</v>
      </c>
      <c r="J409" s="3">
        <v>0.0</v>
      </c>
      <c r="K409" s="3">
        <v>3.144</v>
      </c>
      <c r="L409" s="3">
        <v>12.0</v>
      </c>
      <c r="M409" s="4" t="str">
        <f>Raw_Data!X409</f>
        <v>mww</v>
      </c>
      <c r="N409" s="3">
        <v>19.04</v>
      </c>
      <c r="O409" s="3">
        <v>9.8796</v>
      </c>
      <c r="P409" s="3">
        <v>124.117</v>
      </c>
      <c r="Q409" s="3" t="s">
        <v>1057</v>
      </c>
      <c r="R409" s="4"/>
      <c r="S409" s="3" t="s">
        <v>258</v>
      </c>
      <c r="T409" s="4" t="str">
        <f t="shared" si="2"/>
        <v>Valid</v>
      </c>
      <c r="U409" s="4">
        <f t="shared" si="3"/>
        <v>1</v>
      </c>
      <c r="V409" s="4" t="str">
        <f t="shared" si="4"/>
        <v>Unique</v>
      </c>
      <c r="W409" s="4" t="str">
        <f t="shared" si="5"/>
        <v>orange</v>
      </c>
      <c r="X409" s="4" t="str">
        <f t="shared" ref="X409:Z409" si="413">IF(Q409="","Unknown",Q409)</f>
        <v>Sagbayan, Philippines</v>
      </c>
      <c r="Y409" s="4" t="str">
        <f t="shared" si="413"/>
        <v>Unknown</v>
      </c>
      <c r="Z409" s="4" t="str">
        <f t="shared" si="413"/>
        <v>Philippines</v>
      </c>
      <c r="AA409" s="4" t="str">
        <f t="shared" si="7"/>
        <v>mww</v>
      </c>
    </row>
    <row r="410">
      <c r="A410" s="3" t="s">
        <v>1058</v>
      </c>
      <c r="B410" s="3">
        <v>6.6</v>
      </c>
      <c r="C410" s="19">
        <f>Raw_Data!T410</f>
        <v>41559.54931</v>
      </c>
      <c r="D410" s="3">
        <v>5.0</v>
      </c>
      <c r="E410" s="3">
        <v>6.0</v>
      </c>
      <c r="F410" s="3" t="s">
        <v>116</v>
      </c>
      <c r="G410" s="3">
        <v>0.0</v>
      </c>
      <c r="H410" s="3">
        <v>691.0</v>
      </c>
      <c r="I410" s="3" t="s">
        <v>110</v>
      </c>
      <c r="J410" s="3">
        <v>0.0</v>
      </c>
      <c r="K410" s="3">
        <v>1.984</v>
      </c>
      <c r="L410" s="3">
        <v>40.0</v>
      </c>
      <c r="M410" s="4" t="str">
        <f>Raw_Data!X410</f>
        <v>mww</v>
      </c>
      <c r="N410" s="3">
        <v>40.0</v>
      </c>
      <c r="O410" s="3">
        <v>35.5142</v>
      </c>
      <c r="P410" s="3">
        <v>23.2523</v>
      </c>
      <c r="Q410" s="3" t="s">
        <v>1059</v>
      </c>
      <c r="R410" s="3" t="s">
        <v>404</v>
      </c>
      <c r="S410" s="4"/>
      <c r="T410" s="4" t="str">
        <f t="shared" si="2"/>
        <v>Valid</v>
      </c>
      <c r="U410" s="4">
        <f t="shared" si="3"/>
        <v>1</v>
      </c>
      <c r="V410" s="4" t="str">
        <f t="shared" si="4"/>
        <v>Unique</v>
      </c>
      <c r="W410" s="4" t="str">
        <f t="shared" si="5"/>
        <v>yellow</v>
      </c>
      <c r="X410" s="4" t="str">
        <f t="shared" ref="X410:Z410" si="414">IF(Q410="","Unknown",Q410)</f>
        <v>Kíssamos, Greece</v>
      </c>
      <c r="Y410" s="4" t="str">
        <f t="shared" si="414"/>
        <v>Europe</v>
      </c>
      <c r="Z410" s="4" t="str">
        <f t="shared" si="414"/>
        <v>Unknown</v>
      </c>
      <c r="AA410" s="4" t="str">
        <f t="shared" si="7"/>
        <v>mww</v>
      </c>
    </row>
    <row r="411">
      <c r="A411" s="3" t="s">
        <v>1060</v>
      </c>
      <c r="B411" s="3">
        <v>6.7</v>
      </c>
      <c r="C411" s="19">
        <f>Raw_Data!T411</f>
        <v>41548.15139</v>
      </c>
      <c r="D411" s="3">
        <v>0.0</v>
      </c>
      <c r="E411" s="3">
        <v>3.0</v>
      </c>
      <c r="F411" s="3" t="s">
        <v>109</v>
      </c>
      <c r="G411" s="3">
        <v>0.0</v>
      </c>
      <c r="H411" s="3">
        <v>691.0</v>
      </c>
      <c r="I411" s="3" t="s">
        <v>110</v>
      </c>
      <c r="J411" s="3">
        <v>0.0</v>
      </c>
      <c r="K411" s="3">
        <v>2.958</v>
      </c>
      <c r="L411" s="3">
        <v>11.0</v>
      </c>
      <c r="M411" s="4" t="str">
        <f>Raw_Data!X411</f>
        <v>mww</v>
      </c>
      <c r="N411" s="3">
        <v>573.0</v>
      </c>
      <c r="O411" s="3">
        <v>53.1995</v>
      </c>
      <c r="P411" s="3">
        <v>152.786</v>
      </c>
      <c r="Q411" s="3" t="s">
        <v>1061</v>
      </c>
      <c r="R411" s="4"/>
      <c r="S411" s="4"/>
      <c r="T411" s="4" t="str">
        <f t="shared" si="2"/>
        <v>Valid</v>
      </c>
      <c r="U411" s="4">
        <f t="shared" si="3"/>
        <v>1</v>
      </c>
      <c r="V411" s="4" t="str">
        <f t="shared" si="4"/>
        <v>Unique</v>
      </c>
      <c r="W411" s="4" t="str">
        <f t="shared" si="5"/>
        <v>green</v>
      </c>
      <c r="X411" s="4" t="str">
        <f t="shared" ref="X411:Z411" si="415">IF(Q411="","Unknown",Q411)</f>
        <v>Okhotsk</v>
      </c>
      <c r="Y411" s="4" t="str">
        <f t="shared" si="415"/>
        <v>Unknown</v>
      </c>
      <c r="Z411" s="4" t="str">
        <f t="shared" si="415"/>
        <v>Unknown</v>
      </c>
      <c r="AA411" s="4" t="str">
        <f t="shared" si="7"/>
        <v>mww</v>
      </c>
    </row>
    <row r="412">
      <c r="A412" s="3" t="s">
        <v>358</v>
      </c>
      <c r="B412" s="3">
        <v>6.5</v>
      </c>
      <c r="C412" s="19">
        <f>Raw_Data!T412</f>
        <v>41547.24653</v>
      </c>
      <c r="D412" s="3">
        <v>0.0</v>
      </c>
      <c r="E412" s="3">
        <v>4.0</v>
      </c>
      <c r="F412" s="3" t="s">
        <v>109</v>
      </c>
      <c r="G412" s="3">
        <v>1.0</v>
      </c>
      <c r="H412" s="3">
        <v>650.0</v>
      </c>
      <c r="I412" s="3" t="s">
        <v>110</v>
      </c>
      <c r="J412" s="3">
        <v>0.0</v>
      </c>
      <c r="K412" s="3">
        <v>1.709</v>
      </c>
      <c r="L412" s="3">
        <v>21.0</v>
      </c>
      <c r="M412" s="4" t="str">
        <f>Raw_Data!X412</f>
        <v>mww</v>
      </c>
      <c r="N412" s="3">
        <v>41.54</v>
      </c>
      <c r="O412" s="3">
        <v>-30.9255</v>
      </c>
      <c r="P412" s="3">
        <v>-178.323</v>
      </c>
      <c r="Q412" s="3" t="s">
        <v>156</v>
      </c>
      <c r="R412" s="4"/>
      <c r="S412" s="4"/>
      <c r="T412" s="4" t="str">
        <f t="shared" si="2"/>
        <v>Valid</v>
      </c>
      <c r="U412" s="4">
        <f t="shared" si="3"/>
        <v>1</v>
      </c>
      <c r="V412" s="4" t="str">
        <f t="shared" si="4"/>
        <v>Unique</v>
      </c>
      <c r="W412" s="4" t="str">
        <f t="shared" si="5"/>
        <v>green</v>
      </c>
      <c r="X412" s="4" t="str">
        <f t="shared" ref="X412:Z412" si="416">IF(Q412="","Unknown",Q412)</f>
        <v>Kermadec Islands, New Zealand</v>
      </c>
      <c r="Y412" s="4" t="str">
        <f t="shared" si="416"/>
        <v>Unknown</v>
      </c>
      <c r="Z412" s="4" t="str">
        <f t="shared" si="416"/>
        <v>Unknown</v>
      </c>
      <c r="AA412" s="4" t="str">
        <f t="shared" si="7"/>
        <v>mww</v>
      </c>
    </row>
    <row r="413">
      <c r="A413" s="3" t="s">
        <v>1063</v>
      </c>
      <c r="B413" s="3">
        <v>6.8</v>
      </c>
      <c r="C413" s="19">
        <f>Raw_Data!T413</f>
        <v>41545.31528</v>
      </c>
      <c r="D413" s="3">
        <v>7.0</v>
      </c>
      <c r="E413" s="3">
        <v>7.0</v>
      </c>
      <c r="F413" s="3" t="s">
        <v>178</v>
      </c>
      <c r="G413" s="3">
        <v>0.0</v>
      </c>
      <c r="H413" s="3">
        <v>1005.0</v>
      </c>
      <c r="I413" s="3" t="s">
        <v>110</v>
      </c>
      <c r="J413" s="3">
        <v>0.0</v>
      </c>
      <c r="K413" s="3">
        <v>7.359</v>
      </c>
      <c r="L413" s="3">
        <v>17.0</v>
      </c>
      <c r="M413" s="4" t="str">
        <f>Raw_Data!X413</f>
        <v>mww</v>
      </c>
      <c r="N413" s="3">
        <v>12.0</v>
      </c>
      <c r="O413" s="3">
        <v>27.1825</v>
      </c>
      <c r="P413" s="3">
        <v>65.5052</v>
      </c>
      <c r="Q413" s="3" t="s">
        <v>1065</v>
      </c>
      <c r="R413" s="3" t="s">
        <v>164</v>
      </c>
      <c r="S413" s="3" t="s">
        <v>1066</v>
      </c>
      <c r="T413" s="4" t="str">
        <f t="shared" si="2"/>
        <v>Valid</v>
      </c>
      <c r="U413" s="4">
        <f t="shared" si="3"/>
        <v>1</v>
      </c>
      <c r="V413" s="4" t="str">
        <f t="shared" si="4"/>
        <v>Unique</v>
      </c>
      <c r="W413" s="4" t="str">
        <f t="shared" si="5"/>
        <v>orange</v>
      </c>
      <c r="X413" s="4" t="str">
        <f t="shared" ref="X413:Z413" si="417">IF(Q413="","Unknown",Q413)</f>
        <v>Khuzdar, Pakistan</v>
      </c>
      <c r="Y413" s="4" t="str">
        <f t="shared" si="417"/>
        <v>Asia</v>
      </c>
      <c r="Z413" s="4" t="str">
        <f t="shared" si="417"/>
        <v>Pakistan</v>
      </c>
      <c r="AA413" s="4" t="str">
        <f t="shared" si="7"/>
        <v>mww</v>
      </c>
    </row>
    <row r="414">
      <c r="A414" s="3" t="s">
        <v>1067</v>
      </c>
      <c r="B414" s="3">
        <v>7.1</v>
      </c>
      <c r="C414" s="19">
        <f>Raw_Data!T414</f>
        <v>41542.69583</v>
      </c>
      <c r="D414" s="3">
        <v>8.0</v>
      </c>
      <c r="E414" s="3">
        <v>7.0</v>
      </c>
      <c r="F414" s="3" t="s">
        <v>109</v>
      </c>
      <c r="G414" s="3">
        <v>1.0</v>
      </c>
      <c r="H414" s="3">
        <v>843.0</v>
      </c>
      <c r="I414" s="3" t="s">
        <v>110</v>
      </c>
      <c r="J414" s="3">
        <v>0.0</v>
      </c>
      <c r="K414" s="3">
        <v>4.446</v>
      </c>
      <c r="L414" s="3">
        <v>17.0</v>
      </c>
      <c r="M414" s="4" t="str">
        <f>Raw_Data!X414</f>
        <v>mww</v>
      </c>
      <c r="N414" s="3">
        <v>40.0</v>
      </c>
      <c r="O414" s="3">
        <v>-15.8385</v>
      </c>
      <c r="P414" s="3">
        <v>-74.5112</v>
      </c>
      <c r="Q414" s="3" t="s">
        <v>646</v>
      </c>
      <c r="R414" s="4"/>
      <c r="S414" s="3" t="s">
        <v>265</v>
      </c>
      <c r="T414" s="4" t="str">
        <f t="shared" si="2"/>
        <v>Valid</v>
      </c>
      <c r="U414" s="4">
        <f t="shared" si="3"/>
        <v>1</v>
      </c>
      <c r="V414" s="4" t="str">
        <f t="shared" si="4"/>
        <v>Unique</v>
      </c>
      <c r="W414" s="4" t="str">
        <f t="shared" si="5"/>
        <v>green</v>
      </c>
      <c r="X414" s="4" t="str">
        <f t="shared" ref="X414:Z414" si="418">IF(Q414="","Unknown",Q414)</f>
        <v>Atiquipa, Peru</v>
      </c>
      <c r="Y414" s="4" t="str">
        <f t="shared" si="418"/>
        <v>Unknown</v>
      </c>
      <c r="Z414" s="4" t="str">
        <f t="shared" si="418"/>
        <v>Peru</v>
      </c>
      <c r="AA414" s="4" t="str">
        <f t="shared" si="7"/>
        <v>mww</v>
      </c>
    </row>
    <row r="415">
      <c r="A415" s="3" t="s">
        <v>1069</v>
      </c>
      <c r="B415" s="3">
        <v>7.7</v>
      </c>
      <c r="C415" s="19">
        <f>Raw_Data!T415</f>
        <v>41541.47847</v>
      </c>
      <c r="D415" s="3">
        <v>5.0</v>
      </c>
      <c r="E415" s="3">
        <v>8.0</v>
      </c>
      <c r="F415" s="3" t="s">
        <v>198</v>
      </c>
      <c r="G415" s="3">
        <v>0.0</v>
      </c>
      <c r="H415" s="3">
        <v>2015.0</v>
      </c>
      <c r="I415" s="3" t="s">
        <v>110</v>
      </c>
      <c r="J415" s="3">
        <v>0.0</v>
      </c>
      <c r="K415" s="3">
        <v>7.241</v>
      </c>
      <c r="L415" s="3">
        <v>17.0</v>
      </c>
      <c r="M415" s="4" t="str">
        <f>Raw_Data!X415</f>
        <v>mww</v>
      </c>
      <c r="N415" s="3">
        <v>15.0</v>
      </c>
      <c r="O415" s="3">
        <v>26.951</v>
      </c>
      <c r="P415" s="3">
        <v>65.5009</v>
      </c>
      <c r="Q415" s="3" t="s">
        <v>1071</v>
      </c>
      <c r="R415" s="3" t="s">
        <v>164</v>
      </c>
      <c r="S415" s="3" t="s">
        <v>1066</v>
      </c>
      <c r="T415" s="4" t="str">
        <f t="shared" si="2"/>
        <v>Valid</v>
      </c>
      <c r="U415" s="4">
        <f t="shared" si="3"/>
        <v>1</v>
      </c>
      <c r="V415" s="4" t="str">
        <f t="shared" si="4"/>
        <v>Unique</v>
      </c>
      <c r="W415" s="4" t="str">
        <f t="shared" si="5"/>
        <v>red</v>
      </c>
      <c r="X415" s="4" t="str">
        <f t="shared" ref="X415:Z415" si="419">IF(Q415="","Unknown",Q415)</f>
        <v>Bela, Pakistan</v>
      </c>
      <c r="Y415" s="4" t="str">
        <f t="shared" si="419"/>
        <v>Asia</v>
      </c>
      <c r="Z415" s="4" t="str">
        <f t="shared" si="419"/>
        <v>Pakistan</v>
      </c>
      <c r="AA415" s="4" t="str">
        <f t="shared" si="7"/>
        <v>mww</v>
      </c>
    </row>
    <row r="416">
      <c r="A416" s="3" t="s">
        <v>1072</v>
      </c>
      <c r="B416" s="3">
        <v>6.5</v>
      </c>
      <c r="C416" s="19">
        <f>Raw_Data!T416</f>
        <v>41521.10556</v>
      </c>
      <c r="D416" s="3">
        <v>0.0</v>
      </c>
      <c r="E416" s="3">
        <v>6.0</v>
      </c>
      <c r="F416" s="3" t="s">
        <v>109</v>
      </c>
      <c r="G416" s="3">
        <v>1.0</v>
      </c>
      <c r="H416" s="3">
        <v>650.0</v>
      </c>
      <c r="I416" s="3" t="s">
        <v>110</v>
      </c>
      <c r="J416" s="3">
        <v>0.0</v>
      </c>
      <c r="K416" s="3">
        <v>0.735</v>
      </c>
      <c r="L416" s="3">
        <v>24.0</v>
      </c>
      <c r="M416" s="4" t="str">
        <f>Raw_Data!X416</f>
        <v>mww</v>
      </c>
      <c r="N416" s="3">
        <v>20.0</v>
      </c>
      <c r="O416" s="3">
        <v>51.5573</v>
      </c>
      <c r="P416" s="3">
        <v>-174.767</v>
      </c>
      <c r="Q416" s="3" t="s">
        <v>1073</v>
      </c>
      <c r="R416" s="4"/>
      <c r="S416" s="4"/>
      <c r="T416" s="4" t="str">
        <f t="shared" si="2"/>
        <v>Valid</v>
      </c>
      <c r="U416" s="4">
        <f t="shared" si="3"/>
        <v>1</v>
      </c>
      <c r="V416" s="4" t="str">
        <f t="shared" si="4"/>
        <v>Unique</v>
      </c>
      <c r="W416" s="4" t="str">
        <f t="shared" si="5"/>
        <v>green</v>
      </c>
      <c r="X416" s="4" t="str">
        <f t="shared" ref="X416:Z416" si="420">IF(Q416="","Unknown",Q416)</f>
        <v>Atka, Alaska</v>
      </c>
      <c r="Y416" s="4" t="str">
        <f t="shared" si="420"/>
        <v>Unknown</v>
      </c>
      <c r="Z416" s="4" t="str">
        <f t="shared" si="420"/>
        <v>Unknown</v>
      </c>
      <c r="AA416" s="4" t="str">
        <f t="shared" si="7"/>
        <v>mww</v>
      </c>
    </row>
    <row r="417">
      <c r="A417" s="3" t="s">
        <v>1074</v>
      </c>
      <c r="B417" s="3">
        <v>6.5</v>
      </c>
      <c r="C417" s="19">
        <f>Raw_Data!T417</f>
        <v>41521.0125</v>
      </c>
      <c r="D417" s="3">
        <v>5.0</v>
      </c>
      <c r="E417" s="3">
        <v>3.0</v>
      </c>
      <c r="F417" s="3" t="s">
        <v>109</v>
      </c>
      <c r="G417" s="3">
        <v>0.0</v>
      </c>
      <c r="H417" s="3">
        <v>739.0</v>
      </c>
      <c r="I417" s="3" t="s">
        <v>110</v>
      </c>
      <c r="J417" s="3">
        <v>0.0</v>
      </c>
      <c r="K417" s="3">
        <v>3.276</v>
      </c>
      <c r="L417" s="3">
        <v>26.0</v>
      </c>
      <c r="M417" s="4" t="str">
        <f>Raw_Data!X417</f>
        <v>mww</v>
      </c>
      <c r="N417" s="3">
        <v>402.0</v>
      </c>
      <c r="O417" s="3">
        <v>29.9377</v>
      </c>
      <c r="P417" s="3">
        <v>138.833</v>
      </c>
      <c r="Q417" s="3" t="s">
        <v>1075</v>
      </c>
      <c r="R417" s="4"/>
      <c r="S417" s="4"/>
      <c r="T417" s="4" t="str">
        <f t="shared" si="2"/>
        <v>Valid</v>
      </c>
      <c r="U417" s="4">
        <f t="shared" si="3"/>
        <v>1</v>
      </c>
      <c r="V417" s="4" t="str">
        <f t="shared" si="4"/>
        <v>Unique</v>
      </c>
      <c r="W417" s="4" t="str">
        <f t="shared" si="5"/>
        <v>green</v>
      </c>
      <c r="X417" s="4" t="str">
        <f t="shared" ref="X417:Z417" si="421">IF(Q417="","Unknown",Q417)</f>
        <v>Izu Islands, Japan region</v>
      </c>
      <c r="Y417" s="4" t="str">
        <f t="shared" si="421"/>
        <v>Unknown</v>
      </c>
      <c r="Z417" s="4" t="str">
        <f t="shared" si="421"/>
        <v>Unknown</v>
      </c>
      <c r="AA417" s="4" t="str">
        <f t="shared" si="7"/>
        <v>mww</v>
      </c>
    </row>
    <row r="418">
      <c r="A418" s="3" t="s">
        <v>1076</v>
      </c>
      <c r="B418" s="3">
        <v>6.5</v>
      </c>
      <c r="C418" s="19">
        <f>Raw_Data!T418</f>
        <v>41518.49444</v>
      </c>
      <c r="D418" s="3">
        <v>4.0</v>
      </c>
      <c r="E418" s="3">
        <v>5.0</v>
      </c>
      <c r="F418" s="3" t="s">
        <v>109</v>
      </c>
      <c r="G418" s="3">
        <v>0.0</v>
      </c>
      <c r="H418" s="3">
        <v>668.0</v>
      </c>
      <c r="I418" s="3" t="s">
        <v>110</v>
      </c>
      <c r="J418" s="3">
        <v>0.0</v>
      </c>
      <c r="K418" s="3">
        <v>3.097</v>
      </c>
      <c r="L418" s="3">
        <v>11.0</v>
      </c>
      <c r="M418" s="4" t="str">
        <f>Raw_Data!X418</f>
        <v>mww</v>
      </c>
      <c r="N418" s="3">
        <v>112.0</v>
      </c>
      <c r="O418" s="3">
        <v>-7.44</v>
      </c>
      <c r="P418" s="3">
        <v>128.221</v>
      </c>
      <c r="Q418" s="3" t="s">
        <v>307</v>
      </c>
      <c r="R418" s="4"/>
      <c r="S418" s="3" t="s">
        <v>153</v>
      </c>
      <c r="T418" s="4" t="str">
        <f t="shared" si="2"/>
        <v>Valid</v>
      </c>
      <c r="U418" s="4">
        <f t="shared" si="3"/>
        <v>1</v>
      </c>
      <c r="V418" s="4" t="str">
        <f t="shared" si="4"/>
        <v>Unique</v>
      </c>
      <c r="W418" s="4" t="str">
        <f t="shared" si="5"/>
        <v>green</v>
      </c>
      <c r="X418" s="4" t="str">
        <f t="shared" ref="X418:Z418" si="422">IF(Q418="","Unknown",Q418)</f>
        <v>Lospalos, Timor Leste</v>
      </c>
      <c r="Y418" s="4" t="str">
        <f t="shared" si="422"/>
        <v>Unknown</v>
      </c>
      <c r="Z418" s="4" t="str">
        <f t="shared" si="422"/>
        <v>Indonesia</v>
      </c>
      <c r="AA418" s="4" t="str">
        <f t="shared" si="7"/>
        <v>mww</v>
      </c>
    </row>
    <row r="419">
      <c r="A419" s="3" t="s">
        <v>1077</v>
      </c>
      <c r="B419" s="3">
        <v>7.0</v>
      </c>
      <c r="C419" s="19">
        <f>Raw_Data!T419</f>
        <v>41516.68403</v>
      </c>
      <c r="D419" s="3">
        <v>5.0</v>
      </c>
      <c r="E419" s="3">
        <v>6.0</v>
      </c>
      <c r="F419" s="3" t="s">
        <v>109</v>
      </c>
      <c r="G419" s="3">
        <v>0.0</v>
      </c>
      <c r="H419" s="3">
        <v>758.0</v>
      </c>
      <c r="I419" s="3" t="s">
        <v>110</v>
      </c>
      <c r="J419" s="3">
        <v>0.0</v>
      </c>
      <c r="K419" s="3">
        <v>0.624</v>
      </c>
      <c r="L419" s="3">
        <v>53.0</v>
      </c>
      <c r="M419" s="4" t="str">
        <f>Raw_Data!X419</f>
        <v>mww</v>
      </c>
      <c r="N419" s="3">
        <v>29.0</v>
      </c>
      <c r="O419" s="3">
        <v>51.537</v>
      </c>
      <c r="P419" s="3">
        <v>-175.23</v>
      </c>
      <c r="Q419" s="3" t="s">
        <v>1073</v>
      </c>
      <c r="R419" s="4"/>
      <c r="S419" s="4"/>
      <c r="T419" s="4" t="str">
        <f t="shared" si="2"/>
        <v>Valid</v>
      </c>
      <c r="U419" s="4">
        <f t="shared" si="3"/>
        <v>1</v>
      </c>
      <c r="V419" s="4" t="str">
        <f t="shared" si="4"/>
        <v>Unique</v>
      </c>
      <c r="W419" s="4" t="str">
        <f t="shared" si="5"/>
        <v>green</v>
      </c>
      <c r="X419" s="4" t="str">
        <f t="shared" ref="X419:Z419" si="423">IF(Q419="","Unknown",Q419)</f>
        <v>Atka, Alaska</v>
      </c>
      <c r="Y419" s="4" t="str">
        <f t="shared" si="423"/>
        <v>Unknown</v>
      </c>
      <c r="Z419" s="4" t="str">
        <f t="shared" si="423"/>
        <v>Unknown</v>
      </c>
      <c r="AA419" s="4" t="str">
        <f t="shared" si="7"/>
        <v>mww</v>
      </c>
    </row>
    <row r="420">
      <c r="A420" s="3" t="s">
        <v>1079</v>
      </c>
      <c r="B420" s="3">
        <v>6.5</v>
      </c>
      <c r="C420" s="19">
        <f>Raw_Data!T420</f>
        <v>41502.10486</v>
      </c>
      <c r="D420" s="3">
        <v>9.0</v>
      </c>
      <c r="E420" s="3">
        <v>7.0</v>
      </c>
      <c r="F420" s="3" t="s">
        <v>116</v>
      </c>
      <c r="G420" s="3">
        <v>1.0</v>
      </c>
      <c r="H420" s="3">
        <v>690.0</v>
      </c>
      <c r="I420" s="3" t="s">
        <v>110</v>
      </c>
      <c r="J420" s="3">
        <v>0.0</v>
      </c>
      <c r="K420" s="3">
        <v>0.0</v>
      </c>
      <c r="L420" s="3">
        <v>0.0</v>
      </c>
      <c r="M420" s="4" t="str">
        <f>Raw_Data!X420</f>
        <v>mww</v>
      </c>
      <c r="N420" s="3">
        <v>8.2</v>
      </c>
      <c r="O420" s="3">
        <v>-41.734</v>
      </c>
      <c r="P420" s="3">
        <v>174.152</v>
      </c>
      <c r="Q420" s="3" t="s">
        <v>762</v>
      </c>
      <c r="R420" s="4"/>
      <c r="S420" s="3" t="s">
        <v>759</v>
      </c>
      <c r="T420" s="4" t="str">
        <f t="shared" si="2"/>
        <v>Valid</v>
      </c>
      <c r="U420" s="4">
        <f t="shared" si="3"/>
        <v>1</v>
      </c>
      <c r="V420" s="4" t="str">
        <f t="shared" si="4"/>
        <v>Unique</v>
      </c>
      <c r="W420" s="4" t="str">
        <f t="shared" si="5"/>
        <v>yellow</v>
      </c>
      <c r="X420" s="4" t="str">
        <f t="shared" ref="X420:Z420" si="424">IF(Q420="","Unknown",Q420)</f>
        <v>Blenheim, New Zealand</v>
      </c>
      <c r="Y420" s="4" t="str">
        <f t="shared" si="424"/>
        <v>Unknown</v>
      </c>
      <c r="Z420" s="4" t="str">
        <f t="shared" si="424"/>
        <v>New Zealand</v>
      </c>
      <c r="AA420" s="4" t="str">
        <f t="shared" si="7"/>
        <v>mww</v>
      </c>
    </row>
    <row r="421">
      <c r="A421" s="3" t="s">
        <v>1081</v>
      </c>
      <c r="B421" s="3">
        <v>6.7</v>
      </c>
      <c r="C421" s="19">
        <f>Raw_Data!T421</f>
        <v>41499.65486</v>
      </c>
      <c r="D421" s="3">
        <v>4.0</v>
      </c>
      <c r="E421" s="3">
        <v>5.0</v>
      </c>
      <c r="F421" s="3" t="s">
        <v>109</v>
      </c>
      <c r="G421" s="3">
        <v>1.0</v>
      </c>
      <c r="H421" s="3">
        <v>715.0</v>
      </c>
      <c r="I421" s="3" t="s">
        <v>110</v>
      </c>
      <c r="J421" s="3">
        <v>0.0</v>
      </c>
      <c r="K421" s="3">
        <v>3.741</v>
      </c>
      <c r="L421" s="3">
        <v>22.0</v>
      </c>
      <c r="M421" s="4" t="str">
        <f>Raw_Data!X421</f>
        <v>mww</v>
      </c>
      <c r="N421" s="3">
        <v>12.0</v>
      </c>
      <c r="O421" s="3">
        <v>5.7732</v>
      </c>
      <c r="P421" s="3">
        <v>-78.1999</v>
      </c>
      <c r="Q421" s="3" t="s">
        <v>1083</v>
      </c>
      <c r="R421" s="4"/>
      <c r="S421" s="4"/>
      <c r="T421" s="4" t="str">
        <f t="shared" si="2"/>
        <v>Valid</v>
      </c>
      <c r="U421" s="4">
        <f t="shared" si="3"/>
        <v>1</v>
      </c>
      <c r="V421" s="4" t="str">
        <f t="shared" si="4"/>
        <v>Unique</v>
      </c>
      <c r="W421" s="4" t="str">
        <f t="shared" si="5"/>
        <v>green</v>
      </c>
      <c r="X421" s="4" t="str">
        <f t="shared" ref="X421:Z421" si="425">IF(Q421="","Unknown",Q421)</f>
        <v>Bahía Solano, Colombia</v>
      </c>
      <c r="Y421" s="4" t="str">
        <f t="shared" si="425"/>
        <v>Unknown</v>
      </c>
      <c r="Z421" s="4" t="str">
        <f t="shared" si="425"/>
        <v>Unknown</v>
      </c>
      <c r="AA421" s="4" t="str">
        <f t="shared" si="7"/>
        <v>mww</v>
      </c>
    </row>
    <row r="422">
      <c r="A422" s="3" t="s">
        <v>1084</v>
      </c>
      <c r="B422" s="3">
        <v>6.5</v>
      </c>
      <c r="C422" s="19">
        <f>Raw_Data!T422</f>
        <v>41476.21458</v>
      </c>
      <c r="D422" s="3">
        <v>6.0</v>
      </c>
      <c r="E422" s="3">
        <v>7.0</v>
      </c>
      <c r="F422" s="3" t="s">
        <v>116</v>
      </c>
      <c r="G422" s="3">
        <v>1.0</v>
      </c>
      <c r="H422" s="3">
        <v>693.0</v>
      </c>
      <c r="I422" s="3" t="s">
        <v>110</v>
      </c>
      <c r="J422" s="3">
        <v>229.0</v>
      </c>
      <c r="K422" s="3">
        <v>0.0</v>
      </c>
      <c r="L422" s="3">
        <v>20.0</v>
      </c>
      <c r="M422" s="4" t="str">
        <f>Raw_Data!X422</f>
        <v>mww</v>
      </c>
      <c r="N422" s="3">
        <v>17.0</v>
      </c>
      <c r="O422" s="3">
        <v>-41.704</v>
      </c>
      <c r="P422" s="3">
        <v>174.337</v>
      </c>
      <c r="Q422" s="3" t="s">
        <v>762</v>
      </c>
      <c r="R422" s="4"/>
      <c r="S422" s="3" t="s">
        <v>759</v>
      </c>
      <c r="T422" s="4" t="str">
        <f t="shared" si="2"/>
        <v>Valid</v>
      </c>
      <c r="U422" s="4">
        <f t="shared" si="3"/>
        <v>1</v>
      </c>
      <c r="V422" s="4" t="str">
        <f t="shared" si="4"/>
        <v>Unique</v>
      </c>
      <c r="W422" s="4" t="str">
        <f t="shared" si="5"/>
        <v>yellow</v>
      </c>
      <c r="X422" s="4" t="str">
        <f t="shared" ref="X422:Z422" si="426">IF(Q422="","Unknown",Q422)</f>
        <v>Blenheim, New Zealand</v>
      </c>
      <c r="Y422" s="4" t="str">
        <f t="shared" si="426"/>
        <v>Unknown</v>
      </c>
      <c r="Z422" s="4" t="str">
        <f t="shared" si="426"/>
        <v>New Zealand</v>
      </c>
      <c r="AA422" s="4" t="str">
        <f t="shared" si="7"/>
        <v>mww</v>
      </c>
    </row>
    <row r="423">
      <c r="A423" s="3" t="s">
        <v>1086</v>
      </c>
      <c r="B423" s="3">
        <v>7.3</v>
      </c>
      <c r="C423" s="19">
        <f>Raw_Data!T423</f>
        <v>41470.58542</v>
      </c>
      <c r="D423" s="3">
        <v>0.0</v>
      </c>
      <c r="E423" s="3">
        <v>6.0</v>
      </c>
      <c r="F423" s="3" t="s">
        <v>109</v>
      </c>
      <c r="G423" s="3">
        <v>1.0</v>
      </c>
      <c r="H423" s="3">
        <v>820.0</v>
      </c>
      <c r="I423" s="3" t="s">
        <v>110</v>
      </c>
      <c r="J423" s="3">
        <v>398.0</v>
      </c>
      <c r="K423" s="3">
        <v>0.0</v>
      </c>
      <c r="L423" s="3">
        <v>43.0</v>
      </c>
      <c r="M423" s="4" t="str">
        <f>Raw_Data!X423</f>
        <v>mww</v>
      </c>
      <c r="N423" s="3">
        <v>11.0</v>
      </c>
      <c r="O423" s="3">
        <v>-60.857</v>
      </c>
      <c r="P423" s="3">
        <v>-25.07</v>
      </c>
      <c r="Q423" s="3" t="s">
        <v>329</v>
      </c>
      <c r="R423" s="4"/>
      <c r="S423" s="3" t="s">
        <v>497</v>
      </c>
      <c r="T423" s="4" t="str">
        <f t="shared" si="2"/>
        <v>Valid</v>
      </c>
      <c r="U423" s="4">
        <f t="shared" si="3"/>
        <v>1</v>
      </c>
      <c r="V423" s="4" t="str">
        <f t="shared" si="4"/>
        <v>Unique</v>
      </c>
      <c r="W423" s="4" t="str">
        <f t="shared" si="5"/>
        <v>green</v>
      </c>
      <c r="X423" s="4" t="str">
        <f t="shared" ref="X423:Z423" si="427">IF(Q423="","Unknown",Q423)</f>
        <v>South Sandwich Islands region</v>
      </c>
      <c r="Y423" s="4" t="str">
        <f t="shared" si="427"/>
        <v>Unknown</v>
      </c>
      <c r="Z423" s="4" t="str">
        <f t="shared" si="427"/>
        <v>United Kingdom of Great Britain and Northern Ireland (the)</v>
      </c>
      <c r="AA423" s="4" t="str">
        <f t="shared" si="7"/>
        <v>mww</v>
      </c>
    </row>
    <row r="424">
      <c r="A424" s="3" t="s">
        <v>1088</v>
      </c>
      <c r="B424" s="3">
        <v>6.6</v>
      </c>
      <c r="C424" s="19">
        <f>Raw_Data!T424</f>
        <v>41462.85417</v>
      </c>
      <c r="D424" s="3">
        <v>4.0</v>
      </c>
      <c r="E424" s="3">
        <v>6.0</v>
      </c>
      <c r="F424" s="3" t="s">
        <v>109</v>
      </c>
      <c r="G424" s="3">
        <v>0.0</v>
      </c>
      <c r="H424" s="3">
        <v>674.0</v>
      </c>
      <c r="I424" s="3" t="s">
        <v>110</v>
      </c>
      <c r="J424" s="3">
        <v>139.0</v>
      </c>
      <c r="K424" s="3">
        <v>0.0</v>
      </c>
      <c r="L424" s="3">
        <v>14.0</v>
      </c>
      <c r="M424" s="4" t="str">
        <f>Raw_Data!X424</f>
        <v>mww</v>
      </c>
      <c r="N424" s="3">
        <v>56.0</v>
      </c>
      <c r="O424" s="3">
        <v>-6.029</v>
      </c>
      <c r="P424" s="3">
        <v>149.706</v>
      </c>
      <c r="Q424" s="3" t="s">
        <v>774</v>
      </c>
      <c r="R424" s="4"/>
      <c r="S424" s="3" t="s">
        <v>168</v>
      </c>
      <c r="T424" s="4" t="str">
        <f t="shared" si="2"/>
        <v>Valid</v>
      </c>
      <c r="U424" s="4">
        <f t="shared" si="3"/>
        <v>1</v>
      </c>
      <c r="V424" s="4" t="str">
        <f t="shared" si="4"/>
        <v>Unique</v>
      </c>
      <c r="W424" s="4" t="str">
        <f t="shared" si="5"/>
        <v>green</v>
      </c>
      <c r="X424" s="4" t="str">
        <f t="shared" ref="X424:Z424" si="428">IF(Q424="","Unknown",Q424)</f>
        <v>Kandrian, Papua New Guinea</v>
      </c>
      <c r="Y424" s="4" t="str">
        <f t="shared" si="428"/>
        <v>Unknown</v>
      </c>
      <c r="Z424" s="4" t="str">
        <f t="shared" si="428"/>
        <v>Papua New Guinea</v>
      </c>
      <c r="AA424" s="4" t="str">
        <f t="shared" si="7"/>
        <v>mww</v>
      </c>
    </row>
    <row r="425">
      <c r="A425" s="3" t="s">
        <v>1089</v>
      </c>
      <c r="B425" s="3">
        <v>7.3</v>
      </c>
      <c r="C425" s="19">
        <f>Raw_Data!T425</f>
        <v>41462.77431</v>
      </c>
      <c r="D425" s="3">
        <v>0.0</v>
      </c>
      <c r="E425" s="3">
        <v>4.0</v>
      </c>
      <c r="F425" s="3" t="s">
        <v>109</v>
      </c>
      <c r="G425" s="3">
        <v>1.0</v>
      </c>
      <c r="H425" s="3">
        <v>820.0</v>
      </c>
      <c r="I425" s="3" t="s">
        <v>110</v>
      </c>
      <c r="J425" s="3">
        <v>117.0</v>
      </c>
      <c r="K425" s="3">
        <v>0.0</v>
      </c>
      <c r="L425" s="3">
        <v>24.0</v>
      </c>
      <c r="M425" s="4" t="str">
        <f>Raw_Data!X425</f>
        <v>mww</v>
      </c>
      <c r="N425" s="3">
        <v>385.5</v>
      </c>
      <c r="O425" s="3">
        <v>-3.917</v>
      </c>
      <c r="P425" s="3">
        <v>153.927</v>
      </c>
      <c r="Q425" s="3" t="s">
        <v>633</v>
      </c>
      <c r="R425" s="4"/>
      <c r="S425" s="3" t="s">
        <v>168</v>
      </c>
      <c r="T425" s="4" t="str">
        <f t="shared" si="2"/>
        <v>Valid</v>
      </c>
      <c r="U425" s="4">
        <f t="shared" si="3"/>
        <v>1</v>
      </c>
      <c r="V425" s="4" t="str">
        <f t="shared" si="4"/>
        <v>Unique</v>
      </c>
      <c r="W425" s="4" t="str">
        <f t="shared" si="5"/>
        <v>green</v>
      </c>
      <c r="X425" s="4" t="str">
        <f t="shared" ref="X425:Z425" si="429">IF(Q425="","Unknown",Q425)</f>
        <v>Kokopo, Papua New Guinea</v>
      </c>
      <c r="Y425" s="4" t="str">
        <f t="shared" si="429"/>
        <v>Unknown</v>
      </c>
      <c r="Z425" s="4" t="str">
        <f t="shared" si="429"/>
        <v>Papua New Guinea</v>
      </c>
      <c r="AA425" s="4" t="str">
        <f t="shared" si="7"/>
        <v>mww</v>
      </c>
    </row>
    <row r="426">
      <c r="A426" s="3" t="s">
        <v>1090</v>
      </c>
      <c r="B426" s="3">
        <v>6.6</v>
      </c>
      <c r="C426" s="19">
        <f>Raw_Data!T426</f>
        <v>41449.91944</v>
      </c>
      <c r="D426" s="3">
        <v>0.0</v>
      </c>
      <c r="E426" s="3">
        <v>7.0</v>
      </c>
      <c r="F426" s="3" t="s">
        <v>109</v>
      </c>
      <c r="G426" s="3">
        <v>1.0</v>
      </c>
      <c r="H426" s="3">
        <v>670.0</v>
      </c>
      <c r="I426" s="3" t="s">
        <v>110</v>
      </c>
      <c r="J426" s="3">
        <v>111.0</v>
      </c>
      <c r="K426" s="3">
        <v>0.0</v>
      </c>
      <c r="L426" s="3">
        <v>16.0</v>
      </c>
      <c r="M426" s="4" t="str">
        <f>Raw_Data!X426</f>
        <v>mww</v>
      </c>
      <c r="N426" s="3">
        <v>10.0</v>
      </c>
      <c r="O426" s="3">
        <v>10.701</v>
      </c>
      <c r="P426" s="3">
        <v>-42.594</v>
      </c>
      <c r="Q426" s="3" t="s">
        <v>1092</v>
      </c>
      <c r="R426" s="4"/>
      <c r="S426" s="4"/>
      <c r="T426" s="4" t="str">
        <f t="shared" si="2"/>
        <v>Valid</v>
      </c>
      <c r="U426" s="4">
        <f t="shared" si="3"/>
        <v>1</v>
      </c>
      <c r="V426" s="4" t="str">
        <f t="shared" si="4"/>
        <v>Unique</v>
      </c>
      <c r="W426" s="4" t="str">
        <f t="shared" si="5"/>
        <v>green</v>
      </c>
      <c r="X426" s="4" t="str">
        <f t="shared" ref="X426:Z426" si="430">IF(Q426="","Unknown",Q426)</f>
        <v>northern Mid-Atlantic Ridge</v>
      </c>
      <c r="Y426" s="4" t="str">
        <f t="shared" si="430"/>
        <v>Unknown</v>
      </c>
      <c r="Z426" s="4" t="str">
        <f t="shared" si="430"/>
        <v>Unknown</v>
      </c>
      <c r="AA426" s="4" t="str">
        <f t="shared" si="7"/>
        <v>mww</v>
      </c>
    </row>
    <row r="427">
      <c r="A427" s="3" t="s">
        <v>1093</v>
      </c>
      <c r="B427" s="3">
        <v>6.5</v>
      </c>
      <c r="C427" s="19">
        <f>Raw_Data!T427</f>
        <v>41440.73194</v>
      </c>
      <c r="D427" s="3">
        <v>5.0</v>
      </c>
      <c r="E427" s="3">
        <v>6.0</v>
      </c>
      <c r="F427" s="3" t="s">
        <v>109</v>
      </c>
      <c r="G427" s="3">
        <v>1.0</v>
      </c>
      <c r="H427" s="3">
        <v>679.0</v>
      </c>
      <c r="I427" s="3" t="s">
        <v>110</v>
      </c>
      <c r="J427" s="3">
        <v>698.0</v>
      </c>
      <c r="K427" s="3">
        <v>0.0</v>
      </c>
      <c r="L427" s="3">
        <v>27.0</v>
      </c>
      <c r="M427" s="4" t="str">
        <f>Raw_Data!X427</f>
        <v>mww</v>
      </c>
      <c r="N427" s="3">
        <v>30.0</v>
      </c>
      <c r="O427" s="3">
        <v>11.763</v>
      </c>
      <c r="P427" s="3">
        <v>-86.926</v>
      </c>
      <c r="Q427" s="3" t="s">
        <v>271</v>
      </c>
      <c r="R427" s="4"/>
      <c r="S427" s="4"/>
      <c r="T427" s="4" t="str">
        <f t="shared" si="2"/>
        <v>Valid</v>
      </c>
      <c r="U427" s="4">
        <f t="shared" si="3"/>
        <v>1</v>
      </c>
      <c r="V427" s="4" t="str">
        <f t="shared" si="4"/>
        <v>Unique</v>
      </c>
      <c r="W427" s="4" t="str">
        <f t="shared" si="5"/>
        <v>green</v>
      </c>
      <c r="X427" s="4" t="str">
        <f t="shared" ref="X427:Z427" si="431">IF(Q427="","Unknown",Q427)</f>
        <v>Masachapa, Nicaragua</v>
      </c>
      <c r="Y427" s="4" t="str">
        <f t="shared" si="431"/>
        <v>Unknown</v>
      </c>
      <c r="Z427" s="4" t="str">
        <f t="shared" si="431"/>
        <v>Unknown</v>
      </c>
      <c r="AA427" s="4" t="str">
        <f t="shared" si="7"/>
        <v>mww</v>
      </c>
    </row>
    <row r="428">
      <c r="A428" s="3" t="s">
        <v>1095</v>
      </c>
      <c r="B428" s="3">
        <v>6.7</v>
      </c>
      <c r="C428" s="19">
        <f>Raw_Data!T428</f>
        <v>41438.69931</v>
      </c>
      <c r="D428" s="3">
        <v>5.0</v>
      </c>
      <c r="E428" s="3">
        <v>4.0</v>
      </c>
      <c r="F428" s="3" t="s">
        <v>109</v>
      </c>
      <c r="G428" s="3">
        <v>0.0</v>
      </c>
      <c r="H428" s="3">
        <v>710.0</v>
      </c>
      <c r="I428" s="3" t="s">
        <v>110</v>
      </c>
      <c r="J428" s="3">
        <v>515.0</v>
      </c>
      <c r="K428" s="3">
        <v>0.0</v>
      </c>
      <c r="L428" s="3">
        <v>24.0</v>
      </c>
      <c r="M428" s="4" t="str">
        <f>Raw_Data!X428</f>
        <v>mww</v>
      </c>
      <c r="N428" s="3">
        <v>9.0</v>
      </c>
      <c r="O428" s="3">
        <v>-10.004</v>
      </c>
      <c r="P428" s="3">
        <v>107.236</v>
      </c>
      <c r="Q428" s="3" t="s">
        <v>1097</v>
      </c>
      <c r="R428" s="4"/>
      <c r="S428" s="4"/>
      <c r="T428" s="4" t="str">
        <f t="shared" si="2"/>
        <v>Valid</v>
      </c>
      <c r="U428" s="4">
        <f t="shared" si="3"/>
        <v>1</v>
      </c>
      <c r="V428" s="4" t="str">
        <f t="shared" si="4"/>
        <v>Unique</v>
      </c>
      <c r="W428" s="4" t="str">
        <f t="shared" si="5"/>
        <v>green</v>
      </c>
      <c r="X428" s="4" t="str">
        <f t="shared" ref="X428:Z428" si="432">IF(Q428="","Unknown",Q428)</f>
        <v>Java, Indonesia</v>
      </c>
      <c r="Y428" s="4" t="str">
        <f t="shared" si="432"/>
        <v>Unknown</v>
      </c>
      <c r="Z428" s="4" t="str">
        <f t="shared" si="432"/>
        <v>Unknown</v>
      </c>
      <c r="AA428" s="4" t="str">
        <f t="shared" si="7"/>
        <v>mww</v>
      </c>
    </row>
    <row r="429">
      <c r="A429" s="3" t="s">
        <v>1060</v>
      </c>
      <c r="B429" s="3">
        <v>6.7</v>
      </c>
      <c r="C429" s="19">
        <f>Raw_Data!T429</f>
        <v>41418.62222</v>
      </c>
      <c r="D429" s="3">
        <v>0.0</v>
      </c>
      <c r="E429" s="3">
        <v>3.0</v>
      </c>
      <c r="F429" s="3" t="s">
        <v>109</v>
      </c>
      <c r="G429" s="3">
        <v>1.0</v>
      </c>
      <c r="H429" s="3">
        <v>691.0</v>
      </c>
      <c r="I429" s="3" t="s">
        <v>110</v>
      </c>
      <c r="J429" s="3">
        <v>217.0</v>
      </c>
      <c r="K429" s="3">
        <v>0.0</v>
      </c>
      <c r="L429" s="3">
        <v>25.2</v>
      </c>
      <c r="M429" s="4" t="str">
        <f>Raw_Data!X429</f>
        <v>mwb</v>
      </c>
      <c r="N429" s="3">
        <v>624.0</v>
      </c>
      <c r="O429" s="3">
        <v>52.235</v>
      </c>
      <c r="P429" s="3">
        <v>151.444</v>
      </c>
      <c r="Q429" s="3" t="s">
        <v>1061</v>
      </c>
      <c r="R429" s="4"/>
      <c r="S429" s="4"/>
      <c r="T429" s="4" t="str">
        <f t="shared" si="2"/>
        <v>Valid</v>
      </c>
      <c r="U429" s="4">
        <f t="shared" si="3"/>
        <v>1</v>
      </c>
      <c r="V429" s="4" t="str">
        <f t="shared" si="4"/>
        <v>Unique</v>
      </c>
      <c r="W429" s="4" t="str">
        <f t="shared" si="5"/>
        <v>green</v>
      </c>
      <c r="X429" s="4" t="str">
        <f t="shared" ref="X429:Z429" si="433">IF(Q429="","Unknown",Q429)</f>
        <v>Okhotsk</v>
      </c>
      <c r="Y429" s="4" t="str">
        <f t="shared" si="433"/>
        <v>Unknown</v>
      </c>
      <c r="Z429" s="4" t="str">
        <f t="shared" si="433"/>
        <v>Unknown</v>
      </c>
      <c r="AA429" s="4" t="str">
        <f t="shared" si="7"/>
        <v>mwb</v>
      </c>
    </row>
    <row r="430">
      <c r="A430" s="3" t="s">
        <v>1099</v>
      </c>
      <c r="B430" s="3">
        <v>8.3</v>
      </c>
      <c r="C430" s="19">
        <f>Raw_Data!T430</f>
        <v>41418.23889</v>
      </c>
      <c r="D430" s="3">
        <v>5.0</v>
      </c>
      <c r="E430" s="3">
        <v>5.0</v>
      </c>
      <c r="F430" s="3" t="s">
        <v>109</v>
      </c>
      <c r="G430" s="3">
        <v>1.0</v>
      </c>
      <c r="H430" s="3">
        <v>1115.0</v>
      </c>
      <c r="I430" s="3" t="s">
        <v>110</v>
      </c>
      <c r="J430" s="3">
        <v>385.0</v>
      </c>
      <c r="K430" s="3">
        <v>0.0</v>
      </c>
      <c r="L430" s="3">
        <v>10.0</v>
      </c>
      <c r="M430" s="4" t="str">
        <f>Raw_Data!X430</f>
        <v>mww</v>
      </c>
      <c r="N430" s="3">
        <v>598.1</v>
      </c>
      <c r="O430" s="3">
        <v>54.892</v>
      </c>
      <c r="P430" s="3">
        <v>153.221</v>
      </c>
      <c r="Q430" s="3" t="s">
        <v>1061</v>
      </c>
      <c r="R430" s="4"/>
      <c r="S430" s="4"/>
      <c r="T430" s="4" t="str">
        <f t="shared" si="2"/>
        <v>Valid</v>
      </c>
      <c r="U430" s="4">
        <f t="shared" si="3"/>
        <v>1</v>
      </c>
      <c r="V430" s="4" t="str">
        <f t="shared" si="4"/>
        <v>Unique</v>
      </c>
      <c r="W430" s="4" t="str">
        <f t="shared" si="5"/>
        <v>green</v>
      </c>
      <c r="X430" s="4" t="str">
        <f t="shared" ref="X430:Z430" si="434">IF(Q430="","Unknown",Q430)</f>
        <v>Okhotsk</v>
      </c>
      <c r="Y430" s="4" t="str">
        <f t="shared" si="434"/>
        <v>Unknown</v>
      </c>
      <c r="Z430" s="4" t="str">
        <f t="shared" si="434"/>
        <v>Unknown</v>
      </c>
      <c r="AA430" s="4" t="str">
        <f t="shared" si="7"/>
        <v>mww</v>
      </c>
    </row>
    <row r="431">
      <c r="A431" s="3" t="s">
        <v>1101</v>
      </c>
      <c r="B431" s="3">
        <v>7.4</v>
      </c>
      <c r="C431" s="19">
        <f>Raw_Data!T431</f>
        <v>41417.72153</v>
      </c>
      <c r="D431" s="3">
        <v>0.0</v>
      </c>
      <c r="E431" s="3">
        <v>6.0</v>
      </c>
      <c r="F431" s="3" t="s">
        <v>109</v>
      </c>
      <c r="G431" s="3">
        <v>1.0</v>
      </c>
      <c r="H431" s="3">
        <v>842.0</v>
      </c>
      <c r="I431" s="3" t="s">
        <v>110</v>
      </c>
      <c r="J431" s="3">
        <v>626.0</v>
      </c>
      <c r="K431" s="3">
        <v>0.0</v>
      </c>
      <c r="L431" s="3">
        <v>16.0</v>
      </c>
      <c r="M431" s="4" t="str">
        <f>Raw_Data!X431</f>
        <v>mww</v>
      </c>
      <c r="N431" s="3">
        <v>173.7</v>
      </c>
      <c r="O431" s="3">
        <v>-23.009</v>
      </c>
      <c r="P431" s="3">
        <v>-177.232</v>
      </c>
      <c r="Q431" s="3" t="s">
        <v>1103</v>
      </c>
      <c r="R431" s="4"/>
      <c r="S431" s="4"/>
      <c r="T431" s="4" t="str">
        <f t="shared" si="2"/>
        <v>Valid</v>
      </c>
      <c r="U431" s="4">
        <f t="shared" si="3"/>
        <v>1</v>
      </c>
      <c r="V431" s="4" t="str">
        <f t="shared" si="4"/>
        <v>Unique</v>
      </c>
      <c r="W431" s="4" t="str">
        <f t="shared" si="5"/>
        <v>green</v>
      </c>
      <c r="X431" s="4" t="str">
        <f t="shared" ref="X431:Z431" si="435">IF(Q431="","Unknown",Q431)</f>
        <v>Vaini, Tonga</v>
      </c>
      <c r="Y431" s="4" t="str">
        <f t="shared" si="435"/>
        <v>Unknown</v>
      </c>
      <c r="Z431" s="4" t="str">
        <f t="shared" si="435"/>
        <v>Unknown</v>
      </c>
      <c r="AA431" s="4" t="str">
        <f t="shared" si="7"/>
        <v>mww</v>
      </c>
    </row>
    <row r="432">
      <c r="A432" s="3" t="s">
        <v>1104</v>
      </c>
      <c r="B432" s="3">
        <v>6.8</v>
      </c>
      <c r="C432" s="19">
        <f>Raw_Data!T432</f>
        <v>41408.02222</v>
      </c>
      <c r="D432" s="3">
        <v>0.0</v>
      </c>
      <c r="E432" s="3">
        <v>3.0</v>
      </c>
      <c r="F432" s="3" t="s">
        <v>109</v>
      </c>
      <c r="G432" s="3">
        <v>0.0</v>
      </c>
      <c r="H432" s="3">
        <v>711.0</v>
      </c>
      <c r="I432" s="3" t="s">
        <v>110</v>
      </c>
      <c r="J432" s="3">
        <v>131.0</v>
      </c>
      <c r="K432" s="3">
        <v>0.0</v>
      </c>
      <c r="L432" s="3">
        <v>18.0</v>
      </c>
      <c r="M432" s="4" t="str">
        <f>Raw_Data!X432</f>
        <v>mww</v>
      </c>
      <c r="N432" s="3">
        <v>602.2</v>
      </c>
      <c r="O432" s="3">
        <v>18.728</v>
      </c>
      <c r="P432" s="3">
        <v>145.288</v>
      </c>
      <c r="Q432" s="3" t="s">
        <v>789</v>
      </c>
      <c r="R432" s="4"/>
      <c r="S432" s="4"/>
      <c r="T432" s="4" t="str">
        <f t="shared" si="2"/>
        <v>Valid</v>
      </c>
      <c r="U432" s="4">
        <f t="shared" si="3"/>
        <v>1</v>
      </c>
      <c r="V432" s="4" t="str">
        <f t="shared" si="4"/>
        <v>Unique</v>
      </c>
      <c r="W432" s="4" t="str">
        <f t="shared" si="5"/>
        <v>green</v>
      </c>
      <c r="X432" s="4" t="str">
        <f t="shared" ref="X432:Z432" si="436">IF(Q432="","Unknown",Q432)</f>
        <v>Pagan region, Northern Mariana Islands</v>
      </c>
      <c r="Y432" s="4" t="str">
        <f t="shared" si="436"/>
        <v>Unknown</v>
      </c>
      <c r="Z432" s="4" t="str">
        <f t="shared" si="436"/>
        <v>Unknown</v>
      </c>
      <c r="AA432" s="4" t="str">
        <f t="shared" si="7"/>
        <v>mww</v>
      </c>
    </row>
    <row r="433">
      <c r="A433" s="3" t="s">
        <v>1106</v>
      </c>
      <c r="B433" s="3">
        <v>6.5</v>
      </c>
      <c r="C433" s="19">
        <f>Raw_Data!T433</f>
        <v>41387.96806</v>
      </c>
      <c r="D433" s="3">
        <v>0.0</v>
      </c>
      <c r="E433" s="3">
        <v>6.0</v>
      </c>
      <c r="F433" s="3" t="s">
        <v>109</v>
      </c>
      <c r="G433" s="3">
        <v>1.0</v>
      </c>
      <c r="H433" s="3">
        <v>650.0</v>
      </c>
      <c r="I433" s="3" t="s">
        <v>110</v>
      </c>
      <c r="J433" s="3">
        <v>264.0</v>
      </c>
      <c r="K433" s="3">
        <v>0.0</v>
      </c>
      <c r="L433" s="3">
        <v>16.6</v>
      </c>
      <c r="M433" s="4" t="str">
        <f>Raw_Data!X433</f>
        <v>mww</v>
      </c>
      <c r="N433" s="3">
        <v>10.0</v>
      </c>
      <c r="O433" s="3">
        <v>-3.898</v>
      </c>
      <c r="P433" s="3">
        <v>152.127</v>
      </c>
      <c r="Q433" s="3" t="s">
        <v>781</v>
      </c>
      <c r="R433" s="4"/>
      <c r="S433" s="3" t="s">
        <v>168</v>
      </c>
      <c r="T433" s="4" t="str">
        <f t="shared" si="2"/>
        <v>Valid</v>
      </c>
      <c r="U433" s="4">
        <f t="shared" si="3"/>
        <v>1</v>
      </c>
      <c r="V433" s="4" t="str">
        <f t="shared" si="4"/>
        <v>Unique</v>
      </c>
      <c r="W433" s="4" t="str">
        <f t="shared" si="5"/>
        <v>green</v>
      </c>
      <c r="X433" s="4" t="str">
        <f t="shared" ref="X433:Z433" si="437">IF(Q433="","Unknown",Q433)</f>
        <v>Rabaul, Papua New Guinea</v>
      </c>
      <c r="Y433" s="4" t="str">
        <f t="shared" si="437"/>
        <v>Unknown</v>
      </c>
      <c r="Z433" s="4" t="str">
        <f t="shared" si="437"/>
        <v>Papua New Guinea</v>
      </c>
      <c r="AA433" s="4" t="str">
        <f t="shared" si="7"/>
        <v>mww</v>
      </c>
    </row>
    <row r="434">
      <c r="A434" s="3" t="s">
        <v>1108</v>
      </c>
      <c r="B434" s="3">
        <v>6.6</v>
      </c>
      <c r="C434" s="19">
        <f>Raw_Data!T434</f>
        <v>41384.00139</v>
      </c>
      <c r="D434" s="3">
        <v>8.0</v>
      </c>
      <c r="E434" s="3">
        <v>8.0</v>
      </c>
      <c r="F434" s="3" t="s">
        <v>198</v>
      </c>
      <c r="G434" s="3">
        <v>0.0</v>
      </c>
      <c r="H434" s="3">
        <v>2083.0</v>
      </c>
      <c r="I434" s="3" t="s">
        <v>110</v>
      </c>
      <c r="J434" s="3">
        <v>548.0</v>
      </c>
      <c r="K434" s="3">
        <v>0.0</v>
      </c>
      <c r="L434" s="3">
        <v>12.6</v>
      </c>
      <c r="M434" s="4" t="str">
        <f>Raw_Data!X434</f>
        <v>mww</v>
      </c>
      <c r="N434" s="3">
        <v>14.0</v>
      </c>
      <c r="O434" s="3">
        <v>30.308</v>
      </c>
      <c r="P434" s="3">
        <v>102.888</v>
      </c>
      <c r="Q434" s="3" t="s">
        <v>1110</v>
      </c>
      <c r="R434" s="3" t="s">
        <v>164</v>
      </c>
      <c r="S434" s="3" t="s">
        <v>251</v>
      </c>
      <c r="T434" s="4" t="str">
        <f t="shared" si="2"/>
        <v>Valid</v>
      </c>
      <c r="U434" s="4">
        <f t="shared" si="3"/>
        <v>1</v>
      </c>
      <c r="V434" s="4" t="str">
        <f t="shared" si="4"/>
        <v>Unique</v>
      </c>
      <c r="W434" s="4" t="str">
        <f t="shared" si="5"/>
        <v>red</v>
      </c>
      <c r="X434" s="4" t="str">
        <f t="shared" ref="X434:Z434" si="438">IF(Q434="","Unknown",Q434)</f>
        <v>Linqiong, China</v>
      </c>
      <c r="Y434" s="4" t="str">
        <f t="shared" si="438"/>
        <v>Asia</v>
      </c>
      <c r="Z434" s="4" t="str">
        <f t="shared" si="438"/>
        <v>People's Republic of China</v>
      </c>
      <c r="AA434" s="4" t="str">
        <f t="shared" si="7"/>
        <v>mww</v>
      </c>
    </row>
    <row r="435">
      <c r="A435" s="3" t="s">
        <v>1111</v>
      </c>
      <c r="B435" s="3">
        <v>7.2</v>
      </c>
      <c r="C435" s="19">
        <f>Raw_Data!T435</f>
        <v>41383.12847</v>
      </c>
      <c r="D435" s="3">
        <v>5.0</v>
      </c>
      <c r="E435" s="3">
        <v>7.0</v>
      </c>
      <c r="F435" s="3" t="s">
        <v>109</v>
      </c>
      <c r="G435" s="3">
        <v>1.0</v>
      </c>
      <c r="H435" s="3">
        <v>804.0</v>
      </c>
      <c r="I435" s="3" t="s">
        <v>110</v>
      </c>
      <c r="J435" s="3">
        <v>770.0</v>
      </c>
      <c r="K435" s="3">
        <v>0.0</v>
      </c>
      <c r="L435" s="3">
        <v>10.1</v>
      </c>
      <c r="M435" s="4" t="str">
        <f>Raw_Data!X435</f>
        <v>mww</v>
      </c>
      <c r="N435" s="3">
        <v>110.0</v>
      </c>
      <c r="O435" s="3">
        <v>46.221</v>
      </c>
      <c r="P435" s="3">
        <v>150.788</v>
      </c>
      <c r="Q435" s="3" t="s">
        <v>463</v>
      </c>
      <c r="R435" s="3" t="s">
        <v>164</v>
      </c>
      <c r="S435" s="3" t="s">
        <v>464</v>
      </c>
      <c r="T435" s="4" t="str">
        <f t="shared" si="2"/>
        <v>Valid</v>
      </c>
      <c r="U435" s="4">
        <f t="shared" si="3"/>
        <v>1</v>
      </c>
      <c r="V435" s="4" t="str">
        <f t="shared" si="4"/>
        <v>Unique</v>
      </c>
      <c r="W435" s="4" t="str">
        <f t="shared" si="5"/>
        <v>green</v>
      </c>
      <c r="X435" s="4" t="str">
        <f t="shared" ref="X435:Z435" si="439">IF(Q435="","Unknown",Q435)</f>
        <v>Kuril’sk, Russia</v>
      </c>
      <c r="Y435" s="4" t="str">
        <f t="shared" si="439"/>
        <v>Asia</v>
      </c>
      <c r="Z435" s="4" t="str">
        <f t="shared" si="439"/>
        <v>Russia</v>
      </c>
      <c r="AA435" s="4" t="str">
        <f t="shared" si="7"/>
        <v>mww</v>
      </c>
    </row>
    <row r="436">
      <c r="A436" s="3" t="s">
        <v>1113</v>
      </c>
      <c r="B436" s="3">
        <v>6.6</v>
      </c>
      <c r="C436" s="19">
        <f>Raw_Data!T436</f>
        <v>41380.95486</v>
      </c>
      <c r="D436" s="3">
        <v>7.0</v>
      </c>
      <c r="E436" s="3">
        <v>7.0</v>
      </c>
      <c r="F436" s="3" t="s">
        <v>109</v>
      </c>
      <c r="G436" s="3">
        <v>1.0</v>
      </c>
      <c r="H436" s="3">
        <v>672.0</v>
      </c>
      <c r="I436" s="3" t="s">
        <v>110</v>
      </c>
      <c r="J436" s="3">
        <v>445.0</v>
      </c>
      <c r="K436" s="3">
        <v>0.0</v>
      </c>
      <c r="L436" s="3">
        <v>11.0</v>
      </c>
      <c r="M436" s="4" t="str">
        <f>Raw_Data!X436</f>
        <v>mww</v>
      </c>
      <c r="N436" s="3">
        <v>13.0</v>
      </c>
      <c r="O436" s="3">
        <v>-3.214</v>
      </c>
      <c r="P436" s="3">
        <v>142.542</v>
      </c>
      <c r="Q436" s="3" t="s">
        <v>1115</v>
      </c>
      <c r="R436" s="4"/>
      <c r="S436" s="3" t="s">
        <v>168</v>
      </c>
      <c r="T436" s="4" t="str">
        <f t="shared" si="2"/>
        <v>Valid</v>
      </c>
      <c r="U436" s="4">
        <f t="shared" si="3"/>
        <v>1</v>
      </c>
      <c r="V436" s="4" t="str">
        <f t="shared" si="4"/>
        <v>Unique</v>
      </c>
      <c r="W436" s="4" t="str">
        <f t="shared" si="5"/>
        <v>green</v>
      </c>
      <c r="X436" s="4" t="str">
        <f t="shared" ref="X436:Z436" si="440">IF(Q436="","Unknown",Q436)</f>
        <v>Aitape, Papua New Guinea</v>
      </c>
      <c r="Y436" s="4" t="str">
        <f t="shared" si="440"/>
        <v>Unknown</v>
      </c>
      <c r="Z436" s="4" t="str">
        <f t="shared" si="440"/>
        <v>Papua New Guinea</v>
      </c>
      <c r="AA436" s="4" t="str">
        <f t="shared" si="7"/>
        <v>mww</v>
      </c>
    </row>
    <row r="437">
      <c r="A437" s="3" t="s">
        <v>1116</v>
      </c>
      <c r="B437" s="3">
        <v>7.7</v>
      </c>
      <c r="C437" s="19">
        <f>Raw_Data!T437</f>
        <v>41380.44722</v>
      </c>
      <c r="D437" s="3">
        <v>8.0</v>
      </c>
      <c r="E437" s="3">
        <v>8.0</v>
      </c>
      <c r="F437" s="3" t="s">
        <v>116</v>
      </c>
      <c r="G437" s="3">
        <v>0.0</v>
      </c>
      <c r="H437" s="3">
        <v>1421.0</v>
      </c>
      <c r="I437" s="3" t="s">
        <v>110</v>
      </c>
      <c r="J437" s="3">
        <v>506.0</v>
      </c>
      <c r="K437" s="3">
        <v>0.0</v>
      </c>
      <c r="L437" s="3">
        <v>26.6</v>
      </c>
      <c r="M437" s="4" t="str">
        <f>Raw_Data!X437</f>
        <v>mww</v>
      </c>
      <c r="N437" s="3">
        <v>80.0</v>
      </c>
      <c r="O437" s="3">
        <v>28.033</v>
      </c>
      <c r="P437" s="3">
        <v>61.996</v>
      </c>
      <c r="Q437" s="3" t="s">
        <v>1118</v>
      </c>
      <c r="R437" s="3" t="s">
        <v>164</v>
      </c>
      <c r="S437" s="3" t="s">
        <v>665</v>
      </c>
      <c r="T437" s="4" t="str">
        <f t="shared" si="2"/>
        <v>Valid</v>
      </c>
      <c r="U437" s="4">
        <f t="shared" si="3"/>
        <v>1</v>
      </c>
      <c r="V437" s="4" t="str">
        <f t="shared" si="4"/>
        <v>Unique</v>
      </c>
      <c r="W437" s="4" t="str">
        <f t="shared" si="5"/>
        <v>yellow</v>
      </c>
      <c r="X437" s="4" t="str">
        <f t="shared" ref="X437:Z437" si="441">IF(Q437="","Unknown",Q437)</f>
        <v>Kh?sh, Iran</v>
      </c>
      <c r="Y437" s="4" t="str">
        <f t="shared" si="441"/>
        <v>Asia</v>
      </c>
      <c r="Z437" s="4" t="str">
        <f t="shared" si="441"/>
        <v>Iran</v>
      </c>
      <c r="AA437" s="4" t="str">
        <f t="shared" si="7"/>
        <v>mww</v>
      </c>
    </row>
    <row r="438">
      <c r="A438" s="3" t="s">
        <v>1119</v>
      </c>
      <c r="B438" s="3">
        <v>6.6</v>
      </c>
      <c r="C438" s="19">
        <f>Raw_Data!T438</f>
        <v>41378.06389</v>
      </c>
      <c r="D438" s="3">
        <v>0.0</v>
      </c>
      <c r="E438" s="3">
        <v>5.0</v>
      </c>
      <c r="F438" s="3" t="s">
        <v>109</v>
      </c>
      <c r="G438" s="3">
        <v>1.0</v>
      </c>
      <c r="H438" s="3">
        <v>670.0</v>
      </c>
      <c r="I438" s="3" t="s">
        <v>110</v>
      </c>
      <c r="J438" s="3">
        <v>491.0</v>
      </c>
      <c r="K438" s="3">
        <v>0.0</v>
      </c>
      <c r="L438" s="3">
        <v>11.5</v>
      </c>
      <c r="M438" s="4" t="str">
        <f>Raw_Data!X438</f>
        <v>mww</v>
      </c>
      <c r="N438" s="3">
        <v>31.0</v>
      </c>
      <c r="O438" s="3">
        <v>-6.475</v>
      </c>
      <c r="P438" s="3">
        <v>154.607</v>
      </c>
      <c r="Q438" s="3" t="s">
        <v>728</v>
      </c>
      <c r="R438" s="4"/>
      <c r="S438" s="4"/>
      <c r="T438" s="4" t="str">
        <f t="shared" si="2"/>
        <v>Valid</v>
      </c>
      <c r="U438" s="4">
        <f t="shared" si="3"/>
        <v>1</v>
      </c>
      <c r="V438" s="4" t="str">
        <f t="shared" si="4"/>
        <v>Unique</v>
      </c>
      <c r="W438" s="4" t="str">
        <f t="shared" si="5"/>
        <v>green</v>
      </c>
      <c r="X438" s="4" t="str">
        <f t="shared" ref="X438:Z438" si="442">IF(Q438="","Unknown",Q438)</f>
        <v>Panguna, Papua New Guinea</v>
      </c>
      <c r="Y438" s="4" t="str">
        <f t="shared" si="442"/>
        <v>Unknown</v>
      </c>
      <c r="Z438" s="4" t="str">
        <f t="shared" si="442"/>
        <v>Unknown</v>
      </c>
      <c r="AA438" s="4" t="str">
        <f t="shared" si="7"/>
        <v>mww</v>
      </c>
    </row>
    <row r="439">
      <c r="A439" s="3" t="s">
        <v>1121</v>
      </c>
      <c r="B439" s="3">
        <v>7.0</v>
      </c>
      <c r="C439" s="19">
        <f>Raw_Data!T439</f>
        <v>41370.19583</v>
      </c>
      <c r="D439" s="3">
        <v>3.0</v>
      </c>
      <c r="E439" s="3">
        <v>7.0</v>
      </c>
      <c r="F439" s="3" t="s">
        <v>109</v>
      </c>
      <c r="G439" s="3">
        <v>1.0</v>
      </c>
      <c r="H439" s="3">
        <v>755.0</v>
      </c>
      <c r="I439" s="3" t="s">
        <v>110</v>
      </c>
      <c r="J439" s="3">
        <v>640.0</v>
      </c>
      <c r="K439" s="3">
        <v>0.0</v>
      </c>
      <c r="L439" s="3">
        <v>11.4</v>
      </c>
      <c r="M439" s="4" t="str">
        <f>Raw_Data!X439</f>
        <v>mww</v>
      </c>
      <c r="N439" s="3">
        <v>66.0</v>
      </c>
      <c r="O439" s="3">
        <v>-3.517</v>
      </c>
      <c r="P439" s="3">
        <v>138.476</v>
      </c>
      <c r="Q439" s="3" t="s">
        <v>892</v>
      </c>
      <c r="R439" s="4"/>
      <c r="S439" s="3" t="s">
        <v>153</v>
      </c>
      <c r="T439" s="4" t="str">
        <f t="shared" si="2"/>
        <v>Valid</v>
      </c>
      <c r="U439" s="4">
        <f t="shared" si="3"/>
        <v>1</v>
      </c>
      <c r="V439" s="4" t="str">
        <f t="shared" si="4"/>
        <v>Unique</v>
      </c>
      <c r="W439" s="4" t="str">
        <f t="shared" si="5"/>
        <v>green</v>
      </c>
      <c r="X439" s="4" t="str">
        <f t="shared" ref="X439:Z439" si="443">IF(Q439="","Unknown",Q439)</f>
        <v>Abepura, Indonesia</v>
      </c>
      <c r="Y439" s="4" t="str">
        <f t="shared" si="443"/>
        <v>Unknown</v>
      </c>
      <c r="Z439" s="4" t="str">
        <f t="shared" si="443"/>
        <v>Indonesia</v>
      </c>
      <c r="AA439" s="4" t="str">
        <f t="shared" si="7"/>
        <v>mww</v>
      </c>
    </row>
    <row r="440">
      <c r="A440" s="3" t="s">
        <v>1122</v>
      </c>
      <c r="B440" s="3">
        <v>6.5</v>
      </c>
      <c r="C440" s="19">
        <f>Raw_Data!T440</f>
        <v>41343.95208</v>
      </c>
      <c r="D440" s="3">
        <v>0.0</v>
      </c>
      <c r="E440" s="3">
        <v>6.0</v>
      </c>
      <c r="F440" s="3" t="s">
        <v>109</v>
      </c>
      <c r="G440" s="3">
        <v>1.0</v>
      </c>
      <c r="H440" s="3">
        <v>650.0</v>
      </c>
      <c r="I440" s="3" t="s">
        <v>110</v>
      </c>
      <c r="J440" s="3">
        <v>317.0</v>
      </c>
      <c r="K440" s="3">
        <v>0.0</v>
      </c>
      <c r="L440" s="3">
        <v>14.2</v>
      </c>
      <c r="M440" s="4" t="str">
        <f>Raw_Data!X440</f>
        <v>mww</v>
      </c>
      <c r="N440" s="3">
        <v>28.0</v>
      </c>
      <c r="O440" s="3">
        <v>-6.598</v>
      </c>
      <c r="P440" s="3">
        <v>148.174</v>
      </c>
      <c r="Q440" s="3" t="s">
        <v>965</v>
      </c>
      <c r="R440" s="4"/>
      <c r="S440" s="3" t="s">
        <v>168</v>
      </c>
      <c r="T440" s="4" t="str">
        <f t="shared" si="2"/>
        <v>Valid</v>
      </c>
      <c r="U440" s="4">
        <f t="shared" si="3"/>
        <v>1</v>
      </c>
      <c r="V440" s="4" t="str">
        <f t="shared" si="4"/>
        <v>Unique</v>
      </c>
      <c r="W440" s="4" t="str">
        <f t="shared" si="5"/>
        <v>green</v>
      </c>
      <c r="X440" s="4" t="str">
        <f t="shared" ref="X440:Z440" si="444">IF(Q440="","Unknown",Q440)</f>
        <v>Finschhafen, Papua New Guinea</v>
      </c>
      <c r="Y440" s="4" t="str">
        <f t="shared" si="444"/>
        <v>Unknown</v>
      </c>
      <c r="Z440" s="4" t="str">
        <f t="shared" si="444"/>
        <v>Papua New Guinea</v>
      </c>
      <c r="AA440" s="4" t="str">
        <f t="shared" si="7"/>
        <v>mww</v>
      </c>
    </row>
    <row r="441">
      <c r="A441" s="3" t="s">
        <v>1123</v>
      </c>
      <c r="B441" s="3">
        <v>6.5</v>
      </c>
      <c r="C441" s="19">
        <f>Raw_Data!T441</f>
        <v>41334.55556</v>
      </c>
      <c r="D441" s="3">
        <v>3.0</v>
      </c>
      <c r="E441" s="3">
        <v>6.0</v>
      </c>
      <c r="F441" s="3" t="s">
        <v>109</v>
      </c>
      <c r="G441" s="3">
        <v>0.0</v>
      </c>
      <c r="H441" s="3">
        <v>651.0</v>
      </c>
      <c r="I441" s="3" t="s">
        <v>110</v>
      </c>
      <c r="J441" s="3">
        <v>480.0</v>
      </c>
      <c r="K441" s="3">
        <v>0.0</v>
      </c>
      <c r="L441" s="3">
        <v>20.7</v>
      </c>
      <c r="M441" s="4" t="str">
        <f>Raw_Data!X441</f>
        <v>mww</v>
      </c>
      <c r="N441" s="3">
        <v>29.0</v>
      </c>
      <c r="O441" s="3">
        <v>50.958</v>
      </c>
      <c r="P441" s="3">
        <v>157.408</v>
      </c>
      <c r="Q441" s="3" t="s">
        <v>583</v>
      </c>
      <c r="R441" s="3" t="s">
        <v>164</v>
      </c>
      <c r="S441" s="4"/>
      <c r="T441" s="4" t="str">
        <f t="shared" si="2"/>
        <v>Valid</v>
      </c>
      <c r="U441" s="4">
        <f t="shared" si="3"/>
        <v>1</v>
      </c>
      <c r="V441" s="4" t="str">
        <f t="shared" si="4"/>
        <v>Unique</v>
      </c>
      <c r="W441" s="4" t="str">
        <f t="shared" si="5"/>
        <v>green</v>
      </c>
      <c r="X441" s="4" t="str">
        <f t="shared" ref="X441:Z441" si="445">IF(Q441="","Unknown",Q441)</f>
        <v>Ozernovskiy, Russia</v>
      </c>
      <c r="Y441" s="4" t="str">
        <f t="shared" si="445"/>
        <v>Asia</v>
      </c>
      <c r="Z441" s="4" t="str">
        <f t="shared" si="445"/>
        <v>Unknown</v>
      </c>
      <c r="AA441" s="4" t="str">
        <f t="shared" si="7"/>
        <v>mww</v>
      </c>
    </row>
    <row r="442">
      <c r="A442" s="3" t="s">
        <v>1124</v>
      </c>
      <c r="B442" s="3">
        <v>6.9</v>
      </c>
      <c r="C442" s="19">
        <f>Raw_Data!T442</f>
        <v>41333.58681</v>
      </c>
      <c r="D442" s="3">
        <v>5.0</v>
      </c>
      <c r="E442" s="3">
        <v>6.0</v>
      </c>
      <c r="F442" s="3" t="s">
        <v>109</v>
      </c>
      <c r="G442" s="3">
        <v>1.0</v>
      </c>
      <c r="H442" s="3">
        <v>736.0</v>
      </c>
      <c r="I442" s="3" t="s">
        <v>110</v>
      </c>
      <c r="J442" s="3">
        <v>531.0</v>
      </c>
      <c r="K442" s="3">
        <v>0.0</v>
      </c>
      <c r="L442" s="3">
        <v>20.7</v>
      </c>
      <c r="M442" s="4" t="str">
        <f>Raw_Data!X442</f>
        <v>mww</v>
      </c>
      <c r="N442" s="3">
        <v>41.0</v>
      </c>
      <c r="O442" s="3">
        <v>50.954</v>
      </c>
      <c r="P442" s="3">
        <v>157.283</v>
      </c>
      <c r="Q442" s="3" t="s">
        <v>583</v>
      </c>
      <c r="R442" s="3" t="s">
        <v>164</v>
      </c>
      <c r="S442" s="4"/>
      <c r="T442" s="4" t="str">
        <f t="shared" si="2"/>
        <v>Valid</v>
      </c>
      <c r="U442" s="4">
        <f t="shared" si="3"/>
        <v>1</v>
      </c>
      <c r="V442" s="4" t="str">
        <f t="shared" si="4"/>
        <v>Unique</v>
      </c>
      <c r="W442" s="4" t="str">
        <f t="shared" si="5"/>
        <v>green</v>
      </c>
      <c r="X442" s="4" t="str">
        <f t="shared" ref="X442:Z442" si="446">IF(Q442="","Unknown",Q442)</f>
        <v>Ozernovskiy, Russia</v>
      </c>
      <c r="Y442" s="4" t="str">
        <f t="shared" si="446"/>
        <v>Asia</v>
      </c>
      <c r="Z442" s="4" t="str">
        <f t="shared" si="446"/>
        <v>Unknown</v>
      </c>
      <c r="AA442" s="4" t="str">
        <f t="shared" si="7"/>
        <v>mww</v>
      </c>
    </row>
    <row r="443">
      <c r="A443" s="3" t="s">
        <v>1126</v>
      </c>
      <c r="B443" s="3">
        <v>6.6</v>
      </c>
      <c r="C443" s="19">
        <f>Raw_Data!T443</f>
        <v>41319.55069</v>
      </c>
      <c r="D443" s="3">
        <v>0.0</v>
      </c>
      <c r="E443" s="3">
        <v>7.0</v>
      </c>
      <c r="F443" s="3" t="s">
        <v>109</v>
      </c>
      <c r="G443" s="3">
        <v>1.0</v>
      </c>
      <c r="H443" s="3">
        <v>670.0</v>
      </c>
      <c r="I443" s="3" t="s">
        <v>110</v>
      </c>
      <c r="J443" s="3">
        <v>697.0</v>
      </c>
      <c r="K443" s="3">
        <v>0.0</v>
      </c>
      <c r="L443" s="3">
        <v>15.3</v>
      </c>
      <c r="M443" s="4" t="str">
        <f>Raw_Data!X443</f>
        <v>mww</v>
      </c>
      <c r="N443" s="3">
        <v>11.0</v>
      </c>
      <c r="O443" s="3">
        <v>67.631</v>
      </c>
      <c r="P443" s="3">
        <v>142.508</v>
      </c>
      <c r="Q443" s="3" t="s">
        <v>1128</v>
      </c>
      <c r="R443" s="3" t="s">
        <v>164</v>
      </c>
      <c r="S443" s="3" t="s">
        <v>464</v>
      </c>
      <c r="T443" s="4" t="str">
        <f t="shared" si="2"/>
        <v>Valid</v>
      </c>
      <c r="U443" s="4">
        <f t="shared" si="3"/>
        <v>1</v>
      </c>
      <c r="V443" s="4" t="str">
        <f t="shared" si="4"/>
        <v>Unique</v>
      </c>
      <c r="W443" s="4" t="str">
        <f t="shared" si="5"/>
        <v>green</v>
      </c>
      <c r="X443" s="4" t="str">
        <f t="shared" ref="X443:Z443" si="447">IF(Q443="","Unknown",Q443)</f>
        <v>Belaya Gora, Russia</v>
      </c>
      <c r="Y443" s="4" t="str">
        <f t="shared" si="447"/>
        <v>Asia</v>
      </c>
      <c r="Z443" s="4" t="str">
        <f t="shared" si="447"/>
        <v>Russia</v>
      </c>
      <c r="AA443" s="4" t="str">
        <f t="shared" si="7"/>
        <v>mww</v>
      </c>
    </row>
    <row r="444">
      <c r="A444" s="3" t="s">
        <v>1129</v>
      </c>
      <c r="B444" s="3">
        <v>6.6</v>
      </c>
      <c r="C444" s="19">
        <f>Raw_Data!T444</f>
        <v>41314.87639</v>
      </c>
      <c r="D444" s="3">
        <v>0.0</v>
      </c>
      <c r="E444" s="3">
        <v>6.0</v>
      </c>
      <c r="F444" s="3" t="s">
        <v>109</v>
      </c>
      <c r="G444" s="3">
        <v>1.0</v>
      </c>
      <c r="H444" s="3">
        <v>670.0</v>
      </c>
      <c r="I444" s="3" t="s">
        <v>110</v>
      </c>
      <c r="J444" s="3">
        <v>421.0</v>
      </c>
      <c r="K444" s="3">
        <v>0.0</v>
      </c>
      <c r="L444" s="3">
        <v>16.6</v>
      </c>
      <c r="M444" s="4" t="str">
        <f>Raw_Data!X444</f>
        <v>mww</v>
      </c>
      <c r="N444" s="3">
        <v>18.0</v>
      </c>
      <c r="O444" s="3">
        <v>-10.994</v>
      </c>
      <c r="P444" s="3">
        <v>165.741</v>
      </c>
      <c r="Q444" s="3" t="s">
        <v>450</v>
      </c>
      <c r="R444" s="4"/>
      <c r="S444" s="3" t="s">
        <v>214</v>
      </c>
      <c r="T444" s="4" t="str">
        <f t="shared" si="2"/>
        <v>Valid</v>
      </c>
      <c r="U444" s="4">
        <f t="shared" si="3"/>
        <v>1</v>
      </c>
      <c r="V444" s="4" t="str">
        <f t="shared" si="4"/>
        <v>Unique</v>
      </c>
      <c r="W444" s="4" t="str">
        <f t="shared" si="5"/>
        <v>green</v>
      </c>
      <c r="X444" s="4" t="str">
        <f t="shared" ref="X444:Z444" si="448">IF(Q444="","Unknown",Q444)</f>
        <v>Lata, Solomon Islands</v>
      </c>
      <c r="Y444" s="4" t="str">
        <f t="shared" si="448"/>
        <v>Unknown</v>
      </c>
      <c r="Z444" s="4" t="str">
        <f t="shared" si="448"/>
        <v>Solomon Islands</v>
      </c>
      <c r="AA444" s="4" t="str">
        <f t="shared" si="7"/>
        <v>mww</v>
      </c>
    </row>
    <row r="445">
      <c r="A445" s="3" t="s">
        <v>1130</v>
      </c>
      <c r="B445" s="3">
        <v>6.9</v>
      </c>
      <c r="C445" s="19">
        <f>Raw_Data!T445</f>
        <v>41314.59444</v>
      </c>
      <c r="D445" s="3">
        <v>5.0</v>
      </c>
      <c r="E445" s="3">
        <v>5.0</v>
      </c>
      <c r="F445" s="3" t="s">
        <v>109</v>
      </c>
      <c r="G445" s="3">
        <v>1.0</v>
      </c>
      <c r="H445" s="3">
        <v>904.0</v>
      </c>
      <c r="I445" s="3" t="s">
        <v>110</v>
      </c>
      <c r="J445" s="3">
        <v>562.0</v>
      </c>
      <c r="K445" s="3">
        <v>0.0</v>
      </c>
      <c r="L445" s="3">
        <v>23.7</v>
      </c>
      <c r="M445" s="4" t="str">
        <f>Raw_Data!X445</f>
        <v>mww</v>
      </c>
      <c r="N445" s="3">
        <v>145.0</v>
      </c>
      <c r="O445" s="3">
        <v>1.135</v>
      </c>
      <c r="P445" s="3">
        <v>-77.393</v>
      </c>
      <c r="Q445" s="3" t="s">
        <v>1131</v>
      </c>
      <c r="R445" s="3" t="s">
        <v>121</v>
      </c>
      <c r="S445" s="3" t="s">
        <v>140</v>
      </c>
      <c r="T445" s="4" t="str">
        <f t="shared" si="2"/>
        <v>Valid</v>
      </c>
      <c r="U445" s="4">
        <f t="shared" si="3"/>
        <v>1</v>
      </c>
      <c r="V445" s="4" t="str">
        <f t="shared" si="4"/>
        <v>Unique</v>
      </c>
      <c r="W445" s="4" t="str">
        <f t="shared" si="5"/>
        <v>green</v>
      </c>
      <c r="X445" s="4" t="str">
        <f t="shared" ref="X445:Z445" si="449">IF(Q445="","Unknown",Q445)</f>
        <v>Yacuanquer, Colombia</v>
      </c>
      <c r="Y445" s="4" t="str">
        <f t="shared" si="449"/>
        <v>South America</v>
      </c>
      <c r="Z445" s="4" t="str">
        <f t="shared" si="449"/>
        <v>Colombia</v>
      </c>
      <c r="AA445" s="4" t="str">
        <f t="shared" si="7"/>
        <v>mww</v>
      </c>
    </row>
    <row r="446">
      <c r="A446" s="3" t="s">
        <v>1132</v>
      </c>
      <c r="B446" s="3">
        <v>7.1</v>
      </c>
      <c r="C446" s="19">
        <f>Raw_Data!T446</f>
        <v>41313.64306</v>
      </c>
      <c r="D446" s="3">
        <v>9.0</v>
      </c>
      <c r="E446" s="3">
        <v>6.0</v>
      </c>
      <c r="F446" s="3" t="s">
        <v>109</v>
      </c>
      <c r="G446" s="3">
        <v>1.0</v>
      </c>
      <c r="H446" s="3">
        <v>780.0</v>
      </c>
      <c r="I446" s="3" t="s">
        <v>110</v>
      </c>
      <c r="J446" s="3">
        <v>334.0</v>
      </c>
      <c r="K446" s="3">
        <v>0.0</v>
      </c>
      <c r="L446" s="3">
        <v>16.5</v>
      </c>
      <c r="M446" s="4" t="str">
        <f>Raw_Data!X446</f>
        <v>mww</v>
      </c>
      <c r="N446" s="3">
        <v>21.0</v>
      </c>
      <c r="O446" s="3">
        <v>-10.928</v>
      </c>
      <c r="P446" s="3">
        <v>166.018</v>
      </c>
      <c r="Q446" s="3" t="s">
        <v>450</v>
      </c>
      <c r="R446" s="4"/>
      <c r="S446" s="3" t="s">
        <v>214</v>
      </c>
      <c r="T446" s="4" t="str">
        <f t="shared" si="2"/>
        <v>Valid</v>
      </c>
      <c r="U446" s="4">
        <f t="shared" si="3"/>
        <v>1</v>
      </c>
      <c r="V446" s="4" t="str">
        <f t="shared" si="4"/>
        <v>Unique</v>
      </c>
      <c r="W446" s="4" t="str">
        <f t="shared" si="5"/>
        <v>green</v>
      </c>
      <c r="X446" s="4" t="str">
        <f t="shared" ref="X446:Z446" si="450">IF(Q446="","Unknown",Q446)</f>
        <v>Lata, Solomon Islands</v>
      </c>
      <c r="Y446" s="4" t="str">
        <f t="shared" si="450"/>
        <v>Unknown</v>
      </c>
      <c r="Z446" s="4" t="str">
        <f t="shared" si="450"/>
        <v>Solomon Islands</v>
      </c>
      <c r="AA446" s="4" t="str">
        <f t="shared" si="7"/>
        <v>mww</v>
      </c>
    </row>
    <row r="447">
      <c r="A447" s="3" t="s">
        <v>1133</v>
      </c>
      <c r="B447" s="3">
        <v>6.8</v>
      </c>
      <c r="C447" s="19">
        <f>Raw_Data!T447</f>
        <v>41313.46667</v>
      </c>
      <c r="D447" s="3">
        <v>0.0</v>
      </c>
      <c r="E447" s="3">
        <v>7.0</v>
      </c>
      <c r="F447" s="3" t="s">
        <v>109</v>
      </c>
      <c r="G447" s="3">
        <v>1.0</v>
      </c>
      <c r="H447" s="3">
        <v>711.0</v>
      </c>
      <c r="I447" s="3" t="s">
        <v>110</v>
      </c>
      <c r="J447" s="3">
        <v>400.0</v>
      </c>
      <c r="K447" s="3">
        <v>0.0</v>
      </c>
      <c r="L447" s="3">
        <v>17.5</v>
      </c>
      <c r="M447" s="4" t="str">
        <f>Raw_Data!X447</f>
        <v>mww</v>
      </c>
      <c r="N447" s="3">
        <v>12.0</v>
      </c>
      <c r="O447" s="3">
        <v>-10.838</v>
      </c>
      <c r="P447" s="3">
        <v>165.969</v>
      </c>
      <c r="Q447" s="3" t="s">
        <v>450</v>
      </c>
      <c r="R447" s="4"/>
      <c r="S447" s="3" t="s">
        <v>214</v>
      </c>
      <c r="T447" s="4" t="str">
        <f t="shared" si="2"/>
        <v>Valid</v>
      </c>
      <c r="U447" s="4">
        <f t="shared" si="3"/>
        <v>1</v>
      </c>
      <c r="V447" s="4" t="str">
        <f t="shared" si="4"/>
        <v>Unique</v>
      </c>
      <c r="W447" s="4" t="str">
        <f t="shared" si="5"/>
        <v>green</v>
      </c>
      <c r="X447" s="4" t="str">
        <f t="shared" ref="X447:Z447" si="451">IF(Q447="","Unknown",Q447)</f>
        <v>Lata, Solomon Islands</v>
      </c>
      <c r="Y447" s="4" t="str">
        <f t="shared" si="451"/>
        <v>Unknown</v>
      </c>
      <c r="Z447" s="4" t="str">
        <f t="shared" si="451"/>
        <v>Solomon Islands</v>
      </c>
      <c r="AA447" s="4" t="str">
        <f t="shared" si="7"/>
        <v>mww</v>
      </c>
    </row>
    <row r="448">
      <c r="A448" s="3" t="s">
        <v>1134</v>
      </c>
      <c r="B448" s="3">
        <v>6.7</v>
      </c>
      <c r="C448" s="19">
        <f>Raw_Data!T448</f>
        <v>41312.79097</v>
      </c>
      <c r="D448" s="3">
        <v>0.0</v>
      </c>
      <c r="E448" s="3">
        <v>6.0</v>
      </c>
      <c r="F448" s="3" t="s">
        <v>109</v>
      </c>
      <c r="G448" s="3">
        <v>1.0</v>
      </c>
      <c r="H448" s="3">
        <v>691.0</v>
      </c>
      <c r="I448" s="3" t="s">
        <v>110</v>
      </c>
      <c r="J448" s="3">
        <v>387.0</v>
      </c>
      <c r="K448" s="3">
        <v>0.0</v>
      </c>
      <c r="L448" s="3">
        <v>26.5</v>
      </c>
      <c r="M448" s="4" t="str">
        <f>Raw_Data!X448</f>
        <v>mww</v>
      </c>
      <c r="N448" s="3">
        <v>11.0</v>
      </c>
      <c r="O448" s="3">
        <v>-10.997</v>
      </c>
      <c r="P448" s="3">
        <v>165.655</v>
      </c>
      <c r="Q448" s="3" t="s">
        <v>450</v>
      </c>
      <c r="R448" s="4"/>
      <c r="S448" s="3" t="s">
        <v>214</v>
      </c>
      <c r="T448" s="4" t="str">
        <f t="shared" si="2"/>
        <v>Valid</v>
      </c>
      <c r="U448" s="4">
        <f t="shared" si="3"/>
        <v>1</v>
      </c>
      <c r="V448" s="4" t="str">
        <f t="shared" si="4"/>
        <v>Unique</v>
      </c>
      <c r="W448" s="4" t="str">
        <f t="shared" si="5"/>
        <v>green</v>
      </c>
      <c r="X448" s="4" t="str">
        <f t="shared" ref="X448:Z448" si="452">IF(Q448="","Unknown",Q448)</f>
        <v>Lata, Solomon Islands</v>
      </c>
      <c r="Y448" s="4" t="str">
        <f t="shared" si="452"/>
        <v>Unknown</v>
      </c>
      <c r="Z448" s="4" t="str">
        <f t="shared" si="452"/>
        <v>Solomon Islands</v>
      </c>
      <c r="AA448" s="4" t="str">
        <f t="shared" si="7"/>
        <v>mww</v>
      </c>
    </row>
    <row r="449">
      <c r="A449" s="3" t="s">
        <v>1135</v>
      </c>
      <c r="B449" s="3">
        <v>7.0</v>
      </c>
      <c r="C449" s="19">
        <f>Raw_Data!T449</f>
        <v>41311.07917</v>
      </c>
      <c r="D449" s="3">
        <v>0.0</v>
      </c>
      <c r="E449" s="3">
        <v>6.0</v>
      </c>
      <c r="F449" s="3" t="s">
        <v>109</v>
      </c>
      <c r="G449" s="3">
        <v>0.0</v>
      </c>
      <c r="H449" s="3">
        <v>754.0</v>
      </c>
      <c r="I449" s="3" t="s">
        <v>110</v>
      </c>
      <c r="J449" s="3">
        <v>445.0</v>
      </c>
      <c r="K449" s="3">
        <v>0.0</v>
      </c>
      <c r="L449" s="3">
        <v>17.5</v>
      </c>
      <c r="M449" s="4" t="str">
        <f>Raw_Data!X449</f>
        <v>mww</v>
      </c>
      <c r="N449" s="3">
        <v>8.8</v>
      </c>
      <c r="O449" s="3">
        <v>-10.499</v>
      </c>
      <c r="P449" s="3">
        <v>165.588</v>
      </c>
      <c r="Q449" s="3" t="s">
        <v>450</v>
      </c>
      <c r="R449" s="4"/>
      <c r="S449" s="3" t="s">
        <v>214</v>
      </c>
      <c r="T449" s="4" t="str">
        <f t="shared" si="2"/>
        <v>Valid</v>
      </c>
      <c r="U449" s="4">
        <f t="shared" si="3"/>
        <v>1</v>
      </c>
      <c r="V449" s="4" t="str">
        <f t="shared" si="4"/>
        <v>Unique</v>
      </c>
      <c r="W449" s="4" t="str">
        <f t="shared" si="5"/>
        <v>green</v>
      </c>
      <c r="X449" s="4" t="str">
        <f t="shared" ref="X449:Z449" si="453">IF(Q449="","Unknown",Q449)</f>
        <v>Lata, Solomon Islands</v>
      </c>
      <c r="Y449" s="4" t="str">
        <f t="shared" si="453"/>
        <v>Unknown</v>
      </c>
      <c r="Z449" s="4" t="str">
        <f t="shared" si="453"/>
        <v>Solomon Islands</v>
      </c>
      <c r="AA449" s="4" t="str">
        <f t="shared" si="7"/>
        <v>mww</v>
      </c>
    </row>
    <row r="450">
      <c r="A450" s="3" t="s">
        <v>1136</v>
      </c>
      <c r="B450" s="3">
        <v>7.1</v>
      </c>
      <c r="C450" s="19">
        <f>Raw_Data!T450</f>
        <v>41311.05764</v>
      </c>
      <c r="D450" s="3">
        <v>0.0</v>
      </c>
      <c r="E450" s="3">
        <v>5.0</v>
      </c>
      <c r="F450" s="3" t="s">
        <v>109</v>
      </c>
      <c r="G450" s="3">
        <v>0.0</v>
      </c>
      <c r="H450" s="3">
        <v>776.0</v>
      </c>
      <c r="I450" s="3" t="s">
        <v>110</v>
      </c>
      <c r="J450" s="3">
        <v>550.0</v>
      </c>
      <c r="K450" s="3">
        <v>0.0</v>
      </c>
      <c r="L450" s="3">
        <v>18.4</v>
      </c>
      <c r="M450" s="4" t="str">
        <f>Raw_Data!X450</f>
        <v>mww</v>
      </c>
      <c r="N450" s="3">
        <v>10.0</v>
      </c>
      <c r="O450" s="3">
        <v>-11.183</v>
      </c>
      <c r="P450" s="3">
        <v>164.882</v>
      </c>
      <c r="Q450" s="3" t="s">
        <v>450</v>
      </c>
      <c r="R450" s="4"/>
      <c r="S450" s="4"/>
      <c r="T450" s="4" t="str">
        <f t="shared" si="2"/>
        <v>Valid</v>
      </c>
      <c r="U450" s="4">
        <f t="shared" si="3"/>
        <v>1</v>
      </c>
      <c r="V450" s="4" t="str">
        <f t="shared" si="4"/>
        <v>Unique</v>
      </c>
      <c r="W450" s="4" t="str">
        <f t="shared" si="5"/>
        <v>green</v>
      </c>
      <c r="X450" s="4" t="str">
        <f t="shared" ref="X450:Z450" si="454">IF(Q450="","Unknown",Q450)</f>
        <v>Lata, Solomon Islands</v>
      </c>
      <c r="Y450" s="4" t="str">
        <f t="shared" si="454"/>
        <v>Unknown</v>
      </c>
      <c r="Z450" s="4" t="str">
        <f t="shared" si="454"/>
        <v>Unknown</v>
      </c>
      <c r="AA450" s="4" t="str">
        <f t="shared" si="7"/>
        <v>mww</v>
      </c>
    </row>
    <row r="451">
      <c r="A451" s="3" t="s">
        <v>1137</v>
      </c>
      <c r="B451" s="3">
        <v>8.0</v>
      </c>
      <c r="C451" s="19">
        <f>Raw_Data!T451</f>
        <v>41311.05</v>
      </c>
      <c r="D451" s="3">
        <v>8.0</v>
      </c>
      <c r="E451" s="3">
        <v>7.0</v>
      </c>
      <c r="F451" s="3" t="s">
        <v>109</v>
      </c>
      <c r="G451" s="3">
        <v>1.0</v>
      </c>
      <c r="H451" s="3">
        <v>993.0</v>
      </c>
      <c r="I451" s="3" t="s">
        <v>110</v>
      </c>
      <c r="J451" s="3">
        <v>460.0</v>
      </c>
      <c r="K451" s="3">
        <v>0.0</v>
      </c>
      <c r="L451" s="3">
        <v>20.9</v>
      </c>
      <c r="M451" s="4" t="str">
        <f>Raw_Data!X451</f>
        <v>mww</v>
      </c>
      <c r="N451" s="3">
        <v>24.0</v>
      </c>
      <c r="O451" s="3">
        <v>-10.799</v>
      </c>
      <c r="P451" s="3">
        <v>165.114</v>
      </c>
      <c r="Q451" s="3" t="s">
        <v>450</v>
      </c>
      <c r="R451" s="4"/>
      <c r="S451" s="4"/>
      <c r="T451" s="4" t="str">
        <f t="shared" si="2"/>
        <v>Valid</v>
      </c>
      <c r="U451" s="4">
        <f t="shared" si="3"/>
        <v>1</v>
      </c>
      <c r="V451" s="4" t="str">
        <f t="shared" si="4"/>
        <v>Unique</v>
      </c>
      <c r="W451" s="4" t="str">
        <f t="shared" si="5"/>
        <v>green</v>
      </c>
      <c r="X451" s="4" t="str">
        <f t="shared" ref="X451:Z451" si="455">IF(Q451="","Unknown",Q451)</f>
        <v>Lata, Solomon Islands</v>
      </c>
      <c r="Y451" s="4" t="str">
        <f t="shared" si="455"/>
        <v>Unknown</v>
      </c>
      <c r="Z451" s="4" t="str">
        <f t="shared" si="455"/>
        <v>Unknown</v>
      </c>
      <c r="AA451" s="4" t="str">
        <f t="shared" si="7"/>
        <v>mww</v>
      </c>
    </row>
    <row r="452">
      <c r="A452" s="3" t="s">
        <v>1138</v>
      </c>
      <c r="B452" s="3">
        <v>6.9</v>
      </c>
      <c r="C452" s="19">
        <f>Raw_Data!T452</f>
        <v>41307.59514</v>
      </c>
      <c r="D452" s="3">
        <v>6.0</v>
      </c>
      <c r="E452" s="3">
        <v>7.0</v>
      </c>
      <c r="F452" s="3" t="s">
        <v>116</v>
      </c>
      <c r="G452" s="3">
        <v>0.0</v>
      </c>
      <c r="H452" s="3">
        <v>814.0</v>
      </c>
      <c r="I452" s="3" t="s">
        <v>110</v>
      </c>
      <c r="J452" s="3">
        <v>686.0</v>
      </c>
      <c r="K452" s="3">
        <v>0.0</v>
      </c>
      <c r="L452" s="3">
        <v>28.0</v>
      </c>
      <c r="M452" s="4" t="str">
        <f>Raw_Data!X452</f>
        <v>mww</v>
      </c>
      <c r="N452" s="3">
        <v>107.0</v>
      </c>
      <c r="O452" s="3">
        <v>42.77</v>
      </c>
      <c r="P452" s="3">
        <v>143.092</v>
      </c>
      <c r="Q452" s="3" t="s">
        <v>1139</v>
      </c>
      <c r="R452" s="3" t="s">
        <v>164</v>
      </c>
      <c r="S452" s="3" t="s">
        <v>371</v>
      </c>
      <c r="T452" s="4" t="str">
        <f t="shared" si="2"/>
        <v>Valid</v>
      </c>
      <c r="U452" s="4">
        <f t="shared" si="3"/>
        <v>1</v>
      </c>
      <c r="V452" s="4" t="str">
        <f t="shared" si="4"/>
        <v>Unique</v>
      </c>
      <c r="W452" s="4" t="str">
        <f t="shared" si="5"/>
        <v>yellow</v>
      </c>
      <c r="X452" s="4" t="str">
        <f t="shared" ref="X452:Z452" si="456">IF(Q452="","Unknown",Q452)</f>
        <v>Obihiro, Japan</v>
      </c>
      <c r="Y452" s="4" t="str">
        <f t="shared" si="456"/>
        <v>Asia</v>
      </c>
      <c r="Z452" s="4" t="str">
        <f t="shared" si="456"/>
        <v>Japan</v>
      </c>
      <c r="AA452" s="4" t="str">
        <f t="shared" si="7"/>
        <v>mww</v>
      </c>
    </row>
    <row r="453">
      <c r="A453" s="3" t="s">
        <v>1140</v>
      </c>
      <c r="B453" s="3">
        <v>6.8</v>
      </c>
      <c r="C453" s="19">
        <f>Raw_Data!T453</f>
        <v>41304.84375</v>
      </c>
      <c r="D453" s="3">
        <v>6.0</v>
      </c>
      <c r="E453" s="3">
        <v>7.0</v>
      </c>
      <c r="F453" s="3" t="s">
        <v>109</v>
      </c>
      <c r="G453" s="3">
        <v>0.0</v>
      </c>
      <c r="H453" s="3">
        <v>771.0</v>
      </c>
      <c r="I453" s="3" t="s">
        <v>110</v>
      </c>
      <c r="J453" s="3">
        <v>596.0</v>
      </c>
      <c r="K453" s="3">
        <v>0.0</v>
      </c>
      <c r="L453" s="3">
        <v>19.3</v>
      </c>
      <c r="M453" s="4" t="str">
        <f>Raw_Data!X453</f>
        <v>mww</v>
      </c>
      <c r="N453" s="3">
        <v>45.0</v>
      </c>
      <c r="O453" s="3">
        <v>-28.094</v>
      </c>
      <c r="P453" s="3">
        <v>-70.653</v>
      </c>
      <c r="Q453" s="3" t="s">
        <v>412</v>
      </c>
      <c r="R453" s="3" t="s">
        <v>121</v>
      </c>
      <c r="S453" s="3" t="s">
        <v>414</v>
      </c>
      <c r="T453" s="4" t="str">
        <f t="shared" si="2"/>
        <v>Valid</v>
      </c>
      <c r="U453" s="4">
        <f t="shared" si="3"/>
        <v>1</v>
      </c>
      <c r="V453" s="4" t="str">
        <f t="shared" si="4"/>
        <v>Unique</v>
      </c>
      <c r="W453" s="4" t="str">
        <f t="shared" si="5"/>
        <v>green</v>
      </c>
      <c r="X453" s="4" t="str">
        <f t="shared" ref="X453:Z453" si="457">IF(Q453="","Unknown",Q453)</f>
        <v>Vallenar, Chile</v>
      </c>
      <c r="Y453" s="4" t="str">
        <f t="shared" si="457"/>
        <v>South America</v>
      </c>
      <c r="Z453" s="4" t="str">
        <f t="shared" si="457"/>
        <v>Chile</v>
      </c>
      <c r="AA453" s="4" t="str">
        <f t="shared" si="7"/>
        <v>mww</v>
      </c>
    </row>
    <row r="454">
      <c r="A454" s="3" t="s">
        <v>1142</v>
      </c>
      <c r="B454" s="3">
        <v>7.5</v>
      </c>
      <c r="C454" s="19">
        <f>Raw_Data!T454</f>
        <v>41279.37361</v>
      </c>
      <c r="D454" s="3">
        <v>6.0</v>
      </c>
      <c r="E454" s="3">
        <v>6.0</v>
      </c>
      <c r="F454" s="4"/>
      <c r="G454" s="3">
        <v>0.0</v>
      </c>
      <c r="H454" s="3">
        <v>1425.0</v>
      </c>
      <c r="I454" s="3" t="s">
        <v>316</v>
      </c>
      <c r="J454" s="3">
        <v>0.0</v>
      </c>
      <c r="K454" s="3">
        <v>0.0</v>
      </c>
      <c r="L454" s="3">
        <v>0.0</v>
      </c>
      <c r="M454" s="4" t="str">
        <f>Raw_Data!X454</f>
        <v>mw</v>
      </c>
      <c r="N454" s="3">
        <v>8.7</v>
      </c>
      <c r="O454" s="3">
        <v>55.228</v>
      </c>
      <c r="P454" s="3">
        <v>-134.859</v>
      </c>
      <c r="Q454" s="3" t="s">
        <v>1143</v>
      </c>
      <c r="R454" s="4"/>
      <c r="S454" s="4"/>
      <c r="T454" s="4" t="str">
        <f t="shared" si="2"/>
        <v>Valid</v>
      </c>
      <c r="U454" s="4">
        <f t="shared" si="3"/>
        <v>1</v>
      </c>
      <c r="V454" s="4" t="str">
        <f t="shared" si="4"/>
        <v>Unique</v>
      </c>
      <c r="W454" s="4" t="str">
        <f t="shared" si="5"/>
        <v>Unknown</v>
      </c>
      <c r="X454" s="4" t="str">
        <f t="shared" ref="X454:Z454" si="458">IF(Q454="","Unknown",Q454)</f>
        <v>Edna Bay, Alaska</v>
      </c>
      <c r="Y454" s="4" t="str">
        <f t="shared" si="458"/>
        <v>Unknown</v>
      </c>
      <c r="Z454" s="4" t="str">
        <f t="shared" si="458"/>
        <v>Unknown</v>
      </c>
      <c r="AA454" s="4" t="str">
        <f t="shared" si="7"/>
        <v>mw</v>
      </c>
    </row>
    <row r="455">
      <c r="A455" s="3" t="s">
        <v>1144</v>
      </c>
      <c r="B455" s="3">
        <v>6.7</v>
      </c>
      <c r="C455" s="19">
        <f>Raw_Data!T455</f>
        <v>41264.93611</v>
      </c>
      <c r="D455" s="3">
        <v>0.0</v>
      </c>
      <c r="E455" s="3">
        <v>4.0</v>
      </c>
      <c r="F455" s="4"/>
      <c r="G455" s="3">
        <v>0.0</v>
      </c>
      <c r="H455" s="3">
        <v>691.0</v>
      </c>
      <c r="I455" s="3" t="s">
        <v>110</v>
      </c>
      <c r="J455" s="3">
        <v>521.0</v>
      </c>
      <c r="K455" s="3">
        <v>0.0</v>
      </c>
      <c r="L455" s="3">
        <v>13.7</v>
      </c>
      <c r="M455" s="4" t="str">
        <f>Raw_Data!X455</f>
        <v>mww</v>
      </c>
      <c r="N455" s="3">
        <v>200.7</v>
      </c>
      <c r="O455" s="3">
        <v>-14.344</v>
      </c>
      <c r="P455" s="3">
        <v>167.286</v>
      </c>
      <c r="Q455" s="3" t="s">
        <v>112</v>
      </c>
      <c r="R455" s="4"/>
      <c r="S455" s="3" t="s">
        <v>113</v>
      </c>
      <c r="T455" s="4" t="str">
        <f t="shared" si="2"/>
        <v>Valid</v>
      </c>
      <c r="U455" s="4">
        <f t="shared" si="3"/>
        <v>1</v>
      </c>
      <c r="V455" s="4" t="str">
        <f t="shared" si="4"/>
        <v>Unique</v>
      </c>
      <c r="W455" s="4" t="str">
        <f t="shared" si="5"/>
        <v>Unknown</v>
      </c>
      <c r="X455" s="4" t="str">
        <f t="shared" ref="X455:Z455" si="459">IF(Q455="","Unknown",Q455)</f>
        <v>Sola, Vanuatu</v>
      </c>
      <c r="Y455" s="4" t="str">
        <f t="shared" si="459"/>
        <v>Unknown</v>
      </c>
      <c r="Z455" s="4" t="str">
        <f t="shared" si="459"/>
        <v>Vanuatu</v>
      </c>
      <c r="AA455" s="4" t="str">
        <f t="shared" si="7"/>
        <v>mww</v>
      </c>
    </row>
    <row r="456">
      <c r="A456" s="3" t="s">
        <v>1146</v>
      </c>
      <c r="B456" s="3">
        <v>7.1</v>
      </c>
      <c r="C456" s="19">
        <f>Raw_Data!T456</f>
        <v>41253.70347</v>
      </c>
      <c r="D456" s="3">
        <v>5.0</v>
      </c>
      <c r="E456" s="3">
        <v>5.0</v>
      </c>
      <c r="F456" s="4"/>
      <c r="G456" s="3">
        <v>0.0</v>
      </c>
      <c r="H456" s="3">
        <v>843.0</v>
      </c>
      <c r="I456" s="3" t="s">
        <v>110</v>
      </c>
      <c r="J456" s="3">
        <v>517.0</v>
      </c>
      <c r="K456" s="3">
        <v>0.0</v>
      </c>
      <c r="L456" s="3">
        <v>8.7</v>
      </c>
      <c r="M456" s="4" t="str">
        <f>Raw_Data!X456</f>
        <v>mww</v>
      </c>
      <c r="N456" s="3">
        <v>155.0</v>
      </c>
      <c r="O456" s="3">
        <v>-6.533</v>
      </c>
      <c r="P456" s="3">
        <v>129.825</v>
      </c>
      <c r="Q456" s="3" t="s">
        <v>452</v>
      </c>
      <c r="R456" s="4"/>
      <c r="S456" s="3" t="s">
        <v>153</v>
      </c>
      <c r="T456" s="4" t="str">
        <f t="shared" si="2"/>
        <v>Valid</v>
      </c>
      <c r="U456" s="4">
        <f t="shared" si="3"/>
        <v>1</v>
      </c>
      <c r="V456" s="4" t="str">
        <f t="shared" si="4"/>
        <v>Unique</v>
      </c>
      <c r="W456" s="4" t="str">
        <f t="shared" si="5"/>
        <v>Unknown</v>
      </c>
      <c r="X456" s="4" t="str">
        <f t="shared" ref="X456:Z456" si="460">IF(Q456="","Unknown",Q456)</f>
        <v>Banda Sea</v>
      </c>
      <c r="Y456" s="4" t="str">
        <f t="shared" si="460"/>
        <v>Unknown</v>
      </c>
      <c r="Z456" s="4" t="str">
        <f t="shared" si="460"/>
        <v>Indonesia</v>
      </c>
      <c r="AA456" s="4" t="str">
        <f t="shared" si="7"/>
        <v>mww</v>
      </c>
    </row>
    <row r="457">
      <c r="A457" s="3" t="s">
        <v>1147</v>
      </c>
      <c r="B457" s="3">
        <v>7.3</v>
      </c>
      <c r="C457" s="19">
        <f>Raw_Data!T457</f>
        <v>41250.34583</v>
      </c>
      <c r="D457" s="3">
        <v>6.0</v>
      </c>
      <c r="E457" s="3">
        <v>5.0</v>
      </c>
      <c r="F457" s="4"/>
      <c r="G457" s="3">
        <v>0.0</v>
      </c>
      <c r="H457" s="3">
        <v>1014.0</v>
      </c>
      <c r="I457" s="3" t="s">
        <v>110</v>
      </c>
      <c r="J457" s="3">
        <v>918.0</v>
      </c>
      <c r="K457" s="3">
        <v>0.0</v>
      </c>
      <c r="L457" s="3">
        <v>14.8</v>
      </c>
      <c r="M457" s="4" t="str">
        <f>Raw_Data!X457</f>
        <v>mww</v>
      </c>
      <c r="N457" s="3">
        <v>31.0</v>
      </c>
      <c r="O457" s="3">
        <v>37.89</v>
      </c>
      <c r="P457" s="3">
        <v>143.949</v>
      </c>
      <c r="Q457" s="3" t="s">
        <v>917</v>
      </c>
      <c r="R457" s="4"/>
      <c r="S457" s="4"/>
      <c r="T457" s="4" t="str">
        <f t="shared" si="2"/>
        <v>Valid</v>
      </c>
      <c r="U457" s="4">
        <f t="shared" si="3"/>
        <v>1</v>
      </c>
      <c r="V457" s="4" t="str">
        <f t="shared" si="4"/>
        <v>Unique</v>
      </c>
      <c r="W457" s="4" t="str">
        <f t="shared" si="5"/>
        <v>Unknown</v>
      </c>
      <c r="X457" s="4" t="str">
        <f t="shared" ref="X457:Z457" si="461">IF(Q457="","Unknown",Q457)</f>
        <v>?funato, Japan</v>
      </c>
      <c r="Y457" s="4" t="str">
        <f t="shared" si="461"/>
        <v>Unknown</v>
      </c>
      <c r="Z457" s="4" t="str">
        <f t="shared" si="461"/>
        <v>Unknown</v>
      </c>
      <c r="AA457" s="4" t="str">
        <f t="shared" si="7"/>
        <v>mww</v>
      </c>
    </row>
    <row r="458">
      <c r="A458" s="3" t="s">
        <v>1148</v>
      </c>
      <c r="B458" s="3">
        <v>6.5</v>
      </c>
      <c r="C458" s="19">
        <f>Raw_Data!T458</f>
        <v>41224.92639</v>
      </c>
      <c r="D458" s="3">
        <v>4.0</v>
      </c>
      <c r="E458" s="3">
        <v>5.0</v>
      </c>
      <c r="F458" s="4"/>
      <c r="G458" s="3">
        <v>0.0</v>
      </c>
      <c r="H458" s="3">
        <v>708.0</v>
      </c>
      <c r="I458" s="3" t="s">
        <v>110</v>
      </c>
      <c r="J458" s="3">
        <v>598.0</v>
      </c>
      <c r="K458" s="3">
        <v>0.0</v>
      </c>
      <c r="L458" s="3">
        <v>57.3</v>
      </c>
      <c r="M458" s="4" t="str">
        <f>Raw_Data!X458</f>
        <v>mww</v>
      </c>
      <c r="N458" s="3">
        <v>20.0</v>
      </c>
      <c r="O458" s="3">
        <v>14.129</v>
      </c>
      <c r="P458" s="3">
        <v>-92.164</v>
      </c>
      <c r="Q458" s="3" t="s">
        <v>1149</v>
      </c>
      <c r="R458" s="4"/>
      <c r="S458" s="4"/>
      <c r="T458" s="4" t="str">
        <f t="shared" si="2"/>
        <v>Valid</v>
      </c>
      <c r="U458" s="4">
        <f t="shared" si="3"/>
        <v>1</v>
      </c>
      <c r="V458" s="4" t="str">
        <f t="shared" si="4"/>
        <v>Unique</v>
      </c>
      <c r="W458" s="4" t="str">
        <f t="shared" si="5"/>
        <v>Unknown</v>
      </c>
      <c r="X458" s="4" t="str">
        <f t="shared" ref="X458:Z458" si="462">IF(Q458="","Unknown",Q458)</f>
        <v>Champerico, Guatemala</v>
      </c>
      <c r="Y458" s="4" t="str">
        <f t="shared" si="462"/>
        <v>Unknown</v>
      </c>
      <c r="Z458" s="4" t="str">
        <f t="shared" si="462"/>
        <v>Unknown</v>
      </c>
      <c r="AA458" s="4" t="str">
        <f t="shared" si="7"/>
        <v>mww</v>
      </c>
    </row>
    <row r="459">
      <c r="A459" s="3" t="s">
        <v>1150</v>
      </c>
      <c r="B459" s="3">
        <v>6.8</v>
      </c>
      <c r="C459" s="19">
        <f>Raw_Data!T459</f>
        <v>41224.05</v>
      </c>
      <c r="D459" s="3">
        <v>7.0</v>
      </c>
      <c r="E459" s="3">
        <v>6.0</v>
      </c>
      <c r="F459" s="4"/>
      <c r="G459" s="3">
        <v>0.0</v>
      </c>
      <c r="H459" s="3">
        <v>795.0</v>
      </c>
      <c r="I459" s="3" t="s">
        <v>110</v>
      </c>
      <c r="J459" s="3">
        <v>391.0</v>
      </c>
      <c r="K459" s="3">
        <v>0.0</v>
      </c>
      <c r="L459" s="3">
        <v>13.7</v>
      </c>
      <c r="M459" s="4" t="str">
        <f>Raw_Data!X459</f>
        <v>mww</v>
      </c>
      <c r="N459" s="3">
        <v>13.7</v>
      </c>
      <c r="O459" s="3">
        <v>23.005</v>
      </c>
      <c r="P459" s="3">
        <v>95.885</v>
      </c>
      <c r="Q459" s="3" t="s">
        <v>1151</v>
      </c>
      <c r="R459" s="3" t="s">
        <v>164</v>
      </c>
      <c r="S459" s="3" t="s">
        <v>785</v>
      </c>
      <c r="T459" s="4" t="str">
        <f t="shared" si="2"/>
        <v>Valid</v>
      </c>
      <c r="U459" s="4">
        <f t="shared" si="3"/>
        <v>1</v>
      </c>
      <c r="V459" s="4" t="str">
        <f t="shared" si="4"/>
        <v>Unique</v>
      </c>
      <c r="W459" s="4" t="str">
        <f t="shared" si="5"/>
        <v>Unknown</v>
      </c>
      <c r="X459" s="4" t="str">
        <f t="shared" ref="X459:Z459" si="463">IF(Q459="","Unknown",Q459)</f>
        <v>Shwebo, Myanmar</v>
      </c>
      <c r="Y459" s="4" t="str">
        <f t="shared" si="463"/>
        <v>Asia</v>
      </c>
      <c r="Z459" s="4" t="str">
        <f t="shared" si="463"/>
        <v>Myanmar</v>
      </c>
      <c r="AA459" s="4" t="str">
        <f t="shared" si="7"/>
        <v>mww</v>
      </c>
    </row>
    <row r="460">
      <c r="A460" s="3" t="s">
        <v>1152</v>
      </c>
      <c r="B460" s="3">
        <v>7.4</v>
      </c>
      <c r="C460" s="19">
        <f>Raw_Data!T460</f>
        <v>41220.69097</v>
      </c>
      <c r="D460" s="3">
        <v>8.0</v>
      </c>
      <c r="E460" s="3">
        <v>7.0</v>
      </c>
      <c r="F460" s="3" t="s">
        <v>116</v>
      </c>
      <c r="G460" s="3">
        <v>0.0</v>
      </c>
      <c r="H460" s="3">
        <v>1455.0</v>
      </c>
      <c r="I460" s="3" t="s">
        <v>110</v>
      </c>
      <c r="J460" s="3">
        <v>751.0</v>
      </c>
      <c r="K460" s="3">
        <v>0.0</v>
      </c>
      <c r="L460" s="3">
        <v>25.5</v>
      </c>
      <c r="M460" s="4" t="str">
        <f>Raw_Data!X460</f>
        <v>mww</v>
      </c>
      <c r="N460" s="3">
        <v>24.0</v>
      </c>
      <c r="O460" s="3">
        <v>13.988</v>
      </c>
      <c r="P460" s="3">
        <v>-91.895</v>
      </c>
      <c r="Q460" s="3" t="s">
        <v>1149</v>
      </c>
      <c r="R460" s="4"/>
      <c r="S460" s="4"/>
      <c r="T460" s="4" t="str">
        <f t="shared" si="2"/>
        <v>Valid</v>
      </c>
      <c r="U460" s="4">
        <f t="shared" si="3"/>
        <v>1</v>
      </c>
      <c r="V460" s="4" t="str">
        <f t="shared" si="4"/>
        <v>Unique</v>
      </c>
      <c r="W460" s="4" t="str">
        <f t="shared" si="5"/>
        <v>yellow</v>
      </c>
      <c r="X460" s="4" t="str">
        <f t="shared" ref="X460:Z460" si="464">IF(Q460="","Unknown",Q460)</f>
        <v>Champerico, Guatemala</v>
      </c>
      <c r="Y460" s="4" t="str">
        <f t="shared" si="464"/>
        <v>Unknown</v>
      </c>
      <c r="Z460" s="4" t="str">
        <f t="shared" si="464"/>
        <v>Unknown</v>
      </c>
      <c r="AA460" s="4" t="str">
        <f t="shared" si="7"/>
        <v>mww</v>
      </c>
    </row>
    <row r="461">
      <c r="A461" s="3" t="s">
        <v>1153</v>
      </c>
      <c r="B461" s="3">
        <v>7.8</v>
      </c>
      <c r="C461" s="19">
        <f>Raw_Data!T461</f>
        <v>41210.12778</v>
      </c>
      <c r="D461" s="3">
        <v>8.0</v>
      </c>
      <c r="E461" s="3">
        <v>7.0</v>
      </c>
      <c r="F461" s="4"/>
      <c r="G461" s="3">
        <v>0.0</v>
      </c>
      <c r="H461" s="3">
        <v>1726.0</v>
      </c>
      <c r="I461" s="3" t="s">
        <v>110</v>
      </c>
      <c r="J461" s="3">
        <v>807.0</v>
      </c>
      <c r="K461" s="3">
        <v>0.0</v>
      </c>
      <c r="L461" s="3">
        <v>42.7</v>
      </c>
      <c r="M461" s="4" t="str">
        <f>Raw_Data!X461</f>
        <v>mww</v>
      </c>
      <c r="N461" s="3">
        <v>14.0</v>
      </c>
      <c r="O461" s="3">
        <v>52.788</v>
      </c>
      <c r="P461" s="3">
        <v>-132.101</v>
      </c>
      <c r="Q461" s="3" t="s">
        <v>1155</v>
      </c>
      <c r="R461" s="3" t="s">
        <v>233</v>
      </c>
      <c r="S461" s="3" t="s">
        <v>1156</v>
      </c>
      <c r="T461" s="4" t="str">
        <f t="shared" si="2"/>
        <v>Valid</v>
      </c>
      <c r="U461" s="4">
        <f t="shared" si="3"/>
        <v>1</v>
      </c>
      <c r="V461" s="4" t="str">
        <f t="shared" si="4"/>
        <v>Unique</v>
      </c>
      <c r="W461" s="4" t="str">
        <f t="shared" si="5"/>
        <v>Unknown</v>
      </c>
      <c r="X461" s="4" t="str">
        <f t="shared" ref="X461:Z461" si="465">IF(Q461="","Unknown",Q461)</f>
        <v>Prince Rupert, Canada</v>
      </c>
      <c r="Y461" s="4" t="str">
        <f t="shared" si="465"/>
        <v>North America</v>
      </c>
      <c r="Z461" s="4" t="str">
        <f t="shared" si="465"/>
        <v>Canada</v>
      </c>
      <c r="AA461" s="4" t="str">
        <f t="shared" si="7"/>
        <v>mww</v>
      </c>
    </row>
    <row r="462">
      <c r="A462" s="3" t="s">
        <v>1157</v>
      </c>
      <c r="B462" s="3">
        <v>6.5</v>
      </c>
      <c r="C462" s="19">
        <f>Raw_Data!T462</f>
        <v>41206.03125</v>
      </c>
      <c r="D462" s="3">
        <v>6.0</v>
      </c>
      <c r="E462" s="3">
        <v>6.0</v>
      </c>
      <c r="F462" s="4"/>
      <c r="G462" s="3">
        <v>0.0</v>
      </c>
      <c r="H462" s="3">
        <v>745.0</v>
      </c>
      <c r="I462" s="3" t="s">
        <v>110</v>
      </c>
      <c r="J462" s="3">
        <v>691.0</v>
      </c>
      <c r="K462" s="3">
        <v>0.0</v>
      </c>
      <c r="L462" s="3">
        <v>34.4</v>
      </c>
      <c r="M462" s="4" t="str">
        <f>Raw_Data!X462</f>
        <v>mww</v>
      </c>
      <c r="N462" s="3">
        <v>17.0</v>
      </c>
      <c r="O462" s="3">
        <v>10.086</v>
      </c>
      <c r="P462" s="3">
        <v>-85.298</v>
      </c>
      <c r="Q462" s="3" t="s">
        <v>662</v>
      </c>
      <c r="R462" s="4"/>
      <c r="S462" s="3" t="s">
        <v>662</v>
      </c>
      <c r="T462" s="4" t="str">
        <f t="shared" si="2"/>
        <v>Valid</v>
      </c>
      <c r="U462" s="4">
        <f t="shared" si="3"/>
        <v>1</v>
      </c>
      <c r="V462" s="4" t="str">
        <f t="shared" si="4"/>
        <v>Unique</v>
      </c>
      <c r="W462" s="4" t="str">
        <f t="shared" si="5"/>
        <v>Unknown</v>
      </c>
      <c r="X462" s="4" t="str">
        <f t="shared" ref="X462:Z462" si="466">IF(Q462="","Unknown",Q462)</f>
        <v>Costa Rica</v>
      </c>
      <c r="Y462" s="4" t="str">
        <f t="shared" si="466"/>
        <v>Unknown</v>
      </c>
      <c r="Z462" s="4" t="str">
        <f t="shared" si="466"/>
        <v>Costa Rica</v>
      </c>
      <c r="AA462" s="4" t="str">
        <f t="shared" si="7"/>
        <v>mww</v>
      </c>
    </row>
    <row r="463">
      <c r="A463" s="3" t="s">
        <v>1159</v>
      </c>
      <c r="B463" s="3">
        <v>6.6</v>
      </c>
      <c r="C463" s="19">
        <f>Raw_Data!T463</f>
        <v>41194.02153</v>
      </c>
      <c r="D463" s="3">
        <v>3.0</v>
      </c>
      <c r="E463" s="3">
        <v>5.0</v>
      </c>
      <c r="F463" s="4"/>
      <c r="G463" s="3">
        <v>0.0</v>
      </c>
      <c r="H463" s="3">
        <v>675.0</v>
      </c>
      <c r="I463" s="3" t="s">
        <v>110</v>
      </c>
      <c r="J463" s="3">
        <v>291.0</v>
      </c>
      <c r="K463" s="3">
        <v>0.0</v>
      </c>
      <c r="L463" s="3">
        <v>17.7</v>
      </c>
      <c r="M463" s="4" t="str">
        <f>Raw_Data!X463</f>
        <v>mww</v>
      </c>
      <c r="N463" s="3">
        <v>13.0</v>
      </c>
      <c r="O463" s="3">
        <v>-4.892</v>
      </c>
      <c r="P463" s="3">
        <v>134.03</v>
      </c>
      <c r="Q463" s="3" t="s">
        <v>1160</v>
      </c>
      <c r="R463" s="4"/>
      <c r="S463" s="3" t="s">
        <v>153</v>
      </c>
      <c r="T463" s="4" t="str">
        <f t="shared" si="2"/>
        <v>Valid</v>
      </c>
      <c r="U463" s="4">
        <f t="shared" si="3"/>
        <v>1</v>
      </c>
      <c r="V463" s="4" t="str">
        <f t="shared" si="4"/>
        <v>Unique</v>
      </c>
      <c r="W463" s="4" t="str">
        <f t="shared" si="5"/>
        <v>Unknown</v>
      </c>
      <c r="X463" s="4" t="str">
        <f t="shared" ref="X463:Z463" si="467">IF(Q463="","Unknown",Q463)</f>
        <v>Tual, Indonesia</v>
      </c>
      <c r="Y463" s="4" t="str">
        <f t="shared" si="467"/>
        <v>Unknown</v>
      </c>
      <c r="Z463" s="4" t="str">
        <f t="shared" si="467"/>
        <v>Indonesia</v>
      </c>
      <c r="AA463" s="4" t="str">
        <f t="shared" si="7"/>
        <v>mww</v>
      </c>
    </row>
    <row r="464">
      <c r="A464" s="3" t="s">
        <v>1161</v>
      </c>
      <c r="B464" s="3">
        <v>7.3</v>
      </c>
      <c r="C464" s="19">
        <f>Raw_Data!T464</f>
        <v>41182.68819</v>
      </c>
      <c r="D464" s="3">
        <v>7.0</v>
      </c>
      <c r="E464" s="3">
        <v>6.0</v>
      </c>
      <c r="F464" s="4"/>
      <c r="G464" s="3">
        <v>0.0</v>
      </c>
      <c r="H464" s="3">
        <v>1221.0</v>
      </c>
      <c r="I464" s="3" t="s">
        <v>110</v>
      </c>
      <c r="J464" s="3">
        <v>934.0</v>
      </c>
      <c r="K464" s="3">
        <v>0.0</v>
      </c>
      <c r="L464" s="3">
        <v>15.5</v>
      </c>
      <c r="M464" s="4" t="str">
        <f>Raw_Data!X464</f>
        <v>mww</v>
      </c>
      <c r="N464" s="3">
        <v>170.0</v>
      </c>
      <c r="O464" s="3">
        <v>1.929</v>
      </c>
      <c r="P464" s="3">
        <v>-76.362</v>
      </c>
      <c r="Q464" s="3" t="s">
        <v>1163</v>
      </c>
      <c r="R464" s="3" t="s">
        <v>121</v>
      </c>
      <c r="S464" s="3" t="s">
        <v>140</v>
      </c>
      <c r="T464" s="4" t="str">
        <f t="shared" si="2"/>
        <v>Valid</v>
      </c>
      <c r="U464" s="4">
        <f t="shared" si="3"/>
        <v>1</v>
      </c>
      <c r="V464" s="4" t="str">
        <f t="shared" si="4"/>
        <v>Unique</v>
      </c>
      <c r="W464" s="4" t="str">
        <f t="shared" si="5"/>
        <v>Unknown</v>
      </c>
      <c r="X464" s="4" t="str">
        <f t="shared" ref="X464:Z464" si="468">IF(Q464="","Unknown",Q464)</f>
        <v>San Agustín, Colombia</v>
      </c>
      <c r="Y464" s="4" t="str">
        <f t="shared" si="468"/>
        <v>South America</v>
      </c>
      <c r="Z464" s="4" t="str">
        <f t="shared" si="468"/>
        <v>Colombia</v>
      </c>
      <c r="AA464" s="4" t="str">
        <f t="shared" si="7"/>
        <v>mww</v>
      </c>
    </row>
    <row r="465">
      <c r="A465" s="3" t="s">
        <v>1164</v>
      </c>
      <c r="B465" s="3">
        <v>7.6</v>
      </c>
      <c r="C465" s="19">
        <f>Raw_Data!T465</f>
        <v>41157.6125</v>
      </c>
      <c r="D465" s="3">
        <v>8.0</v>
      </c>
      <c r="E465" s="3">
        <v>7.0</v>
      </c>
      <c r="F465" s="4"/>
      <c r="G465" s="3">
        <v>0.0</v>
      </c>
      <c r="H465" s="3">
        <v>1555.0</v>
      </c>
      <c r="I465" s="3" t="s">
        <v>110</v>
      </c>
      <c r="J465" s="3">
        <v>703.0</v>
      </c>
      <c r="K465" s="3">
        <v>0.0</v>
      </c>
      <c r="L465" s="3">
        <v>34.3</v>
      </c>
      <c r="M465" s="4" t="str">
        <f>Raw_Data!X465</f>
        <v>mww</v>
      </c>
      <c r="N465" s="3">
        <v>35.0</v>
      </c>
      <c r="O465" s="3">
        <v>10.085</v>
      </c>
      <c r="P465" s="3">
        <v>-85.315</v>
      </c>
      <c r="Q465" s="3" t="s">
        <v>1165</v>
      </c>
      <c r="R465" s="4"/>
      <c r="S465" s="3" t="s">
        <v>662</v>
      </c>
      <c r="T465" s="4" t="str">
        <f t="shared" si="2"/>
        <v>Valid</v>
      </c>
      <c r="U465" s="4">
        <f t="shared" si="3"/>
        <v>1</v>
      </c>
      <c r="V465" s="4" t="str">
        <f t="shared" si="4"/>
        <v>Unique</v>
      </c>
      <c r="W465" s="4" t="str">
        <f t="shared" si="5"/>
        <v>Unknown</v>
      </c>
      <c r="X465" s="4" t="str">
        <f t="shared" ref="X465:Z465" si="469">IF(Q465="","Unknown",Q465)</f>
        <v>Hojancha, Costa Rica</v>
      </c>
      <c r="Y465" s="4" t="str">
        <f t="shared" si="469"/>
        <v>Unknown</v>
      </c>
      <c r="Z465" s="4" t="str">
        <f t="shared" si="469"/>
        <v>Costa Rica</v>
      </c>
      <c r="AA465" s="4" t="str">
        <f t="shared" si="7"/>
        <v>mww</v>
      </c>
    </row>
    <row r="466">
      <c r="A466" s="3" t="s">
        <v>1166</v>
      </c>
      <c r="B466" s="3">
        <v>7.6</v>
      </c>
      <c r="C466" s="19">
        <f>Raw_Data!T466</f>
        <v>41152.53264</v>
      </c>
      <c r="D466" s="3">
        <v>8.0</v>
      </c>
      <c r="E466" s="3">
        <v>5.0</v>
      </c>
      <c r="F466" s="4"/>
      <c r="G466" s="3">
        <v>0.0</v>
      </c>
      <c r="H466" s="3">
        <v>1115.0</v>
      </c>
      <c r="I466" s="3" t="s">
        <v>110</v>
      </c>
      <c r="J466" s="3">
        <v>682.0</v>
      </c>
      <c r="K466" s="3">
        <v>0.0</v>
      </c>
      <c r="L466" s="3">
        <v>10.2</v>
      </c>
      <c r="M466" s="4" t="str">
        <f>Raw_Data!X466</f>
        <v>mww</v>
      </c>
      <c r="N466" s="3">
        <v>28.0</v>
      </c>
      <c r="O466" s="3">
        <v>10.811</v>
      </c>
      <c r="P466" s="3">
        <v>126.638</v>
      </c>
      <c r="Q466" s="3" t="s">
        <v>1168</v>
      </c>
      <c r="R466" s="4"/>
      <c r="S466" s="4"/>
      <c r="T466" s="4" t="str">
        <f t="shared" si="2"/>
        <v>Valid</v>
      </c>
      <c r="U466" s="4">
        <f t="shared" si="3"/>
        <v>1</v>
      </c>
      <c r="V466" s="4" t="str">
        <f t="shared" si="4"/>
        <v>Unique</v>
      </c>
      <c r="W466" s="4" t="str">
        <f t="shared" si="5"/>
        <v>Unknown</v>
      </c>
      <c r="X466" s="4" t="str">
        <f t="shared" ref="X466:Z466" si="470">IF(Q466="","Unknown",Q466)</f>
        <v>Sulangan, Philippines</v>
      </c>
      <c r="Y466" s="4" t="str">
        <f t="shared" si="470"/>
        <v>Unknown</v>
      </c>
      <c r="Z466" s="4" t="str">
        <f t="shared" si="470"/>
        <v>Unknown</v>
      </c>
      <c r="AA466" s="4" t="str">
        <f t="shared" si="7"/>
        <v>mww</v>
      </c>
    </row>
    <row r="467">
      <c r="A467" s="3" t="s">
        <v>1169</v>
      </c>
      <c r="B467" s="3">
        <v>7.3</v>
      </c>
      <c r="C467" s="19">
        <f>Raw_Data!T467</f>
        <v>41148.19236</v>
      </c>
      <c r="D467" s="3">
        <v>5.0</v>
      </c>
      <c r="E467" s="3">
        <v>5.0</v>
      </c>
      <c r="F467" s="4"/>
      <c r="G467" s="3">
        <v>0.0</v>
      </c>
      <c r="H467" s="3">
        <v>994.0</v>
      </c>
      <c r="I467" s="3" t="s">
        <v>110</v>
      </c>
      <c r="J467" s="3">
        <v>417.0</v>
      </c>
      <c r="K467" s="3">
        <v>0.0</v>
      </c>
      <c r="L467" s="3">
        <v>37.0</v>
      </c>
      <c r="M467" s="4" t="str">
        <f>Raw_Data!X467</f>
        <v>mww</v>
      </c>
      <c r="N467" s="3">
        <v>28.0</v>
      </c>
      <c r="O467" s="3">
        <v>12.139</v>
      </c>
      <c r="P467" s="3">
        <v>-88.59</v>
      </c>
      <c r="Q467" s="3" t="s">
        <v>753</v>
      </c>
      <c r="R467" s="4"/>
      <c r="S467" s="4"/>
      <c r="T467" s="4" t="str">
        <f t="shared" si="2"/>
        <v>Valid</v>
      </c>
      <c r="U467" s="4">
        <f t="shared" si="3"/>
        <v>1</v>
      </c>
      <c r="V467" s="4" t="str">
        <f t="shared" si="4"/>
        <v>Unique</v>
      </c>
      <c r="W467" s="4" t="str">
        <f t="shared" si="5"/>
        <v>Unknown</v>
      </c>
      <c r="X467" s="4" t="str">
        <f t="shared" ref="X467:Z467" si="471">IF(Q467="","Unknown",Q467)</f>
        <v>Puerto El Triunfo, El Salvador</v>
      </c>
      <c r="Y467" s="4" t="str">
        <f t="shared" si="471"/>
        <v>Unknown</v>
      </c>
      <c r="Z467" s="4" t="str">
        <f t="shared" si="471"/>
        <v>Unknown</v>
      </c>
      <c r="AA467" s="4" t="str">
        <f t="shared" si="7"/>
        <v>mww</v>
      </c>
    </row>
    <row r="468">
      <c r="A468" s="3" t="s">
        <v>1171</v>
      </c>
      <c r="B468" s="3">
        <v>6.6</v>
      </c>
      <c r="C468" s="19">
        <f>Raw_Data!T468</f>
        <v>41147.62847</v>
      </c>
      <c r="D468" s="3">
        <v>4.0</v>
      </c>
      <c r="E468" s="3">
        <v>5.0</v>
      </c>
      <c r="F468" s="4"/>
      <c r="G468" s="3">
        <v>0.0</v>
      </c>
      <c r="H468" s="3">
        <v>678.0</v>
      </c>
      <c r="I468" s="3" t="s">
        <v>110</v>
      </c>
      <c r="J468" s="3">
        <v>497.0</v>
      </c>
      <c r="K468" s="3">
        <v>0.0</v>
      </c>
      <c r="L468" s="3">
        <v>14.6</v>
      </c>
      <c r="M468" s="4" t="str">
        <f>Raw_Data!X468</f>
        <v>mww</v>
      </c>
      <c r="N468" s="3">
        <v>91.1</v>
      </c>
      <c r="O468" s="3">
        <v>2.19</v>
      </c>
      <c r="P468" s="3">
        <v>126.837</v>
      </c>
      <c r="Q468" s="3" t="s">
        <v>205</v>
      </c>
      <c r="R468" s="4"/>
      <c r="S468" s="3" t="s">
        <v>153</v>
      </c>
      <c r="T468" s="4" t="str">
        <f t="shared" si="2"/>
        <v>Valid</v>
      </c>
      <c r="U468" s="4">
        <f t="shared" si="3"/>
        <v>1</v>
      </c>
      <c r="V468" s="4" t="str">
        <f t="shared" si="4"/>
        <v>Unique</v>
      </c>
      <c r="W468" s="4" t="str">
        <f t="shared" si="5"/>
        <v>Unknown</v>
      </c>
      <c r="X468" s="4" t="str">
        <f t="shared" ref="X468:Z468" si="472">IF(Q468="","Unknown",Q468)</f>
        <v>Tobelo, Indonesia</v>
      </c>
      <c r="Y468" s="4" t="str">
        <f t="shared" si="472"/>
        <v>Unknown</v>
      </c>
      <c r="Z468" s="4" t="str">
        <f t="shared" si="472"/>
        <v>Indonesia</v>
      </c>
      <c r="AA468" s="4" t="str">
        <f t="shared" si="7"/>
        <v>mww</v>
      </c>
    </row>
    <row r="469">
      <c r="A469" s="3" t="s">
        <v>1173</v>
      </c>
      <c r="B469" s="3">
        <v>7.7</v>
      </c>
      <c r="C469" s="19">
        <f>Raw_Data!T469</f>
        <v>41135.12431</v>
      </c>
      <c r="D469" s="3">
        <v>7.0</v>
      </c>
      <c r="E469" s="3">
        <v>4.0</v>
      </c>
      <c r="F469" s="4"/>
      <c r="G469" s="3">
        <v>0.0</v>
      </c>
      <c r="H469" s="3">
        <v>941.0</v>
      </c>
      <c r="I469" s="3" t="s">
        <v>110</v>
      </c>
      <c r="J469" s="3">
        <v>862.0</v>
      </c>
      <c r="K469" s="3">
        <v>0.0</v>
      </c>
      <c r="L469" s="3">
        <v>13.8</v>
      </c>
      <c r="M469" s="4" t="str">
        <f>Raw_Data!X469</f>
        <v>mww</v>
      </c>
      <c r="N469" s="3">
        <v>583.2</v>
      </c>
      <c r="O469" s="3">
        <v>49.8</v>
      </c>
      <c r="P469" s="3">
        <v>145.064</v>
      </c>
      <c r="Q469" s="3" t="s">
        <v>1175</v>
      </c>
      <c r="R469" s="4"/>
      <c r="S469" s="4"/>
      <c r="T469" s="4" t="str">
        <f t="shared" si="2"/>
        <v>Valid</v>
      </c>
      <c r="U469" s="4">
        <f t="shared" si="3"/>
        <v>1</v>
      </c>
      <c r="V469" s="4" t="str">
        <f t="shared" si="4"/>
        <v>Unique</v>
      </c>
      <c r="W469" s="4" t="str">
        <f t="shared" si="5"/>
        <v>Unknown</v>
      </c>
      <c r="X469" s="4" t="str">
        <f t="shared" ref="X469:Z469" si="473">IF(Q469="","Unknown",Q469)</f>
        <v>Poronaysk, Russia</v>
      </c>
      <c r="Y469" s="4" t="str">
        <f t="shared" si="473"/>
        <v>Unknown</v>
      </c>
      <c r="Z469" s="4" t="str">
        <f t="shared" si="473"/>
        <v>Unknown</v>
      </c>
      <c r="AA469" s="4" t="str">
        <f t="shared" si="7"/>
        <v>mww</v>
      </c>
    </row>
    <row r="470">
      <c r="A470" s="3" t="s">
        <v>1176</v>
      </c>
      <c r="B470" s="3">
        <v>6.5</v>
      </c>
      <c r="C470" s="19">
        <f>Raw_Data!T470</f>
        <v>41118.83542</v>
      </c>
      <c r="D470" s="3">
        <v>5.0</v>
      </c>
      <c r="E470" s="3">
        <v>6.0</v>
      </c>
      <c r="F470" s="4"/>
      <c r="G470" s="3">
        <v>0.0</v>
      </c>
      <c r="H470" s="3">
        <v>653.0</v>
      </c>
      <c r="I470" s="3" t="s">
        <v>110</v>
      </c>
      <c r="J470" s="3">
        <v>576.0</v>
      </c>
      <c r="K470" s="3">
        <v>0.0</v>
      </c>
      <c r="L470" s="3">
        <v>11.7</v>
      </c>
      <c r="M470" s="4" t="str">
        <f>Raw_Data!X470</f>
        <v>mww</v>
      </c>
      <c r="N470" s="3">
        <v>41.0</v>
      </c>
      <c r="O470" s="3">
        <v>-4.651</v>
      </c>
      <c r="P470" s="3">
        <v>153.173</v>
      </c>
      <c r="Q470" s="3" t="s">
        <v>633</v>
      </c>
      <c r="R470" s="4"/>
      <c r="S470" s="3" t="s">
        <v>168</v>
      </c>
      <c r="T470" s="4" t="str">
        <f t="shared" si="2"/>
        <v>Valid</v>
      </c>
      <c r="U470" s="4">
        <f t="shared" si="3"/>
        <v>1</v>
      </c>
      <c r="V470" s="4" t="str">
        <f t="shared" si="4"/>
        <v>Unique</v>
      </c>
      <c r="W470" s="4" t="str">
        <f t="shared" si="5"/>
        <v>Unknown</v>
      </c>
      <c r="X470" s="4" t="str">
        <f t="shared" ref="X470:Z470" si="474">IF(Q470="","Unknown",Q470)</f>
        <v>Kokopo, Papua New Guinea</v>
      </c>
      <c r="Y470" s="4" t="str">
        <f t="shared" si="474"/>
        <v>Unknown</v>
      </c>
      <c r="Z470" s="4" t="str">
        <f t="shared" si="474"/>
        <v>Papua New Guinea</v>
      </c>
      <c r="AA470" s="4" t="str">
        <f t="shared" si="7"/>
        <v>mww</v>
      </c>
    </row>
    <row r="471">
      <c r="A471" s="3" t="s">
        <v>1178</v>
      </c>
      <c r="B471" s="3">
        <v>6.6</v>
      </c>
      <c r="C471" s="19">
        <f>Raw_Data!T471</f>
        <v>41027.42222</v>
      </c>
      <c r="D471" s="3">
        <v>4.0</v>
      </c>
      <c r="E471" s="3">
        <v>5.0</v>
      </c>
      <c r="F471" s="4"/>
      <c r="G471" s="3">
        <v>0.0</v>
      </c>
      <c r="H471" s="3">
        <v>675.0</v>
      </c>
      <c r="I471" s="3" t="s">
        <v>110</v>
      </c>
      <c r="J471" s="3">
        <v>529.0</v>
      </c>
      <c r="K471" s="3">
        <v>0.0</v>
      </c>
      <c r="L471" s="3">
        <v>15.7</v>
      </c>
      <c r="M471" s="4" t="str">
        <f>Raw_Data!X471</f>
        <v>mww</v>
      </c>
      <c r="N471" s="3">
        <v>134.7</v>
      </c>
      <c r="O471" s="3">
        <v>-18.685</v>
      </c>
      <c r="P471" s="3">
        <v>-174.705</v>
      </c>
      <c r="Q471" s="3" t="s">
        <v>221</v>
      </c>
      <c r="R471" s="4"/>
      <c r="S471" s="3" t="s">
        <v>133</v>
      </c>
      <c r="T471" s="4" t="str">
        <f t="shared" si="2"/>
        <v>Valid</v>
      </c>
      <c r="U471" s="4">
        <f t="shared" si="3"/>
        <v>1</v>
      </c>
      <c r="V471" s="4" t="str">
        <f t="shared" si="4"/>
        <v>Unique</v>
      </c>
      <c r="W471" s="4" t="str">
        <f t="shared" si="5"/>
        <v>Unknown</v>
      </c>
      <c r="X471" s="4" t="str">
        <f t="shared" ref="X471:Z471" si="475">IF(Q471="","Unknown",Q471)</f>
        <v>Neiafu, Tonga</v>
      </c>
      <c r="Y471" s="4" t="str">
        <f t="shared" si="475"/>
        <v>Unknown</v>
      </c>
      <c r="Z471" s="4" t="str">
        <f t="shared" si="475"/>
        <v>Tonga</v>
      </c>
      <c r="AA471" s="4" t="str">
        <f t="shared" si="7"/>
        <v>mww</v>
      </c>
    </row>
    <row r="472">
      <c r="A472" s="3" t="s">
        <v>1180</v>
      </c>
      <c r="B472" s="3">
        <v>6.7</v>
      </c>
      <c r="C472" s="19">
        <f>Raw_Data!T472</f>
        <v>41020.05278</v>
      </c>
      <c r="D472" s="3">
        <v>0.0</v>
      </c>
      <c r="E472" s="3">
        <v>7.0</v>
      </c>
      <c r="F472" s="4"/>
      <c r="G472" s="3">
        <v>0.0</v>
      </c>
      <c r="H472" s="3">
        <v>691.0</v>
      </c>
      <c r="I472" s="3" t="s">
        <v>110</v>
      </c>
      <c r="J472" s="3">
        <v>370.0</v>
      </c>
      <c r="K472" s="3">
        <v>0.0</v>
      </c>
      <c r="L472" s="3">
        <v>15.4</v>
      </c>
      <c r="M472" s="4" t="str">
        <f>Raw_Data!X472</f>
        <v>mww</v>
      </c>
      <c r="N472" s="3">
        <v>16.0</v>
      </c>
      <c r="O472" s="3">
        <v>-1.617</v>
      </c>
      <c r="P472" s="3">
        <v>134.276</v>
      </c>
      <c r="Q472" s="3" t="s">
        <v>1182</v>
      </c>
      <c r="R472" s="4"/>
      <c r="S472" s="3" t="s">
        <v>153</v>
      </c>
      <c r="T472" s="4" t="str">
        <f t="shared" si="2"/>
        <v>Valid</v>
      </c>
      <c r="U472" s="4">
        <f t="shared" si="3"/>
        <v>1</v>
      </c>
      <c r="V472" s="4" t="str">
        <f t="shared" si="4"/>
        <v>Unique</v>
      </c>
      <c r="W472" s="4" t="str">
        <f t="shared" si="5"/>
        <v>Unknown</v>
      </c>
      <c r="X472" s="4" t="str">
        <f t="shared" ref="X472:Z472" si="476">IF(Q472="","Unknown",Q472)</f>
        <v>Manokwari, Indonesia</v>
      </c>
      <c r="Y472" s="4" t="str">
        <f t="shared" si="476"/>
        <v>Unknown</v>
      </c>
      <c r="Z472" s="4" t="str">
        <f t="shared" si="476"/>
        <v>Indonesia</v>
      </c>
      <c r="AA472" s="4" t="str">
        <f t="shared" si="7"/>
        <v>mww</v>
      </c>
    </row>
    <row r="473">
      <c r="A473" s="3" t="s">
        <v>1183</v>
      </c>
      <c r="B473" s="3">
        <v>6.8</v>
      </c>
      <c r="C473" s="19">
        <f>Raw_Data!T473</f>
        <v>41016.30069</v>
      </c>
      <c r="D473" s="3">
        <v>6.0</v>
      </c>
      <c r="E473" s="3">
        <v>5.0</v>
      </c>
      <c r="F473" s="4"/>
      <c r="G473" s="3">
        <v>0.0</v>
      </c>
      <c r="H473" s="3">
        <v>732.0</v>
      </c>
      <c r="I473" s="3" t="s">
        <v>110</v>
      </c>
      <c r="J473" s="3">
        <v>597.0</v>
      </c>
      <c r="K473" s="3">
        <v>0.0</v>
      </c>
      <c r="L473" s="3">
        <v>12.6</v>
      </c>
      <c r="M473" s="4" t="str">
        <f>Raw_Data!X473</f>
        <v>mww</v>
      </c>
      <c r="N473" s="3">
        <v>198.0</v>
      </c>
      <c r="O473" s="3">
        <v>-5.462</v>
      </c>
      <c r="P473" s="3">
        <v>147.117</v>
      </c>
      <c r="Q473" s="3" t="s">
        <v>1185</v>
      </c>
      <c r="R473" s="4"/>
      <c r="S473" s="3" t="s">
        <v>168</v>
      </c>
      <c r="T473" s="4" t="str">
        <f t="shared" si="2"/>
        <v>Valid</v>
      </c>
      <c r="U473" s="4">
        <f t="shared" si="3"/>
        <v>1</v>
      </c>
      <c r="V473" s="4" t="str">
        <f t="shared" si="4"/>
        <v>Unique</v>
      </c>
      <c r="W473" s="4" t="str">
        <f t="shared" si="5"/>
        <v>Unknown</v>
      </c>
      <c r="X473" s="4" t="str">
        <f t="shared" ref="X473:Z473" si="477">IF(Q473="","Unknown",Q473)</f>
        <v>Lae, Papua New Guinea</v>
      </c>
      <c r="Y473" s="4" t="str">
        <f t="shared" si="477"/>
        <v>Unknown</v>
      </c>
      <c r="Z473" s="4" t="str">
        <f t="shared" si="477"/>
        <v>Papua New Guinea</v>
      </c>
      <c r="AA473" s="4" t="str">
        <f t="shared" si="7"/>
        <v>mww</v>
      </c>
    </row>
    <row r="474">
      <c r="A474" s="3" t="s">
        <v>1186</v>
      </c>
      <c r="B474" s="3">
        <v>6.7</v>
      </c>
      <c r="C474" s="19">
        <f>Raw_Data!T474</f>
        <v>41016.15972</v>
      </c>
      <c r="D474" s="3">
        <v>0.0</v>
      </c>
      <c r="E474" s="3">
        <v>7.0</v>
      </c>
      <c r="F474" s="4"/>
      <c r="G474" s="3">
        <v>0.0</v>
      </c>
      <c r="H474" s="3">
        <v>691.0</v>
      </c>
      <c r="I474" s="3" t="s">
        <v>110</v>
      </c>
      <c r="J474" s="3">
        <v>518.0</v>
      </c>
      <c r="K474" s="3">
        <v>0.0</v>
      </c>
      <c r="L474" s="3">
        <v>26.9</v>
      </c>
      <c r="M474" s="4" t="str">
        <f>Raw_Data!X474</f>
        <v>mww</v>
      </c>
      <c r="N474" s="3">
        <v>29.0</v>
      </c>
      <c r="O474" s="3">
        <v>-32.625</v>
      </c>
      <c r="P474" s="3">
        <v>-71.365</v>
      </c>
      <c r="Q474" s="3" t="s">
        <v>1188</v>
      </c>
      <c r="R474" s="3" t="s">
        <v>121</v>
      </c>
      <c r="S474" s="3" t="s">
        <v>414</v>
      </c>
      <c r="T474" s="4" t="str">
        <f t="shared" si="2"/>
        <v>Valid</v>
      </c>
      <c r="U474" s="4">
        <f t="shared" si="3"/>
        <v>1</v>
      </c>
      <c r="V474" s="4" t="str">
        <f t="shared" si="4"/>
        <v>Unique</v>
      </c>
      <c r="W474" s="4" t="str">
        <f t="shared" si="5"/>
        <v>Unknown</v>
      </c>
      <c r="X474" s="4" t="str">
        <f t="shared" ref="X474:Z474" si="478">IF(Q474="","Unknown",Q474)</f>
        <v>Hacienda La Calera, Chile</v>
      </c>
      <c r="Y474" s="4" t="str">
        <f t="shared" si="478"/>
        <v>South America</v>
      </c>
      <c r="Z474" s="4" t="str">
        <f t="shared" si="478"/>
        <v>Chile</v>
      </c>
      <c r="AA474" s="4" t="str">
        <f t="shared" si="7"/>
        <v>mww</v>
      </c>
    </row>
    <row r="475">
      <c r="A475" s="3" t="s">
        <v>1189</v>
      </c>
      <c r="B475" s="3">
        <v>7.0</v>
      </c>
      <c r="C475" s="19">
        <f>Raw_Data!T475</f>
        <v>41011.30208</v>
      </c>
      <c r="D475" s="3">
        <v>7.0</v>
      </c>
      <c r="E475" s="3">
        <v>7.0</v>
      </c>
      <c r="F475" s="4"/>
      <c r="G475" s="3">
        <v>0.0</v>
      </c>
      <c r="H475" s="3">
        <v>1000.0</v>
      </c>
      <c r="I475" s="3" t="s">
        <v>110</v>
      </c>
      <c r="J475" s="3">
        <v>474.0</v>
      </c>
      <c r="K475" s="3">
        <v>0.0</v>
      </c>
      <c r="L475" s="3">
        <v>95.9</v>
      </c>
      <c r="M475" s="4" t="str">
        <f>Raw_Data!X475</f>
        <v>mww</v>
      </c>
      <c r="N475" s="3">
        <v>13.0</v>
      </c>
      <c r="O475" s="3">
        <v>28.696</v>
      </c>
      <c r="P475" s="3">
        <v>-113.104</v>
      </c>
      <c r="Q475" s="3" t="s">
        <v>1190</v>
      </c>
      <c r="R475" s="3" t="s">
        <v>233</v>
      </c>
      <c r="S475" s="3" t="s">
        <v>234</v>
      </c>
      <c r="T475" s="4" t="str">
        <f t="shared" si="2"/>
        <v>Valid</v>
      </c>
      <c r="U475" s="4">
        <f t="shared" si="3"/>
        <v>1</v>
      </c>
      <c r="V475" s="4" t="str">
        <f t="shared" si="4"/>
        <v>Unique</v>
      </c>
      <c r="W475" s="4" t="str">
        <f t="shared" si="5"/>
        <v>Unknown</v>
      </c>
      <c r="X475" s="4" t="str">
        <f t="shared" ref="X475:Z475" si="479">IF(Q475="","Unknown",Q475)</f>
        <v>San Luis, Mexico</v>
      </c>
      <c r="Y475" s="4" t="str">
        <f t="shared" si="479"/>
        <v>North America</v>
      </c>
      <c r="Z475" s="4" t="str">
        <f t="shared" si="479"/>
        <v>Mexico</v>
      </c>
      <c r="AA475" s="4" t="str">
        <f t="shared" si="7"/>
        <v>mww</v>
      </c>
    </row>
    <row r="476">
      <c r="A476" s="3" t="s">
        <v>1191</v>
      </c>
      <c r="B476" s="3">
        <v>6.5</v>
      </c>
      <c r="C476" s="19">
        <f>Raw_Data!T476</f>
        <v>41010.95486</v>
      </c>
      <c r="D476" s="3">
        <v>7.0</v>
      </c>
      <c r="E476" s="3">
        <v>6.0</v>
      </c>
      <c r="F476" s="4"/>
      <c r="G476" s="3">
        <v>0.0</v>
      </c>
      <c r="H476" s="3">
        <v>1171.0</v>
      </c>
      <c r="I476" s="3" t="s">
        <v>110</v>
      </c>
      <c r="J476" s="3">
        <v>599.0</v>
      </c>
      <c r="K476" s="3">
        <v>0.0</v>
      </c>
      <c r="L476" s="3">
        <v>54.1</v>
      </c>
      <c r="M476" s="4" t="str">
        <f>Raw_Data!X476</f>
        <v>mwb</v>
      </c>
      <c r="N476" s="3">
        <v>20.0</v>
      </c>
      <c r="O476" s="3">
        <v>18.229</v>
      </c>
      <c r="P476" s="3">
        <v>-102.689</v>
      </c>
      <c r="Q476" s="3" t="s">
        <v>1192</v>
      </c>
      <c r="R476" s="3" t="s">
        <v>233</v>
      </c>
      <c r="S476" s="3" t="s">
        <v>234</v>
      </c>
      <c r="T476" s="4" t="str">
        <f t="shared" si="2"/>
        <v>Valid</v>
      </c>
      <c r="U476" s="4">
        <f t="shared" si="3"/>
        <v>1</v>
      </c>
      <c r="V476" s="4" t="str">
        <f t="shared" si="4"/>
        <v>Unique</v>
      </c>
      <c r="W476" s="4" t="str">
        <f t="shared" si="5"/>
        <v>Unknown</v>
      </c>
      <c r="X476" s="4" t="str">
        <f t="shared" ref="X476:Z476" si="480">IF(Q476="","Unknown",Q476)</f>
        <v>El Habillal, Mexico</v>
      </c>
      <c r="Y476" s="4" t="str">
        <f t="shared" si="480"/>
        <v>North America</v>
      </c>
      <c r="Z476" s="4" t="str">
        <f t="shared" si="480"/>
        <v>Mexico</v>
      </c>
      <c r="AA476" s="4" t="str">
        <f t="shared" si="7"/>
        <v>mwb</v>
      </c>
    </row>
    <row r="477">
      <c r="A477" s="3" t="s">
        <v>1193</v>
      </c>
      <c r="B477" s="3">
        <v>8.2</v>
      </c>
      <c r="C477" s="19">
        <f>Raw_Data!T477</f>
        <v>41010.44653</v>
      </c>
      <c r="D477" s="3">
        <v>9.0</v>
      </c>
      <c r="E477" s="3">
        <v>6.0</v>
      </c>
      <c r="F477" s="3" t="s">
        <v>109</v>
      </c>
      <c r="G477" s="3">
        <v>0.0</v>
      </c>
      <c r="H477" s="3">
        <v>1213.0</v>
      </c>
      <c r="I477" s="3" t="s">
        <v>110</v>
      </c>
      <c r="J477" s="3">
        <v>341.0</v>
      </c>
      <c r="K477" s="3">
        <v>0.0</v>
      </c>
      <c r="L477" s="3">
        <v>14.9</v>
      </c>
      <c r="M477" s="4" t="str">
        <f>Raw_Data!X477</f>
        <v>mwc</v>
      </c>
      <c r="N477" s="3">
        <v>25.1</v>
      </c>
      <c r="O477" s="3">
        <v>0.802</v>
      </c>
      <c r="P477" s="3">
        <v>92.463</v>
      </c>
      <c r="Q477" s="3" t="s">
        <v>1194</v>
      </c>
      <c r="R477" s="4"/>
      <c r="S477" s="4"/>
      <c r="T477" s="4" t="str">
        <f t="shared" si="2"/>
        <v>Valid</v>
      </c>
      <c r="U477" s="4">
        <f t="shared" si="3"/>
        <v>1</v>
      </c>
      <c r="V477" s="4" t="str">
        <f t="shared" si="4"/>
        <v>Unique</v>
      </c>
      <c r="W477" s="4" t="str">
        <f t="shared" si="5"/>
        <v>green</v>
      </c>
      <c r="X477" s="4" t="str">
        <f t="shared" ref="X477:Z477" si="481">IF(Q477="","Unknown",Q477)</f>
        <v>off the west coast of northern Sumatra</v>
      </c>
      <c r="Y477" s="4" t="str">
        <f t="shared" si="481"/>
        <v>Unknown</v>
      </c>
      <c r="Z477" s="4" t="str">
        <f t="shared" si="481"/>
        <v>Unknown</v>
      </c>
      <c r="AA477" s="4" t="str">
        <f t="shared" si="7"/>
        <v>mwc</v>
      </c>
    </row>
    <row r="478">
      <c r="A478" s="3" t="s">
        <v>1195</v>
      </c>
      <c r="B478" s="3">
        <v>8.6</v>
      </c>
      <c r="C478" s="19">
        <f>Raw_Data!T478</f>
        <v>41010.35972</v>
      </c>
      <c r="D478" s="3">
        <v>9.0</v>
      </c>
      <c r="E478" s="3">
        <v>7.0</v>
      </c>
      <c r="F478" s="3" t="s">
        <v>116</v>
      </c>
      <c r="G478" s="3">
        <v>0.0</v>
      </c>
      <c r="H478" s="3">
        <v>2048.0</v>
      </c>
      <c r="I478" s="3" t="s">
        <v>1196</v>
      </c>
      <c r="J478" s="3">
        <v>499.0</v>
      </c>
      <c r="K478" s="3">
        <v>0.0</v>
      </c>
      <c r="L478" s="3">
        <v>16.6</v>
      </c>
      <c r="M478" s="4" t="str">
        <f>Raw_Data!X478</f>
        <v>mw</v>
      </c>
      <c r="N478" s="3">
        <v>20.0</v>
      </c>
      <c r="O478" s="3">
        <v>2.327</v>
      </c>
      <c r="P478" s="3">
        <v>93.063</v>
      </c>
      <c r="Q478" s="3" t="s">
        <v>1194</v>
      </c>
      <c r="R478" s="4"/>
      <c r="S478" s="4"/>
      <c r="T478" s="4" t="str">
        <f t="shared" si="2"/>
        <v>Valid</v>
      </c>
      <c r="U478" s="4">
        <f t="shared" si="3"/>
        <v>1</v>
      </c>
      <c r="V478" s="4" t="str">
        <f t="shared" si="4"/>
        <v>Unique</v>
      </c>
      <c r="W478" s="4" t="str">
        <f t="shared" si="5"/>
        <v>yellow</v>
      </c>
      <c r="X478" s="4" t="str">
        <f t="shared" ref="X478:Z478" si="482">IF(Q478="","Unknown",Q478)</f>
        <v>off the west coast of northern Sumatra</v>
      </c>
      <c r="Y478" s="4" t="str">
        <f t="shared" si="482"/>
        <v>Unknown</v>
      </c>
      <c r="Z478" s="4" t="str">
        <f t="shared" si="482"/>
        <v>Unknown</v>
      </c>
      <c r="AA478" s="4" t="str">
        <f t="shared" si="7"/>
        <v>mw</v>
      </c>
    </row>
    <row r="479">
      <c r="A479" s="3" t="s">
        <v>1197</v>
      </c>
      <c r="B479" s="3">
        <v>7.1</v>
      </c>
      <c r="C479" s="19">
        <f>Raw_Data!T479</f>
        <v>40993.94236</v>
      </c>
      <c r="D479" s="3">
        <v>7.0</v>
      </c>
      <c r="E479" s="3">
        <v>7.0</v>
      </c>
      <c r="F479" s="4"/>
      <c r="G479" s="3">
        <v>0.0</v>
      </c>
      <c r="H479" s="3">
        <v>1496.0</v>
      </c>
      <c r="I479" s="3" t="s">
        <v>110</v>
      </c>
      <c r="J479" s="3">
        <v>553.0</v>
      </c>
      <c r="K479" s="3">
        <v>0.0</v>
      </c>
      <c r="L479" s="3">
        <v>15.2</v>
      </c>
      <c r="M479" s="4" t="str">
        <f>Raw_Data!X479</f>
        <v>mww</v>
      </c>
      <c r="N479" s="3">
        <v>40.7</v>
      </c>
      <c r="O479" s="3">
        <v>-35.2</v>
      </c>
      <c r="P479" s="3">
        <v>-72.217</v>
      </c>
      <c r="Q479" s="3" t="s">
        <v>489</v>
      </c>
      <c r="R479" s="3" t="s">
        <v>121</v>
      </c>
      <c r="S479" s="3" t="s">
        <v>414</v>
      </c>
      <c r="T479" s="4" t="str">
        <f t="shared" si="2"/>
        <v>Valid</v>
      </c>
      <c r="U479" s="4">
        <f t="shared" si="3"/>
        <v>1</v>
      </c>
      <c r="V479" s="4" t="str">
        <f t="shared" si="4"/>
        <v>Unique</v>
      </c>
      <c r="W479" s="4" t="str">
        <f t="shared" si="5"/>
        <v>Unknown</v>
      </c>
      <c r="X479" s="4" t="str">
        <f t="shared" ref="X479:Z479" si="483">IF(Q479="","Unknown",Q479)</f>
        <v>Constitución, Chile</v>
      </c>
      <c r="Y479" s="4" t="str">
        <f t="shared" si="483"/>
        <v>South America</v>
      </c>
      <c r="Z479" s="4" t="str">
        <f t="shared" si="483"/>
        <v>Chile</v>
      </c>
      <c r="AA479" s="4" t="str">
        <f t="shared" si="7"/>
        <v>mww</v>
      </c>
    </row>
    <row r="480">
      <c r="A480" s="3" t="s">
        <v>1199</v>
      </c>
      <c r="B480" s="3">
        <v>6.6</v>
      </c>
      <c r="C480" s="19">
        <f>Raw_Data!T480</f>
        <v>40989.92708</v>
      </c>
      <c r="D480" s="3">
        <v>6.0</v>
      </c>
      <c r="E480" s="3">
        <v>6.0</v>
      </c>
      <c r="F480" s="4"/>
      <c r="G480" s="3">
        <v>0.0</v>
      </c>
      <c r="H480" s="3">
        <v>709.0</v>
      </c>
      <c r="I480" s="3" t="s">
        <v>110</v>
      </c>
      <c r="J480" s="3">
        <v>640.0</v>
      </c>
      <c r="K480" s="3">
        <v>0.0</v>
      </c>
      <c r="L480" s="3">
        <v>10.1</v>
      </c>
      <c r="M480" s="4" t="str">
        <f>Raw_Data!X480</f>
        <v>mww</v>
      </c>
      <c r="N480" s="3">
        <v>118.0</v>
      </c>
      <c r="O480" s="3">
        <v>-6.242</v>
      </c>
      <c r="P480" s="3">
        <v>145.955</v>
      </c>
      <c r="Q480" s="3" t="s">
        <v>248</v>
      </c>
      <c r="R480" s="4"/>
      <c r="S480" s="3" t="s">
        <v>168</v>
      </c>
      <c r="T480" s="4" t="str">
        <f t="shared" si="2"/>
        <v>Valid</v>
      </c>
      <c r="U480" s="4">
        <f t="shared" si="3"/>
        <v>1</v>
      </c>
      <c r="V480" s="4" t="str">
        <f t="shared" si="4"/>
        <v>Unique</v>
      </c>
      <c r="W480" s="4" t="str">
        <f t="shared" si="5"/>
        <v>Unknown</v>
      </c>
      <c r="X480" s="4" t="str">
        <f t="shared" ref="X480:Z480" si="484">IF(Q480="","Unknown",Q480)</f>
        <v>Kainantu, Papua New Guinea</v>
      </c>
      <c r="Y480" s="4" t="str">
        <f t="shared" si="484"/>
        <v>Unknown</v>
      </c>
      <c r="Z480" s="4" t="str">
        <f t="shared" si="484"/>
        <v>Papua New Guinea</v>
      </c>
      <c r="AA480" s="4" t="str">
        <f t="shared" si="7"/>
        <v>mww</v>
      </c>
    </row>
    <row r="481">
      <c r="A481" s="3" t="s">
        <v>1201</v>
      </c>
      <c r="B481" s="3">
        <v>7.4</v>
      </c>
      <c r="C481" s="19">
        <f>Raw_Data!T481</f>
        <v>40988.75139</v>
      </c>
      <c r="D481" s="3">
        <v>9.0</v>
      </c>
      <c r="E481" s="3">
        <v>8.0</v>
      </c>
      <c r="F481" s="4"/>
      <c r="G481" s="3">
        <v>0.0</v>
      </c>
      <c r="H481" s="3">
        <v>1752.0</v>
      </c>
      <c r="I481" s="3" t="s">
        <v>110</v>
      </c>
      <c r="J481" s="3">
        <v>672.0</v>
      </c>
      <c r="K481" s="3">
        <v>0.0</v>
      </c>
      <c r="L481" s="3">
        <v>37.9</v>
      </c>
      <c r="M481" s="4" t="str">
        <f>Raw_Data!X481</f>
        <v>mww</v>
      </c>
      <c r="N481" s="3">
        <v>20.0</v>
      </c>
      <c r="O481" s="3">
        <v>16.493</v>
      </c>
      <c r="P481" s="3">
        <v>-98.231</v>
      </c>
      <c r="Q481" s="3" t="s">
        <v>1203</v>
      </c>
      <c r="R481" s="3" t="s">
        <v>233</v>
      </c>
      <c r="S481" s="3" t="s">
        <v>234</v>
      </c>
      <c r="T481" s="4" t="str">
        <f t="shared" si="2"/>
        <v>Valid</v>
      </c>
      <c r="U481" s="4">
        <f t="shared" si="3"/>
        <v>1</v>
      </c>
      <c r="V481" s="4" t="str">
        <f t="shared" si="4"/>
        <v>Unique</v>
      </c>
      <c r="W481" s="4" t="str">
        <f t="shared" si="5"/>
        <v>Unknown</v>
      </c>
      <c r="X481" s="4" t="str">
        <f t="shared" ref="X481:Z481" si="485">IF(Q481="","Unknown",Q481)</f>
        <v>Santiago Llano Grande, Mexico</v>
      </c>
      <c r="Y481" s="4" t="str">
        <f t="shared" si="485"/>
        <v>North America</v>
      </c>
      <c r="Z481" s="4" t="str">
        <f t="shared" si="485"/>
        <v>Mexico</v>
      </c>
      <c r="AA481" s="4" t="str">
        <f t="shared" si="7"/>
        <v>mww</v>
      </c>
    </row>
    <row r="482">
      <c r="A482" s="3" t="s">
        <v>1204</v>
      </c>
      <c r="B482" s="3">
        <v>6.7</v>
      </c>
      <c r="C482" s="19">
        <f>Raw_Data!T482</f>
        <v>40965.26181</v>
      </c>
      <c r="D482" s="3">
        <v>7.0</v>
      </c>
      <c r="E482" s="3">
        <v>7.0</v>
      </c>
      <c r="F482" s="4"/>
      <c r="G482" s="3">
        <v>0.0</v>
      </c>
      <c r="H482" s="3">
        <v>833.0</v>
      </c>
      <c r="I482" s="3" t="s">
        <v>110</v>
      </c>
      <c r="J482" s="3">
        <v>596.0</v>
      </c>
      <c r="K482" s="3">
        <v>0.0</v>
      </c>
      <c r="L482" s="3">
        <v>13.4</v>
      </c>
      <c r="M482" s="4" t="str">
        <f>Raw_Data!X482</f>
        <v>mww</v>
      </c>
      <c r="N482" s="3">
        <v>12.0</v>
      </c>
      <c r="O482" s="3">
        <v>51.708</v>
      </c>
      <c r="P482" s="3">
        <v>95.991</v>
      </c>
      <c r="Q482" s="3" t="s">
        <v>1206</v>
      </c>
      <c r="R482" s="3" t="s">
        <v>164</v>
      </c>
      <c r="S482" s="3" t="s">
        <v>464</v>
      </c>
      <c r="T482" s="4" t="str">
        <f t="shared" si="2"/>
        <v>Valid</v>
      </c>
      <c r="U482" s="4">
        <f t="shared" si="3"/>
        <v>1</v>
      </c>
      <c r="V482" s="4" t="str">
        <f t="shared" si="4"/>
        <v>Unique</v>
      </c>
      <c r="W482" s="4" t="str">
        <f t="shared" si="5"/>
        <v>Unknown</v>
      </c>
      <c r="X482" s="4" t="str">
        <f t="shared" ref="X482:Z482" si="486">IF(Q482="","Unknown",Q482)</f>
        <v>Saryg-Sep, Russia</v>
      </c>
      <c r="Y482" s="4" t="str">
        <f t="shared" si="486"/>
        <v>Asia</v>
      </c>
      <c r="Z482" s="4" t="str">
        <f t="shared" si="486"/>
        <v>Russia</v>
      </c>
      <c r="AA482" s="4" t="str">
        <f t="shared" si="7"/>
        <v>mww</v>
      </c>
    </row>
    <row r="483">
      <c r="A483" s="3" t="s">
        <v>1207</v>
      </c>
      <c r="B483" s="3">
        <v>6.7</v>
      </c>
      <c r="C483" s="19">
        <f>Raw_Data!T483</f>
        <v>40945.15903</v>
      </c>
      <c r="D483" s="3">
        <v>9.0</v>
      </c>
      <c r="E483" s="3">
        <v>7.0</v>
      </c>
      <c r="F483" s="4"/>
      <c r="G483" s="3">
        <v>0.0</v>
      </c>
      <c r="H483" s="3">
        <v>1551.0</v>
      </c>
      <c r="I483" s="3" t="s">
        <v>110</v>
      </c>
      <c r="J483" s="3">
        <v>572.0</v>
      </c>
      <c r="K483" s="3">
        <v>0.0</v>
      </c>
      <c r="L483" s="3">
        <v>11.1</v>
      </c>
      <c r="M483" s="4" t="str">
        <f>Raw_Data!X483</f>
        <v>mww</v>
      </c>
      <c r="N483" s="3">
        <v>11.0</v>
      </c>
      <c r="O483" s="3">
        <v>9.999</v>
      </c>
      <c r="P483" s="3">
        <v>123.206</v>
      </c>
      <c r="Q483" s="3" t="s">
        <v>1208</v>
      </c>
      <c r="R483" s="4"/>
      <c r="S483" s="3" t="s">
        <v>258</v>
      </c>
      <c r="T483" s="4" t="str">
        <f t="shared" si="2"/>
        <v>Valid</v>
      </c>
      <c r="U483" s="4">
        <f t="shared" si="3"/>
        <v>1</v>
      </c>
      <c r="V483" s="4" t="str">
        <f t="shared" si="4"/>
        <v>Unique</v>
      </c>
      <c r="W483" s="4" t="str">
        <f t="shared" si="5"/>
        <v>Unknown</v>
      </c>
      <c r="X483" s="4" t="str">
        <f t="shared" ref="X483:Z483" si="487">IF(Q483="","Unknown",Q483)</f>
        <v>Jimalalud, Philippines</v>
      </c>
      <c r="Y483" s="4" t="str">
        <f t="shared" si="487"/>
        <v>Unknown</v>
      </c>
      <c r="Z483" s="4" t="str">
        <f t="shared" si="487"/>
        <v>Philippines</v>
      </c>
      <c r="AA483" s="4" t="str">
        <f t="shared" si="7"/>
        <v>mww</v>
      </c>
    </row>
    <row r="484">
      <c r="A484" s="3" t="s">
        <v>1209</v>
      </c>
      <c r="B484" s="3">
        <v>7.1</v>
      </c>
      <c r="C484" s="19">
        <f>Raw_Data!T484</f>
        <v>40941.56528</v>
      </c>
      <c r="D484" s="3">
        <v>5.0</v>
      </c>
      <c r="E484" s="3">
        <v>5.0</v>
      </c>
      <c r="F484" s="4"/>
      <c r="G484" s="3">
        <v>0.0</v>
      </c>
      <c r="H484" s="3">
        <v>793.0</v>
      </c>
      <c r="I484" s="3" t="s">
        <v>110</v>
      </c>
      <c r="J484" s="3">
        <v>573.0</v>
      </c>
      <c r="K484" s="3">
        <v>0.0</v>
      </c>
      <c r="L484" s="3">
        <v>12.0</v>
      </c>
      <c r="M484" s="4" t="str">
        <f>Raw_Data!X484</f>
        <v>mww</v>
      </c>
      <c r="N484" s="3">
        <v>23.0</v>
      </c>
      <c r="O484" s="3">
        <v>-17.827</v>
      </c>
      <c r="P484" s="3">
        <v>167.133</v>
      </c>
      <c r="Q484" s="3" t="s">
        <v>948</v>
      </c>
      <c r="R484" s="4"/>
      <c r="S484" s="4"/>
      <c r="T484" s="4" t="str">
        <f t="shared" si="2"/>
        <v>Valid</v>
      </c>
      <c r="U484" s="4">
        <f t="shared" si="3"/>
        <v>1</v>
      </c>
      <c r="V484" s="4" t="str">
        <f t="shared" si="4"/>
        <v>Unique</v>
      </c>
      <c r="W484" s="4" t="str">
        <f t="shared" si="5"/>
        <v>Unknown</v>
      </c>
      <c r="X484" s="4" t="str">
        <f t="shared" ref="X484:Z484" si="488">IF(Q484="","Unknown",Q484)</f>
        <v>Port-Vila, Vanuatu</v>
      </c>
      <c r="Y484" s="4" t="str">
        <f t="shared" si="488"/>
        <v>Unknown</v>
      </c>
      <c r="Z484" s="4" t="str">
        <f t="shared" si="488"/>
        <v>Unknown</v>
      </c>
      <c r="AA484" s="4" t="str">
        <f t="shared" si="7"/>
        <v>mww</v>
      </c>
    </row>
    <row r="485">
      <c r="A485" s="3" t="s">
        <v>1210</v>
      </c>
      <c r="B485" s="3">
        <v>7.2</v>
      </c>
      <c r="C485" s="19">
        <f>Raw_Data!T485</f>
        <v>40918.775</v>
      </c>
      <c r="D485" s="3">
        <v>4.0</v>
      </c>
      <c r="E485" s="3">
        <v>4.0</v>
      </c>
      <c r="F485" s="4"/>
      <c r="G485" s="3">
        <v>0.0</v>
      </c>
      <c r="H485" s="3">
        <v>838.0</v>
      </c>
      <c r="I485" s="3" t="s">
        <v>110</v>
      </c>
      <c r="J485" s="3">
        <v>443.0</v>
      </c>
      <c r="K485" s="3">
        <v>0.0</v>
      </c>
      <c r="L485" s="3">
        <v>17.0</v>
      </c>
      <c r="M485" s="4" t="str">
        <f>Raw_Data!X485</f>
        <v>mww</v>
      </c>
      <c r="N485" s="3">
        <v>19.0</v>
      </c>
      <c r="O485" s="3">
        <v>2.433</v>
      </c>
      <c r="P485" s="3">
        <v>93.21</v>
      </c>
      <c r="Q485" s="3" t="s">
        <v>1194</v>
      </c>
      <c r="R485" s="4"/>
      <c r="S485" s="4"/>
      <c r="T485" s="4" t="str">
        <f t="shared" si="2"/>
        <v>Valid</v>
      </c>
      <c r="U485" s="4">
        <f t="shared" si="3"/>
        <v>1</v>
      </c>
      <c r="V485" s="4" t="str">
        <f t="shared" si="4"/>
        <v>Unique</v>
      </c>
      <c r="W485" s="4" t="str">
        <f t="shared" si="5"/>
        <v>Unknown</v>
      </c>
      <c r="X485" s="4" t="str">
        <f t="shared" ref="X485:Z485" si="489">IF(Q485="","Unknown",Q485)</f>
        <v>off the west coast of northern Sumatra</v>
      </c>
      <c r="Y485" s="4" t="str">
        <f t="shared" si="489"/>
        <v>Unknown</v>
      </c>
      <c r="Z485" s="4" t="str">
        <f t="shared" si="489"/>
        <v>Unknown</v>
      </c>
      <c r="AA485" s="4" t="str">
        <f t="shared" si="7"/>
        <v>mww</v>
      </c>
    </row>
    <row r="486">
      <c r="A486" s="3" t="s">
        <v>1211</v>
      </c>
      <c r="B486" s="3">
        <v>6.6</v>
      </c>
      <c r="C486" s="19">
        <f>Raw_Data!T486</f>
        <v>40904.63958</v>
      </c>
      <c r="D486" s="3">
        <v>0.0</v>
      </c>
      <c r="E486" s="3">
        <v>7.0</v>
      </c>
      <c r="F486" s="4"/>
      <c r="G486" s="3">
        <v>0.0</v>
      </c>
      <c r="H486" s="3">
        <v>670.0</v>
      </c>
      <c r="I486" s="3" t="s">
        <v>110</v>
      </c>
      <c r="J486" s="3">
        <v>545.0</v>
      </c>
      <c r="K486" s="3">
        <v>0.0</v>
      </c>
      <c r="L486" s="3">
        <v>17.6</v>
      </c>
      <c r="M486" s="4" t="str">
        <f>Raw_Data!X486</f>
        <v>mww</v>
      </c>
      <c r="N486" s="3">
        <v>15.0</v>
      </c>
      <c r="O486" s="3">
        <v>51.842</v>
      </c>
      <c r="P486" s="3">
        <v>95.911</v>
      </c>
      <c r="Q486" s="3" t="s">
        <v>1206</v>
      </c>
      <c r="R486" s="3" t="s">
        <v>164</v>
      </c>
      <c r="S486" s="3" t="s">
        <v>464</v>
      </c>
      <c r="T486" s="4" t="str">
        <f t="shared" si="2"/>
        <v>Valid</v>
      </c>
      <c r="U486" s="4">
        <f t="shared" si="3"/>
        <v>1</v>
      </c>
      <c r="V486" s="4" t="str">
        <f t="shared" si="4"/>
        <v>Unique</v>
      </c>
      <c r="W486" s="4" t="str">
        <f t="shared" si="5"/>
        <v>Unknown</v>
      </c>
      <c r="X486" s="4" t="str">
        <f t="shared" ref="X486:Z486" si="490">IF(Q486="","Unknown",Q486)</f>
        <v>Saryg-Sep, Russia</v>
      </c>
      <c r="Y486" s="4" t="str">
        <f t="shared" si="490"/>
        <v>Asia</v>
      </c>
      <c r="Z486" s="4" t="str">
        <f t="shared" si="490"/>
        <v>Russia</v>
      </c>
      <c r="AA486" s="4" t="str">
        <f t="shared" si="7"/>
        <v>mww</v>
      </c>
    </row>
    <row r="487">
      <c r="A487" s="3" t="s">
        <v>1213</v>
      </c>
      <c r="B487" s="3">
        <v>7.1</v>
      </c>
      <c r="C487" s="19">
        <f>Raw_Data!T487</f>
        <v>40891.21111</v>
      </c>
      <c r="D487" s="3">
        <v>6.0</v>
      </c>
      <c r="E487" s="3">
        <v>6.0</v>
      </c>
      <c r="F487" s="4"/>
      <c r="G487" s="3">
        <v>0.0</v>
      </c>
      <c r="H487" s="3">
        <v>834.0</v>
      </c>
      <c r="I487" s="3" t="s">
        <v>110</v>
      </c>
      <c r="J487" s="3">
        <v>485.0</v>
      </c>
      <c r="K487" s="3">
        <v>0.0</v>
      </c>
      <c r="L487" s="3">
        <v>10.6</v>
      </c>
      <c r="M487" s="4" t="str">
        <f>Raw_Data!X487</f>
        <v>mww</v>
      </c>
      <c r="N487" s="3">
        <v>135.0</v>
      </c>
      <c r="O487" s="3">
        <v>-7.551</v>
      </c>
      <c r="P487" s="3">
        <v>146.809</v>
      </c>
      <c r="Q487" s="3" t="s">
        <v>1215</v>
      </c>
      <c r="R487" s="4"/>
      <c r="S487" s="3" t="s">
        <v>168</v>
      </c>
      <c r="T487" s="4" t="str">
        <f t="shared" si="2"/>
        <v>Valid</v>
      </c>
      <c r="U487" s="4">
        <f t="shared" si="3"/>
        <v>1</v>
      </c>
      <c r="V487" s="4" t="str">
        <f t="shared" si="4"/>
        <v>Unique</v>
      </c>
      <c r="W487" s="4" t="str">
        <f t="shared" si="5"/>
        <v>Unknown</v>
      </c>
      <c r="X487" s="4" t="str">
        <f t="shared" ref="X487:Z487" si="491">IF(Q487="","Unknown",Q487)</f>
        <v>Wau, Papua New Guinea</v>
      </c>
      <c r="Y487" s="4" t="str">
        <f t="shared" si="491"/>
        <v>Unknown</v>
      </c>
      <c r="Z487" s="4" t="str">
        <f t="shared" si="491"/>
        <v>Papua New Guinea</v>
      </c>
      <c r="AA487" s="4" t="str">
        <f t="shared" si="7"/>
        <v>mww</v>
      </c>
    </row>
    <row r="488">
      <c r="A488" s="3" t="s">
        <v>1216</v>
      </c>
      <c r="B488" s="3">
        <v>6.5</v>
      </c>
      <c r="C488" s="19">
        <f>Raw_Data!T488</f>
        <v>40888.07431</v>
      </c>
      <c r="D488" s="3">
        <v>8.0</v>
      </c>
      <c r="E488" s="3">
        <v>7.0</v>
      </c>
      <c r="F488" s="4"/>
      <c r="G488" s="3">
        <v>0.0</v>
      </c>
      <c r="H488" s="3">
        <v>1400.0</v>
      </c>
      <c r="I488" s="3" t="s">
        <v>110</v>
      </c>
      <c r="J488" s="3">
        <v>578.0</v>
      </c>
      <c r="K488" s="3">
        <v>0.0</v>
      </c>
      <c r="L488" s="3">
        <v>38.6</v>
      </c>
      <c r="M488" s="4" t="str">
        <f>Raw_Data!X488</f>
        <v>mww</v>
      </c>
      <c r="N488" s="3">
        <v>59.0</v>
      </c>
      <c r="O488" s="3">
        <v>17.986</v>
      </c>
      <c r="P488" s="3">
        <v>-99.789</v>
      </c>
      <c r="Q488" s="3" t="s">
        <v>1217</v>
      </c>
      <c r="R488" s="3" t="s">
        <v>233</v>
      </c>
      <c r="S488" s="3" t="s">
        <v>234</v>
      </c>
      <c r="T488" s="4" t="str">
        <f t="shared" si="2"/>
        <v>Valid</v>
      </c>
      <c r="U488" s="4">
        <f t="shared" si="3"/>
        <v>1</v>
      </c>
      <c r="V488" s="4" t="str">
        <f t="shared" si="4"/>
        <v>Unique</v>
      </c>
      <c r="W488" s="4" t="str">
        <f t="shared" si="5"/>
        <v>Unknown</v>
      </c>
      <c r="X488" s="4" t="str">
        <f t="shared" ref="X488:Z488" si="492">IF(Q488="","Unknown",Q488)</f>
        <v>Nuevo Balsas, Mexico</v>
      </c>
      <c r="Y488" s="4" t="str">
        <f t="shared" si="492"/>
        <v>North America</v>
      </c>
      <c r="Z488" s="4" t="str">
        <f t="shared" si="492"/>
        <v>Mexico</v>
      </c>
      <c r="AA488" s="4" t="str">
        <f t="shared" si="7"/>
        <v>mww</v>
      </c>
    </row>
    <row r="489">
      <c r="A489" s="3" t="s">
        <v>1218</v>
      </c>
      <c r="B489" s="3">
        <v>6.9</v>
      </c>
      <c r="C489" s="19">
        <f>Raw_Data!T489</f>
        <v>40844.7875</v>
      </c>
      <c r="D489" s="3">
        <v>6.0</v>
      </c>
      <c r="E489" s="3">
        <v>7.0</v>
      </c>
      <c r="F489" s="4"/>
      <c r="G489" s="3">
        <v>0.0</v>
      </c>
      <c r="H489" s="3">
        <v>847.0</v>
      </c>
      <c r="I489" s="3" t="s">
        <v>110</v>
      </c>
      <c r="J489" s="3">
        <v>474.0</v>
      </c>
      <c r="K489" s="3">
        <v>0.0</v>
      </c>
      <c r="L489" s="3">
        <v>46.5</v>
      </c>
      <c r="M489" s="4" t="str">
        <f>Raw_Data!X489</f>
        <v>mww</v>
      </c>
      <c r="N489" s="3">
        <v>24.0</v>
      </c>
      <c r="O489" s="3">
        <v>-14.438</v>
      </c>
      <c r="P489" s="3">
        <v>-75.966</v>
      </c>
      <c r="Q489" s="3" t="s">
        <v>1220</v>
      </c>
      <c r="R489" s="3" t="s">
        <v>121</v>
      </c>
      <c r="S489" s="3" t="s">
        <v>265</v>
      </c>
      <c r="T489" s="4" t="str">
        <f t="shared" si="2"/>
        <v>Valid</v>
      </c>
      <c r="U489" s="4">
        <f t="shared" si="3"/>
        <v>1</v>
      </c>
      <c r="V489" s="4" t="str">
        <f t="shared" si="4"/>
        <v>Unique</v>
      </c>
      <c r="W489" s="4" t="str">
        <f t="shared" si="5"/>
        <v>Unknown</v>
      </c>
      <c r="X489" s="4" t="str">
        <f t="shared" ref="X489:Z489" si="493">IF(Q489="","Unknown",Q489)</f>
        <v>Santiago, Peru</v>
      </c>
      <c r="Y489" s="4" t="str">
        <f t="shared" si="493"/>
        <v>South America</v>
      </c>
      <c r="Z489" s="4" t="str">
        <f t="shared" si="493"/>
        <v>Peru</v>
      </c>
      <c r="AA489" s="4" t="str">
        <f t="shared" si="7"/>
        <v>mww</v>
      </c>
    </row>
    <row r="490">
      <c r="A490" s="3" t="s">
        <v>1221</v>
      </c>
      <c r="B490" s="3">
        <v>7.1</v>
      </c>
      <c r="C490" s="19">
        <f>Raw_Data!T490</f>
        <v>40839.44514</v>
      </c>
      <c r="D490" s="3">
        <v>9.0</v>
      </c>
      <c r="E490" s="3">
        <v>9.0</v>
      </c>
      <c r="F490" s="4"/>
      <c r="G490" s="3">
        <v>0.0</v>
      </c>
      <c r="H490" s="3">
        <v>1096.0</v>
      </c>
      <c r="I490" s="3" t="s">
        <v>110</v>
      </c>
      <c r="J490" s="3">
        <v>693.0</v>
      </c>
      <c r="K490" s="3">
        <v>0.0</v>
      </c>
      <c r="L490" s="3">
        <v>19.7</v>
      </c>
      <c r="M490" s="4" t="str">
        <f>Raw_Data!X490</f>
        <v>mww</v>
      </c>
      <c r="N490" s="3">
        <v>18.0</v>
      </c>
      <c r="O490" s="3">
        <v>38.721</v>
      </c>
      <c r="P490" s="3">
        <v>43.508</v>
      </c>
      <c r="Q490" s="3" t="s">
        <v>1223</v>
      </c>
      <c r="R490" s="3" t="s">
        <v>164</v>
      </c>
      <c r="S490" s="3" t="s">
        <v>471</v>
      </c>
      <c r="T490" s="4" t="str">
        <f t="shared" si="2"/>
        <v>Valid</v>
      </c>
      <c r="U490" s="4">
        <f t="shared" si="3"/>
        <v>1</v>
      </c>
      <c r="V490" s="4" t="str">
        <f t="shared" si="4"/>
        <v>Unique</v>
      </c>
      <c r="W490" s="4" t="str">
        <f t="shared" si="5"/>
        <v>Unknown</v>
      </c>
      <c r="X490" s="4" t="str">
        <f t="shared" ref="X490:Z490" si="494">IF(Q490="","Unknown",Q490)</f>
        <v>Van, Turkey</v>
      </c>
      <c r="Y490" s="4" t="str">
        <f t="shared" si="494"/>
        <v>Asia</v>
      </c>
      <c r="Z490" s="4" t="str">
        <f t="shared" si="494"/>
        <v>Turkey</v>
      </c>
      <c r="AA490" s="4" t="str">
        <f t="shared" si="7"/>
        <v>mww</v>
      </c>
    </row>
    <row r="491">
      <c r="A491" s="3" t="s">
        <v>1224</v>
      </c>
      <c r="B491" s="3">
        <v>6.5</v>
      </c>
      <c r="C491" s="19">
        <f>Raw_Data!T491</f>
        <v>40830.14931</v>
      </c>
      <c r="D491" s="3">
        <v>3.0</v>
      </c>
      <c r="E491" s="3">
        <v>6.0</v>
      </c>
      <c r="F491" s="4"/>
      <c r="G491" s="3">
        <v>0.0</v>
      </c>
      <c r="H491" s="3">
        <v>655.0</v>
      </c>
      <c r="I491" s="3" t="s">
        <v>110</v>
      </c>
      <c r="J491" s="3">
        <v>423.0</v>
      </c>
      <c r="K491" s="3">
        <v>0.0</v>
      </c>
      <c r="L491" s="3">
        <v>12.6</v>
      </c>
      <c r="M491" s="4" t="str">
        <f>Raw_Data!X491</f>
        <v>mww</v>
      </c>
      <c r="N491" s="3">
        <v>37.0</v>
      </c>
      <c r="O491" s="3">
        <v>-6.57</v>
      </c>
      <c r="P491" s="3">
        <v>147.881</v>
      </c>
      <c r="Q491" s="3" t="s">
        <v>965</v>
      </c>
      <c r="R491" s="4"/>
      <c r="S491" s="3" t="s">
        <v>168</v>
      </c>
      <c r="T491" s="4" t="str">
        <f t="shared" si="2"/>
        <v>Valid</v>
      </c>
      <c r="U491" s="4">
        <f t="shared" si="3"/>
        <v>1</v>
      </c>
      <c r="V491" s="4" t="str">
        <f t="shared" si="4"/>
        <v>Unique</v>
      </c>
      <c r="W491" s="4" t="str">
        <f t="shared" si="5"/>
        <v>Unknown</v>
      </c>
      <c r="X491" s="4" t="str">
        <f t="shared" ref="X491:Z491" si="495">IF(Q491="","Unknown",Q491)</f>
        <v>Finschhafen, Papua New Guinea</v>
      </c>
      <c r="Y491" s="4" t="str">
        <f t="shared" si="495"/>
        <v>Unknown</v>
      </c>
      <c r="Z491" s="4" t="str">
        <f t="shared" si="495"/>
        <v>Papua New Guinea</v>
      </c>
      <c r="AA491" s="4" t="str">
        <f t="shared" si="7"/>
        <v>mww</v>
      </c>
    </row>
    <row r="492">
      <c r="A492" s="3" t="s">
        <v>1226</v>
      </c>
      <c r="B492" s="3">
        <v>6.9</v>
      </c>
      <c r="C492" s="19">
        <f>Raw_Data!T492</f>
        <v>40804.52778</v>
      </c>
      <c r="D492" s="3">
        <v>8.0</v>
      </c>
      <c r="E492" s="3">
        <v>8.0</v>
      </c>
      <c r="F492" s="4"/>
      <c r="G492" s="3">
        <v>0.0</v>
      </c>
      <c r="H492" s="3">
        <v>1562.0</v>
      </c>
      <c r="I492" s="3" t="s">
        <v>110</v>
      </c>
      <c r="J492" s="3">
        <v>383.0</v>
      </c>
      <c r="K492" s="3">
        <v>0.0</v>
      </c>
      <c r="L492" s="3">
        <v>13.0</v>
      </c>
      <c r="M492" s="4" t="str">
        <f>Raw_Data!X492</f>
        <v>mww</v>
      </c>
      <c r="N492" s="3">
        <v>50.0</v>
      </c>
      <c r="O492" s="3">
        <v>27.73</v>
      </c>
      <c r="P492" s="3">
        <v>88.155</v>
      </c>
      <c r="Q492" s="3" t="s">
        <v>1228</v>
      </c>
      <c r="R492" s="3" t="s">
        <v>164</v>
      </c>
      <c r="S492" s="3" t="s">
        <v>835</v>
      </c>
      <c r="T492" s="4" t="str">
        <f t="shared" si="2"/>
        <v>Valid</v>
      </c>
      <c r="U492" s="4">
        <f t="shared" si="3"/>
        <v>1</v>
      </c>
      <c r="V492" s="4" t="str">
        <f t="shared" si="4"/>
        <v>Unique</v>
      </c>
      <c r="W492" s="4" t="str">
        <f t="shared" si="5"/>
        <v>Unknown</v>
      </c>
      <c r="X492" s="4" t="str">
        <f t="shared" ref="X492:Z492" si="496">IF(Q492="","Unknown",Q492)</f>
        <v>Mangan, India</v>
      </c>
      <c r="Y492" s="4" t="str">
        <f t="shared" si="496"/>
        <v>Asia</v>
      </c>
      <c r="Z492" s="4" t="str">
        <f t="shared" si="496"/>
        <v>India</v>
      </c>
      <c r="AA492" s="4" t="str">
        <f t="shared" si="7"/>
        <v>mww</v>
      </c>
    </row>
    <row r="493">
      <c r="A493" s="3" t="s">
        <v>1229</v>
      </c>
      <c r="B493" s="3">
        <v>6.7</v>
      </c>
      <c r="C493" s="19">
        <f>Raw_Data!T493</f>
        <v>40802.80972</v>
      </c>
      <c r="D493" s="3">
        <v>5.0</v>
      </c>
      <c r="E493" s="3">
        <v>5.0</v>
      </c>
      <c r="F493" s="4"/>
      <c r="G493" s="3">
        <v>0.0</v>
      </c>
      <c r="H493" s="3">
        <v>712.0</v>
      </c>
      <c r="I493" s="3" t="s">
        <v>110</v>
      </c>
      <c r="J493" s="3">
        <v>667.0</v>
      </c>
      <c r="K493" s="3">
        <v>0.0</v>
      </c>
      <c r="L493" s="3">
        <v>10.9</v>
      </c>
      <c r="M493" s="4" t="str">
        <f>Raw_Data!X493</f>
        <v>mwc</v>
      </c>
      <c r="N493" s="3">
        <v>30.0</v>
      </c>
      <c r="O493" s="3">
        <v>40.273</v>
      </c>
      <c r="P493" s="3">
        <v>142.779</v>
      </c>
      <c r="Q493" s="3" t="s">
        <v>943</v>
      </c>
      <c r="R493" s="4"/>
      <c r="S493" s="4"/>
      <c r="T493" s="4" t="str">
        <f t="shared" si="2"/>
        <v>Valid</v>
      </c>
      <c r="U493" s="4">
        <f t="shared" si="3"/>
        <v>1</v>
      </c>
      <c r="V493" s="4" t="str">
        <f t="shared" si="4"/>
        <v>Unique</v>
      </c>
      <c r="W493" s="4" t="str">
        <f t="shared" si="5"/>
        <v>Unknown</v>
      </c>
      <c r="X493" s="4" t="str">
        <f t="shared" ref="X493:Z493" si="497">IF(Q493="","Unknown",Q493)</f>
        <v>Miyako, Japan</v>
      </c>
      <c r="Y493" s="4" t="str">
        <f t="shared" si="497"/>
        <v>Unknown</v>
      </c>
      <c r="Z493" s="4" t="str">
        <f t="shared" si="497"/>
        <v>Unknown</v>
      </c>
      <c r="AA493" s="4" t="str">
        <f t="shared" si="7"/>
        <v>mwc</v>
      </c>
    </row>
    <row r="494">
      <c r="A494" s="3" t="s">
        <v>1231</v>
      </c>
      <c r="B494" s="3">
        <v>6.7</v>
      </c>
      <c r="C494" s="19">
        <f>Raw_Data!T494</f>
        <v>40791.74653</v>
      </c>
      <c r="D494" s="3">
        <v>5.0</v>
      </c>
      <c r="E494" s="3">
        <v>6.0</v>
      </c>
      <c r="F494" s="4"/>
      <c r="G494" s="3">
        <v>0.0</v>
      </c>
      <c r="H494" s="3">
        <v>915.0</v>
      </c>
      <c r="I494" s="3" t="s">
        <v>110</v>
      </c>
      <c r="J494" s="3">
        <v>447.0</v>
      </c>
      <c r="K494" s="3">
        <v>0.0</v>
      </c>
      <c r="L494" s="3">
        <v>15.3</v>
      </c>
      <c r="M494" s="4" t="str">
        <f>Raw_Data!X494</f>
        <v>mww</v>
      </c>
      <c r="N494" s="3">
        <v>91.0</v>
      </c>
      <c r="O494" s="3">
        <v>2.965</v>
      </c>
      <c r="P494" s="3">
        <v>97.893</v>
      </c>
      <c r="Q494" s="3" t="s">
        <v>1232</v>
      </c>
      <c r="R494" s="4"/>
      <c r="S494" s="3" t="s">
        <v>153</v>
      </c>
      <c r="T494" s="4" t="str">
        <f t="shared" si="2"/>
        <v>Valid</v>
      </c>
      <c r="U494" s="4">
        <f t="shared" si="3"/>
        <v>1</v>
      </c>
      <c r="V494" s="4" t="str">
        <f t="shared" si="4"/>
        <v>Unique</v>
      </c>
      <c r="W494" s="4" t="str">
        <f t="shared" si="5"/>
        <v>Unknown</v>
      </c>
      <c r="X494" s="4" t="str">
        <f t="shared" ref="X494:Z494" si="498">IF(Q494="","Unknown",Q494)</f>
        <v>Kabanjahe, Indonesia</v>
      </c>
      <c r="Y494" s="4" t="str">
        <f t="shared" si="498"/>
        <v>Unknown</v>
      </c>
      <c r="Z494" s="4" t="str">
        <f t="shared" si="498"/>
        <v>Indonesia</v>
      </c>
      <c r="AA494" s="4" t="str">
        <f t="shared" si="7"/>
        <v>mww</v>
      </c>
    </row>
    <row r="495">
      <c r="A495" s="3" t="s">
        <v>1233</v>
      </c>
      <c r="B495" s="3">
        <v>7.0</v>
      </c>
      <c r="C495" s="19">
        <f>Raw_Data!T495</f>
        <v>40789.95486</v>
      </c>
      <c r="D495" s="3">
        <v>7.0</v>
      </c>
      <c r="E495" s="3">
        <v>5.0</v>
      </c>
      <c r="F495" s="4"/>
      <c r="G495" s="3">
        <v>0.0</v>
      </c>
      <c r="H495" s="3">
        <v>761.0</v>
      </c>
      <c r="I495" s="3" t="s">
        <v>110</v>
      </c>
      <c r="J495" s="3">
        <v>406.0</v>
      </c>
      <c r="K495" s="3">
        <v>0.0</v>
      </c>
      <c r="L495" s="3">
        <v>15.3</v>
      </c>
      <c r="M495" s="4" t="str">
        <f>Raw_Data!X495</f>
        <v>mww</v>
      </c>
      <c r="N495" s="3">
        <v>185.1</v>
      </c>
      <c r="O495" s="3">
        <v>-20.671</v>
      </c>
      <c r="P495" s="3">
        <v>169.716</v>
      </c>
      <c r="Q495" s="3" t="s">
        <v>246</v>
      </c>
      <c r="R495" s="4"/>
      <c r="S495" s="4"/>
      <c r="T495" s="4" t="str">
        <f t="shared" si="2"/>
        <v>Valid</v>
      </c>
      <c r="U495" s="4">
        <f t="shared" si="3"/>
        <v>1</v>
      </c>
      <c r="V495" s="4" t="str">
        <f t="shared" si="4"/>
        <v>Unique</v>
      </c>
      <c r="W495" s="4" t="str">
        <f t="shared" si="5"/>
        <v>Unknown</v>
      </c>
      <c r="X495" s="4" t="str">
        <f t="shared" ref="X495:Z495" si="499">IF(Q495="","Unknown",Q495)</f>
        <v>Isangel, Vanuatu</v>
      </c>
      <c r="Y495" s="4" t="str">
        <f t="shared" si="499"/>
        <v>Unknown</v>
      </c>
      <c r="Z495" s="4" t="str">
        <f t="shared" si="499"/>
        <v>Unknown</v>
      </c>
      <c r="AA495" s="4" t="str">
        <f t="shared" si="7"/>
        <v>mww</v>
      </c>
    </row>
    <row r="496">
      <c r="A496" s="3" t="s">
        <v>1234</v>
      </c>
      <c r="B496" s="3">
        <v>7.0</v>
      </c>
      <c r="C496" s="19">
        <f>Raw_Data!T496</f>
        <v>40779.74028</v>
      </c>
      <c r="D496" s="3">
        <v>6.0</v>
      </c>
      <c r="E496" s="3">
        <v>6.0</v>
      </c>
      <c r="F496" s="4"/>
      <c r="G496" s="3">
        <v>0.0</v>
      </c>
      <c r="H496" s="3">
        <v>913.0</v>
      </c>
      <c r="I496" s="3" t="s">
        <v>110</v>
      </c>
      <c r="J496" s="3">
        <v>471.0</v>
      </c>
      <c r="K496" s="3">
        <v>0.0</v>
      </c>
      <c r="L496" s="3">
        <v>26.9</v>
      </c>
      <c r="M496" s="4" t="str">
        <f>Raw_Data!X496</f>
        <v>mww</v>
      </c>
      <c r="N496" s="3">
        <v>147.0</v>
      </c>
      <c r="O496" s="3">
        <v>-7.641</v>
      </c>
      <c r="P496" s="3">
        <v>-74.525</v>
      </c>
      <c r="Q496" s="3" t="s">
        <v>1236</v>
      </c>
      <c r="R496" s="3" t="s">
        <v>121</v>
      </c>
      <c r="S496" s="3" t="s">
        <v>265</v>
      </c>
      <c r="T496" s="4" t="str">
        <f t="shared" si="2"/>
        <v>Valid</v>
      </c>
      <c r="U496" s="4">
        <f t="shared" si="3"/>
        <v>1</v>
      </c>
      <c r="V496" s="4" t="str">
        <f t="shared" si="4"/>
        <v>Unique</v>
      </c>
      <c r="W496" s="4" t="str">
        <f t="shared" si="5"/>
        <v>Unknown</v>
      </c>
      <c r="X496" s="4" t="str">
        <f t="shared" ref="X496:Z496" si="500">IF(Q496="","Unknown",Q496)</f>
        <v>Contamana, Peru</v>
      </c>
      <c r="Y496" s="4" t="str">
        <f t="shared" si="500"/>
        <v>South America</v>
      </c>
      <c r="Z496" s="4" t="str">
        <f t="shared" si="500"/>
        <v>Peru</v>
      </c>
      <c r="AA496" s="4" t="str">
        <f t="shared" si="7"/>
        <v>mww</v>
      </c>
    </row>
    <row r="497">
      <c r="A497" s="3" t="s">
        <v>1237</v>
      </c>
      <c r="B497" s="3">
        <v>7.1</v>
      </c>
      <c r="C497" s="19">
        <f>Raw_Data!T497</f>
        <v>40775.76319</v>
      </c>
      <c r="D497" s="3">
        <v>5.0</v>
      </c>
      <c r="E497" s="3">
        <v>6.0</v>
      </c>
      <c r="F497" s="4"/>
      <c r="G497" s="3">
        <v>0.0</v>
      </c>
      <c r="H497" s="3">
        <v>787.0</v>
      </c>
      <c r="I497" s="3" t="s">
        <v>110</v>
      </c>
      <c r="J497" s="3">
        <v>564.0</v>
      </c>
      <c r="K497" s="3">
        <v>0.0</v>
      </c>
      <c r="L497" s="3">
        <v>12.3</v>
      </c>
      <c r="M497" s="4" t="str">
        <f>Raw_Data!X497</f>
        <v>mww</v>
      </c>
      <c r="N497" s="3">
        <v>28.0</v>
      </c>
      <c r="O497" s="3">
        <v>-18.311</v>
      </c>
      <c r="P497" s="3">
        <v>168.218</v>
      </c>
      <c r="Q497" s="3" t="s">
        <v>948</v>
      </c>
      <c r="R497" s="4"/>
      <c r="S497" s="4"/>
      <c r="T497" s="4" t="str">
        <f t="shared" si="2"/>
        <v>Valid</v>
      </c>
      <c r="U497" s="4">
        <f t="shared" si="3"/>
        <v>1</v>
      </c>
      <c r="V497" s="4" t="str">
        <f t="shared" si="4"/>
        <v>Unique</v>
      </c>
      <c r="W497" s="4" t="str">
        <f t="shared" si="5"/>
        <v>Unknown</v>
      </c>
      <c r="X497" s="4" t="str">
        <f t="shared" ref="X497:Z497" si="501">IF(Q497="","Unknown",Q497)</f>
        <v>Port-Vila, Vanuatu</v>
      </c>
      <c r="Y497" s="4" t="str">
        <f t="shared" si="501"/>
        <v>Unknown</v>
      </c>
      <c r="Z497" s="4" t="str">
        <f t="shared" si="501"/>
        <v>Unknown</v>
      </c>
      <c r="AA497" s="4" t="str">
        <f t="shared" si="7"/>
        <v>mww</v>
      </c>
    </row>
    <row r="498">
      <c r="A498" s="3" t="s">
        <v>1239</v>
      </c>
      <c r="B498" s="3">
        <v>6.5</v>
      </c>
      <c r="C498" s="19">
        <f>Raw_Data!T498</f>
        <v>40775.71736</v>
      </c>
      <c r="D498" s="3">
        <v>0.0</v>
      </c>
      <c r="E498" s="3">
        <v>5.0</v>
      </c>
      <c r="F498" s="4"/>
      <c r="G498" s="3">
        <v>0.0</v>
      </c>
      <c r="H498" s="3">
        <v>650.0</v>
      </c>
      <c r="I498" s="3" t="s">
        <v>110</v>
      </c>
      <c r="J498" s="3">
        <v>322.0</v>
      </c>
      <c r="K498" s="3">
        <v>0.0</v>
      </c>
      <c r="L498" s="3">
        <v>15.0</v>
      </c>
      <c r="M498" s="4" t="str">
        <f>Raw_Data!X498</f>
        <v>mwc</v>
      </c>
      <c r="N498" s="3">
        <v>35.0</v>
      </c>
      <c r="O498" s="3">
        <v>-18.308</v>
      </c>
      <c r="P498" s="3">
        <v>168.156</v>
      </c>
      <c r="Q498" s="3" t="s">
        <v>948</v>
      </c>
      <c r="R498" s="4"/>
      <c r="S498" s="4"/>
      <c r="T498" s="4" t="str">
        <f t="shared" si="2"/>
        <v>Valid</v>
      </c>
      <c r="U498" s="4">
        <f t="shared" si="3"/>
        <v>1</v>
      </c>
      <c r="V498" s="4" t="str">
        <f t="shared" si="4"/>
        <v>Unique</v>
      </c>
      <c r="W498" s="4" t="str">
        <f t="shared" si="5"/>
        <v>Unknown</v>
      </c>
      <c r="X498" s="4" t="str">
        <f t="shared" ref="X498:Z498" si="502">IF(Q498="","Unknown",Q498)</f>
        <v>Port-Vila, Vanuatu</v>
      </c>
      <c r="Y498" s="4" t="str">
        <f t="shared" si="502"/>
        <v>Unknown</v>
      </c>
      <c r="Z498" s="4" t="str">
        <f t="shared" si="502"/>
        <v>Unknown</v>
      </c>
      <c r="AA498" s="4" t="str">
        <f t="shared" si="7"/>
        <v>mwc</v>
      </c>
    </row>
    <row r="499">
      <c r="A499" s="3" t="s">
        <v>1241</v>
      </c>
      <c r="B499" s="3">
        <v>7.2</v>
      </c>
      <c r="C499" s="19">
        <f>Raw_Data!T499</f>
        <v>40775.70486</v>
      </c>
      <c r="D499" s="3">
        <v>8.0</v>
      </c>
      <c r="E499" s="3">
        <v>6.0</v>
      </c>
      <c r="F499" s="4"/>
      <c r="G499" s="3">
        <v>0.0</v>
      </c>
      <c r="H499" s="3">
        <v>813.0</v>
      </c>
      <c r="I499" s="3" t="s">
        <v>110</v>
      </c>
      <c r="J499" s="3">
        <v>280.0</v>
      </c>
      <c r="K499" s="3">
        <v>0.0</v>
      </c>
      <c r="L499" s="3">
        <v>18.4</v>
      </c>
      <c r="M499" s="4" t="str">
        <f>Raw_Data!X499</f>
        <v>mww</v>
      </c>
      <c r="N499" s="3">
        <v>32.0</v>
      </c>
      <c r="O499" s="3">
        <v>-18.365</v>
      </c>
      <c r="P499" s="3">
        <v>168.143</v>
      </c>
      <c r="Q499" s="3" t="s">
        <v>948</v>
      </c>
      <c r="R499" s="4"/>
      <c r="S499" s="4"/>
      <c r="T499" s="4" t="str">
        <f t="shared" si="2"/>
        <v>Valid</v>
      </c>
      <c r="U499" s="4">
        <f t="shared" si="3"/>
        <v>1</v>
      </c>
      <c r="V499" s="4" t="str">
        <f t="shared" si="4"/>
        <v>Unique</v>
      </c>
      <c r="W499" s="4" t="str">
        <f t="shared" si="5"/>
        <v>Unknown</v>
      </c>
      <c r="X499" s="4" t="str">
        <f t="shared" ref="X499:Z499" si="503">IF(Q499="","Unknown",Q499)</f>
        <v>Port-Vila, Vanuatu</v>
      </c>
      <c r="Y499" s="4" t="str">
        <f t="shared" si="503"/>
        <v>Unknown</v>
      </c>
      <c r="Z499" s="4" t="str">
        <f t="shared" si="503"/>
        <v>Unknown</v>
      </c>
      <c r="AA499" s="4" t="str">
        <f t="shared" si="7"/>
        <v>mww</v>
      </c>
    </row>
    <row r="500">
      <c r="A500" s="3" t="s">
        <v>1243</v>
      </c>
      <c r="B500" s="3">
        <v>6.6</v>
      </c>
      <c r="C500" s="19">
        <f>Raw_Data!T500</f>
        <v>40755.98472</v>
      </c>
      <c r="D500" s="3">
        <v>3.0</v>
      </c>
      <c r="E500" s="3">
        <v>6.0</v>
      </c>
      <c r="F500" s="4"/>
      <c r="G500" s="3">
        <v>0.0</v>
      </c>
      <c r="H500" s="3">
        <v>674.0</v>
      </c>
      <c r="I500" s="3" t="s">
        <v>110</v>
      </c>
      <c r="J500" s="3">
        <v>229.0</v>
      </c>
      <c r="K500" s="3">
        <v>0.0</v>
      </c>
      <c r="L500" s="3">
        <v>16.6</v>
      </c>
      <c r="M500" s="4" t="str">
        <f>Raw_Data!X500</f>
        <v>mww</v>
      </c>
      <c r="N500" s="3">
        <v>10.0</v>
      </c>
      <c r="O500" s="3">
        <v>-3.518</v>
      </c>
      <c r="P500" s="3">
        <v>144.828</v>
      </c>
      <c r="Q500" s="3" t="s">
        <v>667</v>
      </c>
      <c r="R500" s="4"/>
      <c r="S500" s="3" t="s">
        <v>168</v>
      </c>
      <c r="T500" s="4" t="str">
        <f t="shared" si="2"/>
        <v>Valid</v>
      </c>
      <c r="U500" s="4">
        <f t="shared" si="3"/>
        <v>1</v>
      </c>
      <c r="V500" s="4" t="str">
        <f t="shared" si="4"/>
        <v>Unique</v>
      </c>
      <c r="W500" s="4" t="str">
        <f t="shared" si="5"/>
        <v>Unknown</v>
      </c>
      <c r="X500" s="4" t="str">
        <f t="shared" ref="X500:Z500" si="504">IF(Q500="","Unknown",Q500)</f>
        <v>Angoram, Papua New Guinea</v>
      </c>
      <c r="Y500" s="4" t="str">
        <f t="shared" si="504"/>
        <v>Unknown</v>
      </c>
      <c r="Z500" s="4" t="str">
        <f t="shared" si="504"/>
        <v>Papua New Guinea</v>
      </c>
      <c r="AA500" s="4" t="str">
        <f t="shared" si="7"/>
        <v>mww</v>
      </c>
    </row>
    <row r="501">
      <c r="A501" s="3" t="s">
        <v>1245</v>
      </c>
      <c r="B501" s="3">
        <v>7.6</v>
      </c>
      <c r="C501" s="19">
        <f>Raw_Data!T501</f>
        <v>40730.79375</v>
      </c>
      <c r="D501" s="3">
        <v>3.0</v>
      </c>
      <c r="E501" s="3">
        <v>7.0</v>
      </c>
      <c r="F501" s="4"/>
      <c r="G501" s="3">
        <v>0.0</v>
      </c>
      <c r="H501" s="3">
        <v>893.0</v>
      </c>
      <c r="I501" s="3" t="s">
        <v>110</v>
      </c>
      <c r="J501" s="3">
        <v>567.0</v>
      </c>
      <c r="K501" s="3">
        <v>0.0</v>
      </c>
      <c r="L501" s="3">
        <v>33.5</v>
      </c>
      <c r="M501" s="4" t="str">
        <f>Raw_Data!X501</f>
        <v>mww</v>
      </c>
      <c r="N501" s="3">
        <v>17.0</v>
      </c>
      <c r="O501" s="3">
        <v>-29.539</v>
      </c>
      <c r="P501" s="3">
        <v>-176.34</v>
      </c>
      <c r="Q501" s="3" t="s">
        <v>182</v>
      </c>
      <c r="R501" s="4"/>
      <c r="S501" s="4"/>
      <c r="T501" s="4" t="str">
        <f t="shared" si="2"/>
        <v>Valid</v>
      </c>
      <c r="U501" s="4">
        <f t="shared" si="3"/>
        <v>1</v>
      </c>
      <c r="V501" s="4" t="str">
        <f t="shared" si="4"/>
        <v>Unique</v>
      </c>
      <c r="W501" s="4" t="str">
        <f t="shared" si="5"/>
        <v>Unknown</v>
      </c>
      <c r="X501" s="4" t="str">
        <f t="shared" ref="X501:Z501" si="505">IF(Q501="","Unknown",Q501)</f>
        <v>Kermadec Islands region</v>
      </c>
      <c r="Y501" s="4" t="str">
        <f t="shared" si="505"/>
        <v>Unknown</v>
      </c>
      <c r="Z501" s="4" t="str">
        <f t="shared" si="505"/>
        <v>Unknown</v>
      </c>
      <c r="AA501" s="4" t="str">
        <f t="shared" si="7"/>
        <v>mww</v>
      </c>
    </row>
    <row r="502">
      <c r="A502" s="3" t="s">
        <v>1246</v>
      </c>
      <c r="B502" s="3">
        <v>6.7</v>
      </c>
      <c r="C502" s="19">
        <f>Raw_Data!T502</f>
        <v>40716.90972</v>
      </c>
      <c r="D502" s="3">
        <v>6.0</v>
      </c>
      <c r="E502" s="3">
        <v>6.0</v>
      </c>
      <c r="F502" s="4"/>
      <c r="G502" s="3">
        <v>0.0</v>
      </c>
      <c r="H502" s="3">
        <v>749.0</v>
      </c>
      <c r="I502" s="3" t="s">
        <v>110</v>
      </c>
      <c r="J502" s="3">
        <v>592.0</v>
      </c>
      <c r="K502" s="3">
        <v>0.0</v>
      </c>
      <c r="L502" s="3">
        <v>24.9</v>
      </c>
      <c r="M502" s="4" t="str">
        <f>Raw_Data!X502</f>
        <v>mww</v>
      </c>
      <c r="N502" s="3">
        <v>33.0</v>
      </c>
      <c r="O502" s="3">
        <v>39.955</v>
      </c>
      <c r="P502" s="3">
        <v>142.205</v>
      </c>
      <c r="Q502" s="3" t="s">
        <v>943</v>
      </c>
      <c r="R502" s="3" t="s">
        <v>164</v>
      </c>
      <c r="S502" s="3" t="s">
        <v>371</v>
      </c>
      <c r="T502" s="4" t="str">
        <f t="shared" si="2"/>
        <v>Valid</v>
      </c>
      <c r="U502" s="4">
        <f t="shared" si="3"/>
        <v>1</v>
      </c>
      <c r="V502" s="4" t="str">
        <f t="shared" si="4"/>
        <v>Unique</v>
      </c>
      <c r="W502" s="4" t="str">
        <f t="shared" si="5"/>
        <v>Unknown</v>
      </c>
      <c r="X502" s="4" t="str">
        <f t="shared" ref="X502:Z502" si="506">IF(Q502="","Unknown",Q502)</f>
        <v>Miyako, Japan</v>
      </c>
      <c r="Y502" s="4" t="str">
        <f t="shared" si="506"/>
        <v>Asia</v>
      </c>
      <c r="Z502" s="4" t="str">
        <f t="shared" si="506"/>
        <v>Japan</v>
      </c>
      <c r="AA502" s="4" t="str">
        <f t="shared" si="7"/>
        <v>mww</v>
      </c>
    </row>
    <row r="503">
      <c r="A503" s="3" t="s">
        <v>1248</v>
      </c>
      <c r="B503" s="3">
        <v>6.8</v>
      </c>
      <c r="C503" s="19">
        <f>Raw_Data!T503</f>
        <v>40673.37153</v>
      </c>
      <c r="D503" s="3">
        <v>4.0</v>
      </c>
      <c r="E503" s="3">
        <v>5.0</v>
      </c>
      <c r="F503" s="4"/>
      <c r="G503" s="3">
        <v>0.0</v>
      </c>
      <c r="H503" s="3">
        <v>734.0</v>
      </c>
      <c r="I503" s="3" t="s">
        <v>110</v>
      </c>
      <c r="J503" s="3">
        <v>519.0</v>
      </c>
      <c r="K503" s="3">
        <v>0.0</v>
      </c>
      <c r="L503" s="3">
        <v>12.5</v>
      </c>
      <c r="M503" s="4" t="str">
        <f>Raw_Data!X503</f>
        <v>mww</v>
      </c>
      <c r="N503" s="3">
        <v>11.0</v>
      </c>
      <c r="O503" s="3">
        <v>-20.244</v>
      </c>
      <c r="P503" s="3">
        <v>168.226</v>
      </c>
      <c r="Q503" s="3" t="s">
        <v>1249</v>
      </c>
      <c r="R503" s="4"/>
      <c r="S503" s="4"/>
      <c r="T503" s="4" t="str">
        <f t="shared" si="2"/>
        <v>Valid</v>
      </c>
      <c r="U503" s="4">
        <f t="shared" si="3"/>
        <v>1</v>
      </c>
      <c r="V503" s="4" t="str">
        <f t="shared" si="4"/>
        <v>Unique</v>
      </c>
      <c r="W503" s="4" t="str">
        <f t="shared" si="5"/>
        <v>Unknown</v>
      </c>
      <c r="X503" s="4" t="str">
        <f t="shared" ref="X503:Z503" si="507">IF(Q503="","Unknown",Q503)</f>
        <v>Wé, New Caledonia</v>
      </c>
      <c r="Y503" s="4" t="str">
        <f t="shared" si="507"/>
        <v>Unknown</v>
      </c>
      <c r="Z503" s="4" t="str">
        <f t="shared" si="507"/>
        <v>Unknown</v>
      </c>
      <c r="AA503" s="4" t="str">
        <f t="shared" si="7"/>
        <v>mww</v>
      </c>
    </row>
    <row r="504">
      <c r="A504" s="3" t="s">
        <v>1250</v>
      </c>
      <c r="B504" s="3">
        <v>6.8</v>
      </c>
      <c r="C504" s="19">
        <f>Raw_Data!T504</f>
        <v>40656.17778</v>
      </c>
      <c r="D504" s="3">
        <v>5.0</v>
      </c>
      <c r="E504" s="3">
        <v>6.0</v>
      </c>
      <c r="F504" s="4"/>
      <c r="G504" s="3">
        <v>0.0</v>
      </c>
      <c r="H504" s="3">
        <v>719.0</v>
      </c>
      <c r="I504" s="3" t="s">
        <v>110</v>
      </c>
      <c r="J504" s="3">
        <v>445.0</v>
      </c>
      <c r="K504" s="3">
        <v>0.0</v>
      </c>
      <c r="L504" s="3">
        <v>13.0</v>
      </c>
      <c r="M504" s="4" t="str">
        <f>Raw_Data!X504</f>
        <v>mww</v>
      </c>
      <c r="N504" s="3">
        <v>79.0</v>
      </c>
      <c r="O504" s="3">
        <v>-10.375</v>
      </c>
      <c r="P504" s="3">
        <v>161.2</v>
      </c>
      <c r="Q504" s="3" t="s">
        <v>595</v>
      </c>
      <c r="R504" s="4"/>
      <c r="S504" s="3" t="s">
        <v>214</v>
      </c>
      <c r="T504" s="4" t="str">
        <f t="shared" si="2"/>
        <v>Valid</v>
      </c>
      <c r="U504" s="4">
        <f t="shared" si="3"/>
        <v>1</v>
      </c>
      <c r="V504" s="4" t="str">
        <f t="shared" si="4"/>
        <v>Unique</v>
      </c>
      <c r="W504" s="4" t="str">
        <f t="shared" si="5"/>
        <v>Unknown</v>
      </c>
      <c r="X504" s="4" t="str">
        <f t="shared" ref="X504:Z504" si="508">IF(Q504="","Unknown",Q504)</f>
        <v>Kirakira, Solomon Islands</v>
      </c>
      <c r="Y504" s="4" t="str">
        <f t="shared" si="508"/>
        <v>Unknown</v>
      </c>
      <c r="Z504" s="4" t="str">
        <f t="shared" si="508"/>
        <v>Solomon Islands</v>
      </c>
      <c r="AA504" s="4" t="str">
        <f t="shared" si="7"/>
        <v>mww</v>
      </c>
    </row>
    <row r="505">
      <c r="A505" s="3" t="s">
        <v>1252</v>
      </c>
      <c r="B505" s="3">
        <v>6.6</v>
      </c>
      <c r="C505" s="19">
        <f>Raw_Data!T505</f>
        <v>40644.34444</v>
      </c>
      <c r="D505" s="3">
        <v>7.0</v>
      </c>
      <c r="E505" s="3">
        <v>7.0</v>
      </c>
      <c r="F505" s="4"/>
      <c r="G505" s="3">
        <v>0.0</v>
      </c>
      <c r="H505" s="3">
        <v>822.0</v>
      </c>
      <c r="I505" s="3" t="s">
        <v>110</v>
      </c>
      <c r="J505" s="3">
        <v>586.0</v>
      </c>
      <c r="K505" s="3">
        <v>0.0</v>
      </c>
      <c r="L505" s="3">
        <v>10.1</v>
      </c>
      <c r="M505" s="4" t="str">
        <f>Raw_Data!X505</f>
        <v>mww</v>
      </c>
      <c r="N505" s="3">
        <v>11.0</v>
      </c>
      <c r="O505" s="3">
        <v>37.001</v>
      </c>
      <c r="P505" s="3">
        <v>140.401</v>
      </c>
      <c r="Q505" s="3" t="s">
        <v>1253</v>
      </c>
      <c r="R505" s="3" t="s">
        <v>164</v>
      </c>
      <c r="S505" s="3" t="s">
        <v>371</v>
      </c>
      <c r="T505" s="4" t="str">
        <f t="shared" si="2"/>
        <v>Valid</v>
      </c>
      <c r="U505" s="4">
        <f t="shared" si="3"/>
        <v>1</v>
      </c>
      <c r="V505" s="4" t="str">
        <f t="shared" si="4"/>
        <v>Unique</v>
      </c>
      <c r="W505" s="4" t="str">
        <f t="shared" si="5"/>
        <v>Unknown</v>
      </c>
      <c r="X505" s="4" t="str">
        <f t="shared" ref="X505:Z505" si="509">IF(Q505="","Unknown",Q505)</f>
        <v>Ishikawa, Japan</v>
      </c>
      <c r="Y505" s="4" t="str">
        <f t="shared" si="509"/>
        <v>Asia</v>
      </c>
      <c r="Z505" s="4" t="str">
        <f t="shared" si="509"/>
        <v>Japan</v>
      </c>
      <c r="AA505" s="4" t="str">
        <f t="shared" si="7"/>
        <v>mww</v>
      </c>
    </row>
    <row r="506">
      <c r="A506" s="3" t="s">
        <v>1254</v>
      </c>
      <c r="B506" s="3">
        <v>7.1</v>
      </c>
      <c r="C506" s="19">
        <f>Raw_Data!T506</f>
        <v>40640.60556</v>
      </c>
      <c r="D506" s="3">
        <v>8.0</v>
      </c>
      <c r="E506" s="3">
        <v>8.0</v>
      </c>
      <c r="F506" s="4"/>
      <c r="G506" s="3">
        <v>0.0</v>
      </c>
      <c r="H506" s="3">
        <v>1114.0</v>
      </c>
      <c r="I506" s="3" t="s">
        <v>110</v>
      </c>
      <c r="J506" s="3">
        <v>446.0</v>
      </c>
      <c r="K506" s="3">
        <v>0.0</v>
      </c>
      <c r="L506" s="3">
        <v>17.7</v>
      </c>
      <c r="M506" s="4" t="str">
        <f>Raw_Data!X506</f>
        <v>mww</v>
      </c>
      <c r="N506" s="3">
        <v>42.0</v>
      </c>
      <c r="O506" s="3">
        <v>38.276</v>
      </c>
      <c r="P506" s="3">
        <v>141.588</v>
      </c>
      <c r="Q506" s="3" t="s">
        <v>380</v>
      </c>
      <c r="R506" s="3" t="s">
        <v>164</v>
      </c>
      <c r="S506" s="3" t="s">
        <v>371</v>
      </c>
      <c r="T506" s="4" t="str">
        <f t="shared" si="2"/>
        <v>Valid</v>
      </c>
      <c r="U506" s="4">
        <f t="shared" si="3"/>
        <v>1</v>
      </c>
      <c r="V506" s="4" t="str">
        <f t="shared" si="4"/>
        <v>Unique</v>
      </c>
      <c r="W506" s="4" t="str">
        <f t="shared" si="5"/>
        <v>Unknown</v>
      </c>
      <c r="X506" s="4" t="str">
        <f t="shared" ref="X506:Z506" si="510">IF(Q506="","Unknown",Q506)</f>
        <v>Ishinomaki, Japan</v>
      </c>
      <c r="Y506" s="4" t="str">
        <f t="shared" si="510"/>
        <v>Asia</v>
      </c>
      <c r="Z506" s="4" t="str">
        <f t="shared" si="510"/>
        <v>Japan</v>
      </c>
      <c r="AA506" s="4" t="str">
        <f t="shared" si="7"/>
        <v>mww</v>
      </c>
    </row>
    <row r="507">
      <c r="A507" s="3" t="s">
        <v>1255</v>
      </c>
      <c r="B507" s="3">
        <v>6.6</v>
      </c>
      <c r="C507" s="19">
        <f>Raw_Data!T507</f>
        <v>40640.54931</v>
      </c>
      <c r="D507" s="3">
        <v>7.0</v>
      </c>
      <c r="E507" s="3">
        <v>6.0</v>
      </c>
      <c r="F507" s="4"/>
      <c r="G507" s="3">
        <v>0.0</v>
      </c>
      <c r="H507" s="3">
        <v>897.0</v>
      </c>
      <c r="I507" s="3" t="s">
        <v>110</v>
      </c>
      <c r="J507" s="3">
        <v>518.0</v>
      </c>
      <c r="K507" s="3">
        <v>0.0</v>
      </c>
      <c r="L507" s="3">
        <v>37.2</v>
      </c>
      <c r="M507" s="4" t="str">
        <f>Raw_Data!X507</f>
        <v>mww</v>
      </c>
      <c r="N507" s="3">
        <v>166.2</v>
      </c>
      <c r="O507" s="3">
        <v>17.208</v>
      </c>
      <c r="P507" s="3">
        <v>-94.338</v>
      </c>
      <c r="Q507" s="3" t="s">
        <v>1256</v>
      </c>
      <c r="R507" s="4"/>
      <c r="S507" s="3" t="s">
        <v>234</v>
      </c>
      <c r="T507" s="4" t="str">
        <f t="shared" si="2"/>
        <v>Valid</v>
      </c>
      <c r="U507" s="4">
        <f t="shared" si="3"/>
        <v>1</v>
      </c>
      <c r="V507" s="4" t="str">
        <f t="shared" si="4"/>
        <v>Unique</v>
      </c>
      <c r="W507" s="4" t="str">
        <f t="shared" si="5"/>
        <v>Unknown</v>
      </c>
      <c r="X507" s="4" t="str">
        <f t="shared" ref="X507:Z507" si="511">IF(Q507="","Unknown",Q507)</f>
        <v>Helio García Alfaro, Mexico</v>
      </c>
      <c r="Y507" s="4" t="str">
        <f t="shared" si="511"/>
        <v>Unknown</v>
      </c>
      <c r="Z507" s="4" t="str">
        <f t="shared" si="511"/>
        <v>Mexico</v>
      </c>
      <c r="AA507" s="4" t="str">
        <f t="shared" si="7"/>
        <v>mww</v>
      </c>
    </row>
    <row r="508">
      <c r="A508" s="3" t="s">
        <v>1257</v>
      </c>
      <c r="B508" s="3">
        <v>6.9</v>
      </c>
      <c r="C508" s="19">
        <f>Raw_Data!T508</f>
        <v>40626.57986</v>
      </c>
      <c r="D508" s="3">
        <v>7.0</v>
      </c>
      <c r="E508" s="3">
        <v>9.0</v>
      </c>
      <c r="F508" s="4"/>
      <c r="G508" s="3">
        <v>0.0</v>
      </c>
      <c r="H508" s="3">
        <v>1154.0</v>
      </c>
      <c r="I508" s="3" t="s">
        <v>110</v>
      </c>
      <c r="J508" s="3">
        <v>335.0</v>
      </c>
      <c r="K508" s="3">
        <v>0.0</v>
      </c>
      <c r="L508" s="3">
        <v>18.2</v>
      </c>
      <c r="M508" s="4" t="str">
        <f>Raw_Data!X508</f>
        <v>mww</v>
      </c>
      <c r="N508" s="3">
        <v>8.0</v>
      </c>
      <c r="O508" s="3">
        <v>20.687</v>
      </c>
      <c r="P508" s="3">
        <v>99.822</v>
      </c>
      <c r="Q508" s="3" t="s">
        <v>1259</v>
      </c>
      <c r="R508" s="3" t="s">
        <v>164</v>
      </c>
      <c r="S508" s="3" t="s">
        <v>785</v>
      </c>
      <c r="T508" s="4" t="str">
        <f t="shared" si="2"/>
        <v>Valid</v>
      </c>
      <c r="U508" s="4">
        <f t="shared" si="3"/>
        <v>1</v>
      </c>
      <c r="V508" s="4" t="str">
        <f t="shared" si="4"/>
        <v>Unique</v>
      </c>
      <c r="W508" s="4" t="str">
        <f t="shared" si="5"/>
        <v>Unknown</v>
      </c>
      <c r="X508" s="4" t="str">
        <f t="shared" ref="X508:Z508" si="512">IF(Q508="","Unknown",Q508)</f>
        <v>Tachilek, Myanmar</v>
      </c>
      <c r="Y508" s="4" t="str">
        <f t="shared" si="512"/>
        <v>Asia</v>
      </c>
      <c r="Z508" s="4" t="str">
        <f t="shared" si="512"/>
        <v>Myanmar</v>
      </c>
      <c r="AA508" s="4" t="str">
        <f t="shared" si="7"/>
        <v>mww</v>
      </c>
    </row>
    <row r="509">
      <c r="A509" s="3" t="s">
        <v>1260</v>
      </c>
      <c r="B509" s="3">
        <v>6.6</v>
      </c>
      <c r="C509" s="19">
        <f>Raw_Data!T509</f>
        <v>40613.48333</v>
      </c>
      <c r="D509" s="3">
        <v>6.0</v>
      </c>
      <c r="E509" s="3">
        <v>5.0</v>
      </c>
      <c r="F509" s="4"/>
      <c r="G509" s="3">
        <v>0.0</v>
      </c>
      <c r="H509" s="3">
        <v>673.0</v>
      </c>
      <c r="I509" s="3" t="s">
        <v>110</v>
      </c>
      <c r="J509" s="3">
        <v>668.0</v>
      </c>
      <c r="K509" s="3">
        <v>0.0</v>
      </c>
      <c r="L509" s="3">
        <v>9.5</v>
      </c>
      <c r="M509" s="4" t="str">
        <f>Raw_Data!X509</f>
        <v>ms</v>
      </c>
      <c r="N509" s="3">
        <v>25.7</v>
      </c>
      <c r="O509" s="3">
        <v>39.241</v>
      </c>
      <c r="P509" s="3">
        <v>142.463</v>
      </c>
      <c r="Q509" s="3" t="s">
        <v>1262</v>
      </c>
      <c r="R509" s="4"/>
      <c r="S509" s="4"/>
      <c r="T509" s="4" t="str">
        <f t="shared" si="2"/>
        <v>Valid</v>
      </c>
      <c r="U509" s="4">
        <f t="shared" si="3"/>
        <v>1</v>
      </c>
      <c r="V509" s="4" t="str">
        <f t="shared" si="4"/>
        <v>Unique</v>
      </c>
      <c r="W509" s="4" t="str">
        <f t="shared" si="5"/>
        <v>Unknown</v>
      </c>
      <c r="X509" s="4" t="str">
        <f t="shared" ref="X509:Z509" si="513">IF(Q509="","Unknown",Q509)</f>
        <v>?tsuchi, Japan</v>
      </c>
      <c r="Y509" s="4" t="str">
        <f t="shared" si="513"/>
        <v>Unknown</v>
      </c>
      <c r="Z509" s="4" t="str">
        <f t="shared" si="513"/>
        <v>Unknown</v>
      </c>
      <c r="AA509" s="4" t="str">
        <f t="shared" si="7"/>
        <v>ms</v>
      </c>
    </row>
    <row r="510">
      <c r="A510" s="3" t="s">
        <v>1263</v>
      </c>
      <c r="B510" s="3">
        <v>6.5</v>
      </c>
      <c r="C510" s="19">
        <f>Raw_Data!T510</f>
        <v>40613.34653</v>
      </c>
      <c r="D510" s="3">
        <v>0.0</v>
      </c>
      <c r="E510" s="3">
        <v>4.0</v>
      </c>
      <c r="F510" s="4"/>
      <c r="G510" s="3">
        <v>0.0</v>
      </c>
      <c r="H510" s="3">
        <v>650.0</v>
      </c>
      <c r="I510" s="3" t="s">
        <v>110</v>
      </c>
      <c r="J510" s="3">
        <v>369.0</v>
      </c>
      <c r="K510" s="3">
        <v>0.0</v>
      </c>
      <c r="L510" s="3">
        <v>18.7</v>
      </c>
      <c r="M510" s="4" t="str">
        <f>Raw_Data!X510</f>
        <v>mb</v>
      </c>
      <c r="N510" s="3">
        <v>6.8</v>
      </c>
      <c r="O510" s="3">
        <v>36.166</v>
      </c>
      <c r="P510" s="3">
        <v>141.562</v>
      </c>
      <c r="Q510" s="3" t="s">
        <v>1265</v>
      </c>
      <c r="R510" s="4"/>
      <c r="S510" s="4"/>
      <c r="T510" s="4" t="str">
        <f t="shared" si="2"/>
        <v>Valid</v>
      </c>
      <c r="U510" s="4">
        <f t="shared" si="3"/>
        <v>1</v>
      </c>
      <c r="V510" s="4" t="str">
        <f t="shared" si="4"/>
        <v>Unique</v>
      </c>
      <c r="W510" s="4" t="str">
        <f t="shared" si="5"/>
        <v>Unknown</v>
      </c>
      <c r="X510" s="4" t="str">
        <f t="shared" ref="X510:Z510" si="514">IF(Q510="","Unknown",Q510)</f>
        <v>Hasaki, Japan</v>
      </c>
      <c r="Y510" s="4" t="str">
        <f t="shared" si="514"/>
        <v>Unknown</v>
      </c>
      <c r="Z510" s="4" t="str">
        <f t="shared" si="514"/>
        <v>Unknown</v>
      </c>
      <c r="AA510" s="4" t="str">
        <f t="shared" si="7"/>
        <v>mb</v>
      </c>
    </row>
    <row r="511">
      <c r="A511" s="3" t="s">
        <v>1266</v>
      </c>
      <c r="B511" s="3">
        <v>7.7</v>
      </c>
      <c r="C511" s="19">
        <f>Raw_Data!T511</f>
        <v>40613.26736</v>
      </c>
      <c r="D511" s="3">
        <v>7.0</v>
      </c>
      <c r="E511" s="3">
        <v>4.0</v>
      </c>
      <c r="F511" s="4"/>
      <c r="G511" s="3">
        <v>0.0</v>
      </c>
      <c r="H511" s="3">
        <v>931.0</v>
      </c>
      <c r="I511" s="3" t="s">
        <v>110</v>
      </c>
      <c r="J511" s="3">
        <v>507.0</v>
      </c>
      <c r="K511" s="3">
        <v>0.0</v>
      </c>
      <c r="L511" s="3">
        <v>10.8</v>
      </c>
      <c r="M511" s="4" t="str">
        <f>Raw_Data!X511</f>
        <v>mwc</v>
      </c>
      <c r="N511" s="3">
        <v>18.6</v>
      </c>
      <c r="O511" s="3">
        <v>38.058</v>
      </c>
      <c r="P511" s="3">
        <v>144.59</v>
      </c>
      <c r="Q511" s="3" t="s">
        <v>1267</v>
      </c>
      <c r="R511" s="4"/>
      <c r="S511" s="4"/>
      <c r="T511" s="4" t="str">
        <f t="shared" si="2"/>
        <v>Valid</v>
      </c>
      <c r="U511" s="4">
        <f t="shared" si="3"/>
        <v>1</v>
      </c>
      <c r="V511" s="4" t="str">
        <f t="shared" si="4"/>
        <v>Unique</v>
      </c>
      <c r="W511" s="4" t="str">
        <f t="shared" si="5"/>
        <v>Unknown</v>
      </c>
      <c r="X511" s="4" t="str">
        <f t="shared" ref="X511:Z511" si="515">IF(Q511="","Unknown",Q511)</f>
        <v>Kamaishi, Japan</v>
      </c>
      <c r="Y511" s="4" t="str">
        <f t="shared" si="515"/>
        <v>Unknown</v>
      </c>
      <c r="Z511" s="4" t="str">
        <f t="shared" si="515"/>
        <v>Unknown</v>
      </c>
      <c r="AA511" s="4" t="str">
        <f t="shared" si="7"/>
        <v>mwc</v>
      </c>
    </row>
    <row r="512">
      <c r="A512" s="3" t="s">
        <v>1268</v>
      </c>
      <c r="B512" s="3">
        <v>7.9</v>
      </c>
      <c r="C512" s="19">
        <f>Raw_Data!T512</f>
        <v>40613.26042</v>
      </c>
      <c r="D512" s="3">
        <v>8.0</v>
      </c>
      <c r="E512" s="3">
        <v>7.0</v>
      </c>
      <c r="F512" s="4"/>
      <c r="G512" s="3">
        <v>0.0</v>
      </c>
      <c r="H512" s="3">
        <v>1140.0</v>
      </c>
      <c r="I512" s="3" t="s">
        <v>110</v>
      </c>
      <c r="J512" s="3">
        <v>163.0</v>
      </c>
      <c r="K512" s="3">
        <v>0.0</v>
      </c>
      <c r="L512" s="3">
        <v>48.4</v>
      </c>
      <c r="M512" s="4" t="str">
        <f>Raw_Data!X512</f>
        <v>mwc</v>
      </c>
      <c r="N512" s="3">
        <v>42.6</v>
      </c>
      <c r="O512" s="3">
        <v>36.281</v>
      </c>
      <c r="P512" s="3">
        <v>141.111</v>
      </c>
      <c r="Q512" s="3" t="s">
        <v>1269</v>
      </c>
      <c r="R512" s="4"/>
      <c r="S512" s="4"/>
      <c r="T512" s="4" t="str">
        <f t="shared" si="2"/>
        <v>Valid</v>
      </c>
      <c r="U512" s="4">
        <f t="shared" si="3"/>
        <v>1</v>
      </c>
      <c r="V512" s="4" t="str">
        <f t="shared" si="4"/>
        <v>Unique</v>
      </c>
      <c r="W512" s="4" t="str">
        <f t="shared" si="5"/>
        <v>Unknown</v>
      </c>
      <c r="X512" s="4" t="str">
        <f t="shared" ref="X512:Z512" si="516">IF(Q512="","Unknown",Q512)</f>
        <v>?arai, Japan</v>
      </c>
      <c r="Y512" s="4" t="str">
        <f t="shared" si="516"/>
        <v>Unknown</v>
      </c>
      <c r="Z512" s="4" t="str">
        <f t="shared" si="516"/>
        <v>Unknown</v>
      </c>
      <c r="AA512" s="4" t="str">
        <f t="shared" si="7"/>
        <v>mwc</v>
      </c>
    </row>
    <row r="513">
      <c r="A513" s="3" t="s">
        <v>1270</v>
      </c>
      <c r="B513" s="3">
        <v>9.1</v>
      </c>
      <c r="C513" s="19">
        <f>Raw_Data!T513</f>
        <v>40613.24028</v>
      </c>
      <c r="D513" s="3">
        <v>9.0</v>
      </c>
      <c r="E513" s="3">
        <v>8.0</v>
      </c>
      <c r="F513" s="4"/>
      <c r="G513" s="3">
        <v>0.0</v>
      </c>
      <c r="H513" s="3">
        <v>2184.0</v>
      </c>
      <c r="I513" s="3" t="s">
        <v>1196</v>
      </c>
      <c r="J513" s="3">
        <v>541.0</v>
      </c>
      <c r="K513" s="3">
        <v>0.0</v>
      </c>
      <c r="L513" s="3">
        <v>9.5</v>
      </c>
      <c r="M513" s="4" t="str">
        <f>Raw_Data!X513</f>
        <v>mww</v>
      </c>
      <c r="N513" s="3">
        <v>29.0</v>
      </c>
      <c r="O513" s="3">
        <v>38.297</v>
      </c>
      <c r="P513" s="3">
        <v>142.373</v>
      </c>
      <c r="Q513" s="3" t="s">
        <v>1271</v>
      </c>
      <c r="R513" s="4"/>
      <c r="S513" s="4"/>
      <c r="T513" s="4" t="str">
        <f t="shared" si="2"/>
        <v>Valid</v>
      </c>
      <c r="U513" s="4">
        <f t="shared" si="3"/>
        <v>1</v>
      </c>
      <c r="V513" s="4" t="str">
        <f t="shared" si="4"/>
        <v>Unique</v>
      </c>
      <c r="W513" s="4" t="str">
        <f t="shared" si="5"/>
        <v>Unknown</v>
      </c>
      <c r="X513" s="4" t="str">
        <f t="shared" ref="X513:Z513" si="517">IF(Q513="","Unknown",Q513)</f>
        <v>2011 Great Tohoku Earthquake, Japan</v>
      </c>
      <c r="Y513" s="4" t="str">
        <f t="shared" si="517"/>
        <v>Unknown</v>
      </c>
      <c r="Z513" s="4" t="str">
        <f t="shared" si="517"/>
        <v>Unknown</v>
      </c>
      <c r="AA513" s="4" t="str">
        <f t="shared" si="7"/>
        <v>mww</v>
      </c>
    </row>
    <row r="514">
      <c r="A514" s="3" t="s">
        <v>1272</v>
      </c>
      <c r="B514" s="3">
        <v>7.3</v>
      </c>
      <c r="C514" s="19">
        <f>Raw_Data!T514</f>
        <v>40611.11458</v>
      </c>
      <c r="D514" s="3">
        <v>5.0</v>
      </c>
      <c r="E514" s="3">
        <v>5.0</v>
      </c>
      <c r="F514" s="4"/>
      <c r="G514" s="3">
        <v>0.0</v>
      </c>
      <c r="H514" s="3">
        <v>972.0</v>
      </c>
      <c r="I514" s="3" t="s">
        <v>110</v>
      </c>
      <c r="J514" s="3">
        <v>550.0</v>
      </c>
      <c r="K514" s="3">
        <v>0.0</v>
      </c>
      <c r="L514" s="3">
        <v>17.4</v>
      </c>
      <c r="M514" s="4" t="str">
        <f>Raw_Data!X514</f>
        <v>mww</v>
      </c>
      <c r="N514" s="3">
        <v>32.0</v>
      </c>
      <c r="O514" s="3">
        <v>38.435</v>
      </c>
      <c r="P514" s="3">
        <v>142.842</v>
      </c>
      <c r="Q514" s="3" t="s">
        <v>917</v>
      </c>
      <c r="R514" s="4"/>
      <c r="S514" s="4"/>
      <c r="T514" s="4" t="str">
        <f t="shared" si="2"/>
        <v>Valid</v>
      </c>
      <c r="U514" s="4">
        <f t="shared" si="3"/>
        <v>1</v>
      </c>
      <c r="V514" s="4" t="str">
        <f t="shared" si="4"/>
        <v>Unique</v>
      </c>
      <c r="W514" s="4" t="str">
        <f t="shared" si="5"/>
        <v>Unknown</v>
      </c>
      <c r="X514" s="4" t="str">
        <f t="shared" ref="X514:Z514" si="518">IF(Q514="","Unknown",Q514)</f>
        <v>?funato, Japan</v>
      </c>
      <c r="Y514" s="4" t="str">
        <f t="shared" si="518"/>
        <v>Unknown</v>
      </c>
      <c r="Z514" s="4" t="str">
        <f t="shared" si="518"/>
        <v>Unknown</v>
      </c>
      <c r="AA514" s="4" t="str">
        <f t="shared" si="7"/>
        <v>mww</v>
      </c>
    </row>
    <row r="515">
      <c r="A515" s="3" t="s">
        <v>1273</v>
      </c>
      <c r="B515" s="3">
        <v>6.7</v>
      </c>
      <c r="C515" s="19">
        <f>Raw_Data!T515</f>
        <v>40588.15278</v>
      </c>
      <c r="D515" s="3">
        <v>5.0</v>
      </c>
      <c r="E515" s="3">
        <v>6.0</v>
      </c>
      <c r="F515" s="4"/>
      <c r="G515" s="3">
        <v>0.0</v>
      </c>
      <c r="H515" s="3">
        <v>731.0</v>
      </c>
      <c r="I515" s="3" t="s">
        <v>110</v>
      </c>
      <c r="J515" s="3">
        <v>358.0</v>
      </c>
      <c r="K515" s="3">
        <v>0.0</v>
      </c>
      <c r="L515" s="3">
        <v>33.9</v>
      </c>
      <c r="M515" s="4" t="str">
        <f>Raw_Data!X515</f>
        <v>mww</v>
      </c>
      <c r="N515" s="3">
        <v>21.0</v>
      </c>
      <c r="O515" s="3">
        <v>-35.38</v>
      </c>
      <c r="P515" s="3">
        <v>-72.834</v>
      </c>
      <c r="Q515" s="3" t="s">
        <v>489</v>
      </c>
      <c r="R515" s="4"/>
      <c r="S515" s="4"/>
      <c r="T515" s="4" t="str">
        <f t="shared" si="2"/>
        <v>Valid</v>
      </c>
      <c r="U515" s="4">
        <f t="shared" si="3"/>
        <v>1</v>
      </c>
      <c r="V515" s="4" t="str">
        <f t="shared" si="4"/>
        <v>Unique</v>
      </c>
      <c r="W515" s="4" t="str">
        <f t="shared" si="5"/>
        <v>Unknown</v>
      </c>
      <c r="X515" s="4" t="str">
        <f t="shared" ref="X515:Z515" si="519">IF(Q515="","Unknown",Q515)</f>
        <v>Constitución, Chile</v>
      </c>
      <c r="Y515" s="4" t="str">
        <f t="shared" si="519"/>
        <v>Unknown</v>
      </c>
      <c r="Z515" s="4" t="str">
        <f t="shared" si="519"/>
        <v>Unknown</v>
      </c>
      <c r="AA515" s="4" t="str">
        <f t="shared" si="7"/>
        <v>mww</v>
      </c>
    </row>
    <row r="516">
      <c r="A516" s="3" t="s">
        <v>1275</v>
      </c>
      <c r="B516" s="3">
        <v>6.9</v>
      </c>
      <c r="C516" s="19">
        <f>Raw_Data!T516</f>
        <v>40585.83681</v>
      </c>
      <c r="D516" s="3">
        <v>7.0</v>
      </c>
      <c r="E516" s="3">
        <v>7.0</v>
      </c>
      <c r="F516" s="4"/>
      <c r="G516" s="3">
        <v>0.0</v>
      </c>
      <c r="H516" s="3">
        <v>988.0</v>
      </c>
      <c r="I516" s="3" t="s">
        <v>110</v>
      </c>
      <c r="J516" s="3">
        <v>382.0</v>
      </c>
      <c r="K516" s="3">
        <v>0.0</v>
      </c>
      <c r="L516" s="3">
        <v>34.7</v>
      </c>
      <c r="M516" s="4" t="str">
        <f>Raw_Data!X516</f>
        <v>mww</v>
      </c>
      <c r="N516" s="3">
        <v>26.0</v>
      </c>
      <c r="O516" s="3">
        <v>-36.422</v>
      </c>
      <c r="P516" s="3">
        <v>-72.96</v>
      </c>
      <c r="Q516" s="3" t="s">
        <v>1276</v>
      </c>
      <c r="R516" s="3" t="s">
        <v>121</v>
      </c>
      <c r="S516" s="3" t="s">
        <v>414</v>
      </c>
      <c r="T516" s="4" t="str">
        <f t="shared" si="2"/>
        <v>Valid</v>
      </c>
      <c r="U516" s="4">
        <f t="shared" si="3"/>
        <v>1</v>
      </c>
      <c r="V516" s="4" t="str">
        <f t="shared" si="4"/>
        <v>Unique</v>
      </c>
      <c r="W516" s="4" t="str">
        <f t="shared" si="5"/>
        <v>Unknown</v>
      </c>
      <c r="X516" s="4" t="str">
        <f t="shared" ref="X516:Z516" si="520">IF(Q516="","Unknown",Q516)</f>
        <v>Tomé, Chile</v>
      </c>
      <c r="Y516" s="4" t="str">
        <f t="shared" si="520"/>
        <v>South America</v>
      </c>
      <c r="Z516" s="4" t="str">
        <f t="shared" si="520"/>
        <v>Chile</v>
      </c>
      <c r="AA516" s="4" t="str">
        <f t="shared" si="7"/>
        <v>mww</v>
      </c>
    </row>
    <row r="517">
      <c r="A517" s="3" t="s">
        <v>1277</v>
      </c>
      <c r="B517" s="3">
        <v>7.2</v>
      </c>
      <c r="C517" s="19">
        <f>Raw_Data!T517</f>
        <v>40561.84931</v>
      </c>
      <c r="D517" s="3">
        <v>7.0</v>
      </c>
      <c r="E517" s="3">
        <v>7.0</v>
      </c>
      <c r="F517" s="4"/>
      <c r="G517" s="3">
        <v>0.0</v>
      </c>
      <c r="H517" s="3">
        <v>1449.0</v>
      </c>
      <c r="I517" s="3" t="s">
        <v>110</v>
      </c>
      <c r="J517" s="3">
        <v>372.0</v>
      </c>
      <c r="K517" s="3">
        <v>0.0</v>
      </c>
      <c r="L517" s="3">
        <v>25.3</v>
      </c>
      <c r="M517" s="4" t="str">
        <f>Raw_Data!X517</f>
        <v>mww</v>
      </c>
      <c r="N517" s="3">
        <v>68.0</v>
      </c>
      <c r="O517" s="3">
        <v>28.777</v>
      </c>
      <c r="P517" s="3">
        <v>63.951</v>
      </c>
      <c r="Q517" s="3" t="s">
        <v>1279</v>
      </c>
      <c r="R517" s="3" t="s">
        <v>164</v>
      </c>
      <c r="S517" s="3" t="s">
        <v>1066</v>
      </c>
      <c r="T517" s="4" t="str">
        <f t="shared" si="2"/>
        <v>Valid</v>
      </c>
      <c r="U517" s="4">
        <f t="shared" si="3"/>
        <v>1</v>
      </c>
      <c r="V517" s="4" t="str">
        <f t="shared" si="4"/>
        <v>Unique</v>
      </c>
      <c r="W517" s="4" t="str">
        <f t="shared" si="5"/>
        <v>Unknown</v>
      </c>
      <c r="X517" s="4" t="str">
        <f t="shared" ref="X517:Z517" si="521">IF(Q517="","Unknown",Q517)</f>
        <v>Dalbandin, Pakistan</v>
      </c>
      <c r="Y517" s="4" t="str">
        <f t="shared" si="521"/>
        <v>Asia</v>
      </c>
      <c r="Z517" s="4" t="str">
        <f t="shared" si="521"/>
        <v>Pakistan</v>
      </c>
      <c r="AA517" s="4" t="str">
        <f t="shared" si="7"/>
        <v>mww</v>
      </c>
    </row>
    <row r="518">
      <c r="A518" s="3" t="s">
        <v>1280</v>
      </c>
      <c r="B518" s="3">
        <v>7.0</v>
      </c>
      <c r="C518" s="19">
        <f>Raw_Data!T518</f>
        <v>40556.67778</v>
      </c>
      <c r="D518" s="3">
        <v>2.0</v>
      </c>
      <c r="E518" s="3">
        <v>5.0</v>
      </c>
      <c r="F518" s="4"/>
      <c r="G518" s="3">
        <v>0.0</v>
      </c>
      <c r="H518" s="3">
        <v>755.0</v>
      </c>
      <c r="I518" s="3" t="s">
        <v>110</v>
      </c>
      <c r="J518" s="3">
        <v>578.0</v>
      </c>
      <c r="K518" s="3">
        <v>0.0</v>
      </c>
      <c r="L518" s="3">
        <v>13.3</v>
      </c>
      <c r="M518" s="4" t="str">
        <f>Raw_Data!X518</f>
        <v>mww</v>
      </c>
      <c r="N518" s="3">
        <v>9.0</v>
      </c>
      <c r="O518" s="3">
        <v>-20.628</v>
      </c>
      <c r="P518" s="3">
        <v>168.471</v>
      </c>
      <c r="Q518" s="3" t="s">
        <v>276</v>
      </c>
      <c r="R518" s="4"/>
      <c r="S518" s="4"/>
      <c r="T518" s="4" t="str">
        <f t="shared" si="2"/>
        <v>Valid</v>
      </c>
      <c r="U518" s="4">
        <f t="shared" si="3"/>
        <v>1</v>
      </c>
      <c r="V518" s="4" t="str">
        <f t="shared" si="4"/>
        <v>Unique</v>
      </c>
      <c r="W518" s="4" t="str">
        <f t="shared" si="5"/>
        <v>Unknown</v>
      </c>
      <c r="X518" s="4" t="str">
        <f t="shared" ref="X518:Z518" si="522">IF(Q518="","Unknown",Q518)</f>
        <v>Tadine, New Caledonia</v>
      </c>
      <c r="Y518" s="4" t="str">
        <f t="shared" si="522"/>
        <v>Unknown</v>
      </c>
      <c r="Z518" s="4" t="str">
        <f t="shared" si="522"/>
        <v>Unknown</v>
      </c>
      <c r="AA518" s="4" t="str">
        <f t="shared" si="7"/>
        <v>mww</v>
      </c>
    </row>
    <row r="519">
      <c r="A519" s="3" t="s">
        <v>1282</v>
      </c>
      <c r="B519" s="3">
        <v>7.2</v>
      </c>
      <c r="C519" s="19">
        <f>Raw_Data!T519</f>
        <v>40545.84722</v>
      </c>
      <c r="D519" s="3">
        <v>8.0</v>
      </c>
      <c r="E519" s="3">
        <v>7.0</v>
      </c>
      <c r="F519" s="4"/>
      <c r="G519" s="3">
        <v>0.0</v>
      </c>
      <c r="H519" s="3">
        <v>1054.0</v>
      </c>
      <c r="I519" s="3" t="s">
        <v>110</v>
      </c>
      <c r="J519" s="3">
        <v>397.0</v>
      </c>
      <c r="K519" s="3">
        <v>0.0</v>
      </c>
      <c r="L519" s="3">
        <v>30.1</v>
      </c>
      <c r="M519" s="4" t="str">
        <f>Raw_Data!X519</f>
        <v>mww</v>
      </c>
      <c r="N519" s="3">
        <v>24.0</v>
      </c>
      <c r="O519" s="3">
        <v>-38.355</v>
      </c>
      <c r="P519" s="3">
        <v>-73.326</v>
      </c>
      <c r="Q519" s="3" t="s">
        <v>1283</v>
      </c>
      <c r="R519" s="3" t="s">
        <v>121</v>
      </c>
      <c r="S519" s="3" t="s">
        <v>414</v>
      </c>
      <c r="T519" s="4" t="str">
        <f t="shared" si="2"/>
        <v>Valid</v>
      </c>
      <c r="U519" s="4">
        <f t="shared" si="3"/>
        <v>1</v>
      </c>
      <c r="V519" s="4" t="str">
        <f t="shared" si="4"/>
        <v>Unique</v>
      </c>
      <c r="W519" s="4" t="str">
        <f t="shared" si="5"/>
        <v>Unknown</v>
      </c>
      <c r="X519" s="4" t="str">
        <f t="shared" ref="X519:Z519" si="523">IF(Q519="","Unknown",Q519)</f>
        <v>Carahue, Chile</v>
      </c>
      <c r="Y519" s="4" t="str">
        <f t="shared" si="523"/>
        <v>South America</v>
      </c>
      <c r="Z519" s="4" t="str">
        <f t="shared" si="523"/>
        <v>Chile</v>
      </c>
      <c r="AA519" s="4" t="str">
        <f t="shared" si="7"/>
        <v>mww</v>
      </c>
    </row>
    <row r="520">
      <c r="A520" s="3" t="s">
        <v>1284</v>
      </c>
      <c r="B520" s="3">
        <v>7.3</v>
      </c>
      <c r="C520" s="19">
        <f>Raw_Data!T520</f>
        <v>40537.55278</v>
      </c>
      <c r="D520" s="3">
        <v>0.0</v>
      </c>
      <c r="E520" s="3">
        <v>5.0</v>
      </c>
      <c r="F520" s="4"/>
      <c r="G520" s="3">
        <v>0.0</v>
      </c>
      <c r="H520" s="3">
        <v>820.0</v>
      </c>
      <c r="I520" s="3" t="s">
        <v>110</v>
      </c>
      <c r="J520" s="3">
        <v>409.0</v>
      </c>
      <c r="K520" s="3">
        <v>0.0</v>
      </c>
      <c r="L520" s="3">
        <v>12.0</v>
      </c>
      <c r="M520" s="4" t="str">
        <f>Raw_Data!X520</f>
        <v>mwc</v>
      </c>
      <c r="N520" s="3">
        <v>16.0</v>
      </c>
      <c r="O520" s="3">
        <v>-19.702</v>
      </c>
      <c r="P520" s="3">
        <v>167.947</v>
      </c>
      <c r="Q520" s="3" t="s">
        <v>246</v>
      </c>
      <c r="R520" s="4"/>
      <c r="S520" s="4"/>
      <c r="T520" s="4" t="str">
        <f t="shared" si="2"/>
        <v>Valid</v>
      </c>
      <c r="U520" s="4">
        <f t="shared" si="3"/>
        <v>1</v>
      </c>
      <c r="V520" s="4" t="str">
        <f t="shared" si="4"/>
        <v>Unique</v>
      </c>
      <c r="W520" s="4" t="str">
        <f t="shared" si="5"/>
        <v>Unknown</v>
      </c>
      <c r="X520" s="4" t="str">
        <f t="shared" ref="X520:Z520" si="524">IF(Q520="","Unknown",Q520)</f>
        <v>Isangel, Vanuatu</v>
      </c>
      <c r="Y520" s="4" t="str">
        <f t="shared" si="524"/>
        <v>Unknown</v>
      </c>
      <c r="Z520" s="4" t="str">
        <f t="shared" si="524"/>
        <v>Unknown</v>
      </c>
      <c r="AA520" s="4" t="str">
        <f t="shared" si="7"/>
        <v>mwc</v>
      </c>
    </row>
    <row r="521">
      <c r="A521" s="3" t="s">
        <v>1286</v>
      </c>
      <c r="B521" s="3">
        <v>6.7</v>
      </c>
      <c r="C521" s="19">
        <f>Raw_Data!T521</f>
        <v>40532.77847</v>
      </c>
      <c r="D521" s="3">
        <v>3.0</v>
      </c>
      <c r="E521" s="3">
        <v>7.0</v>
      </c>
      <c r="F521" s="4"/>
      <c r="G521" s="3">
        <v>0.0</v>
      </c>
      <c r="H521" s="3">
        <v>708.0</v>
      </c>
      <c r="I521" s="3" t="s">
        <v>110</v>
      </c>
      <c r="J521" s="3">
        <v>279.0</v>
      </c>
      <c r="K521" s="3">
        <v>0.0</v>
      </c>
      <c r="L521" s="3">
        <v>24.3</v>
      </c>
      <c r="M521" s="4" t="str">
        <f>Raw_Data!X521</f>
        <v>mwc</v>
      </c>
      <c r="N521" s="3">
        <v>12.0</v>
      </c>
      <c r="O521" s="3">
        <v>28.412</v>
      </c>
      <c r="P521" s="3">
        <v>59.18</v>
      </c>
      <c r="Q521" s="3" t="s">
        <v>1288</v>
      </c>
      <c r="R521" s="3" t="s">
        <v>164</v>
      </c>
      <c r="S521" s="3" t="s">
        <v>665</v>
      </c>
      <c r="T521" s="4" t="str">
        <f t="shared" si="2"/>
        <v>Valid</v>
      </c>
      <c r="U521" s="4">
        <f t="shared" si="3"/>
        <v>1</v>
      </c>
      <c r="V521" s="4" t="str">
        <f t="shared" si="4"/>
        <v>Unique</v>
      </c>
      <c r="W521" s="4" t="str">
        <f t="shared" si="5"/>
        <v>Unknown</v>
      </c>
      <c r="X521" s="4" t="str">
        <f t="shared" ref="X521:Z521" si="525">IF(Q521="","Unknown",Q521)</f>
        <v>Bam, Iran</v>
      </c>
      <c r="Y521" s="4" t="str">
        <f t="shared" si="525"/>
        <v>Asia</v>
      </c>
      <c r="Z521" s="4" t="str">
        <f t="shared" si="525"/>
        <v>Iran</v>
      </c>
      <c r="AA521" s="4" t="str">
        <f t="shared" si="7"/>
        <v>mwc</v>
      </c>
    </row>
    <row r="522">
      <c r="A522" s="3" t="s">
        <v>1289</v>
      </c>
      <c r="B522" s="3">
        <v>6.6</v>
      </c>
      <c r="C522" s="19">
        <f>Raw_Data!T522</f>
        <v>40514.13333</v>
      </c>
      <c r="D522" s="3">
        <v>0.0</v>
      </c>
      <c r="E522" s="3">
        <v>6.0</v>
      </c>
      <c r="F522" s="4"/>
      <c r="G522" s="3">
        <v>0.0</v>
      </c>
      <c r="H522" s="3">
        <v>670.0</v>
      </c>
      <c r="I522" s="3" t="s">
        <v>110</v>
      </c>
      <c r="J522" s="3">
        <v>306.0</v>
      </c>
      <c r="K522" s="3">
        <v>0.0</v>
      </c>
      <c r="L522" s="3">
        <v>18.5</v>
      </c>
      <c r="M522" s="4" t="str">
        <f>Raw_Data!X522</f>
        <v>mwb</v>
      </c>
      <c r="N522" s="3">
        <v>33.0</v>
      </c>
      <c r="O522" s="3">
        <v>-6.001</v>
      </c>
      <c r="P522" s="3">
        <v>149.977</v>
      </c>
      <c r="Q522" s="3" t="s">
        <v>774</v>
      </c>
      <c r="R522" s="4"/>
      <c r="S522" s="3" t="s">
        <v>168</v>
      </c>
      <c r="T522" s="4" t="str">
        <f t="shared" si="2"/>
        <v>Valid</v>
      </c>
      <c r="U522" s="4">
        <f t="shared" si="3"/>
        <v>1</v>
      </c>
      <c r="V522" s="4" t="str">
        <f t="shared" si="4"/>
        <v>Unique</v>
      </c>
      <c r="W522" s="4" t="str">
        <f t="shared" si="5"/>
        <v>Unknown</v>
      </c>
      <c r="X522" s="4" t="str">
        <f t="shared" ref="X522:Z522" si="526">IF(Q522="","Unknown",Q522)</f>
        <v>Kandrian, Papua New Guinea</v>
      </c>
      <c r="Y522" s="4" t="str">
        <f t="shared" si="526"/>
        <v>Unknown</v>
      </c>
      <c r="Z522" s="4" t="str">
        <f t="shared" si="526"/>
        <v>Papua New Guinea</v>
      </c>
      <c r="AA522" s="4" t="str">
        <f t="shared" si="7"/>
        <v>mwb</v>
      </c>
    </row>
    <row r="523">
      <c r="A523" s="3" t="s">
        <v>1290</v>
      </c>
      <c r="B523" s="3">
        <v>7.8</v>
      </c>
      <c r="C523" s="19">
        <f>Raw_Data!T523</f>
        <v>40476.6125</v>
      </c>
      <c r="D523" s="3">
        <v>4.0</v>
      </c>
      <c r="E523" s="3">
        <v>7.0</v>
      </c>
      <c r="F523" s="4"/>
      <c r="G523" s="3">
        <v>0.0</v>
      </c>
      <c r="H523" s="3">
        <v>946.0</v>
      </c>
      <c r="I523" s="3" t="s">
        <v>110</v>
      </c>
      <c r="J523" s="3">
        <v>379.0</v>
      </c>
      <c r="K523" s="3">
        <v>0.0</v>
      </c>
      <c r="L523" s="3">
        <v>23.0</v>
      </c>
      <c r="M523" s="4" t="str">
        <f>Raw_Data!X523</f>
        <v>mwc</v>
      </c>
      <c r="N523" s="3">
        <v>20.1</v>
      </c>
      <c r="O523" s="3">
        <v>-3.487</v>
      </c>
      <c r="P523" s="3">
        <v>100.082</v>
      </c>
      <c r="Q523" s="3" t="s">
        <v>791</v>
      </c>
      <c r="R523" s="4"/>
      <c r="S523" s="4"/>
      <c r="T523" s="4" t="str">
        <f t="shared" si="2"/>
        <v>Valid</v>
      </c>
      <c r="U523" s="4">
        <f t="shared" si="3"/>
        <v>1</v>
      </c>
      <c r="V523" s="4" t="str">
        <f t="shared" si="4"/>
        <v>Unique</v>
      </c>
      <c r="W523" s="4" t="str">
        <f t="shared" si="5"/>
        <v>Unknown</v>
      </c>
      <c r="X523" s="4" t="str">
        <f t="shared" ref="X523:Z523" si="527">IF(Q523="","Unknown",Q523)</f>
        <v>Sungai Penuh, Indonesia</v>
      </c>
      <c r="Y523" s="4" t="str">
        <f t="shared" si="527"/>
        <v>Unknown</v>
      </c>
      <c r="Z523" s="4" t="str">
        <f t="shared" si="527"/>
        <v>Unknown</v>
      </c>
      <c r="AA523" s="4" t="str">
        <f t="shared" si="7"/>
        <v>mwc</v>
      </c>
    </row>
    <row r="524">
      <c r="A524" s="3" t="s">
        <v>1292</v>
      </c>
      <c r="B524" s="3">
        <v>6.7</v>
      </c>
      <c r="C524" s="19">
        <f>Raw_Data!T524</f>
        <v>40472.74514</v>
      </c>
      <c r="D524" s="3">
        <v>5.0</v>
      </c>
      <c r="E524" s="3">
        <v>5.0</v>
      </c>
      <c r="F524" s="4"/>
      <c r="G524" s="3">
        <v>0.0</v>
      </c>
      <c r="H524" s="3">
        <v>776.0</v>
      </c>
      <c r="I524" s="3" t="s">
        <v>110</v>
      </c>
      <c r="J524" s="3">
        <v>352.0</v>
      </c>
      <c r="K524" s="3">
        <v>0.0</v>
      </c>
      <c r="L524" s="3">
        <v>50.3</v>
      </c>
      <c r="M524" s="4" t="str">
        <f>Raw_Data!X524</f>
        <v>mwc</v>
      </c>
      <c r="N524" s="3">
        <v>13.0</v>
      </c>
      <c r="O524" s="3">
        <v>24.696</v>
      </c>
      <c r="P524" s="3">
        <v>-109.156</v>
      </c>
      <c r="Q524" s="3" t="s">
        <v>1294</v>
      </c>
      <c r="R524" s="4"/>
      <c r="S524" s="4"/>
      <c r="T524" s="4" t="str">
        <f t="shared" si="2"/>
        <v>Valid</v>
      </c>
      <c r="U524" s="4">
        <f t="shared" si="3"/>
        <v>1</v>
      </c>
      <c r="V524" s="4" t="str">
        <f t="shared" si="4"/>
        <v>Unique</v>
      </c>
      <c r="W524" s="4" t="str">
        <f t="shared" si="5"/>
        <v>Unknown</v>
      </c>
      <c r="X524" s="4" t="str">
        <f t="shared" ref="X524:Z524" si="528">IF(Q524="","Unknown",Q524)</f>
        <v>El Huitusi, Mexico</v>
      </c>
      <c r="Y524" s="4" t="str">
        <f t="shared" si="528"/>
        <v>Unknown</v>
      </c>
      <c r="Z524" s="4" t="str">
        <f t="shared" si="528"/>
        <v>Unknown</v>
      </c>
      <c r="AA524" s="4" t="str">
        <f t="shared" si="7"/>
        <v>mwc</v>
      </c>
    </row>
    <row r="525">
      <c r="A525" s="3" t="s">
        <v>1295</v>
      </c>
      <c r="B525" s="3">
        <v>7.0</v>
      </c>
      <c r="C525" s="19">
        <f>Raw_Data!T525</f>
        <v>40450.71597</v>
      </c>
      <c r="D525" s="3">
        <v>8.0</v>
      </c>
      <c r="E525" s="3">
        <v>5.0</v>
      </c>
      <c r="F525" s="4"/>
      <c r="G525" s="3">
        <v>0.0</v>
      </c>
      <c r="H525" s="3">
        <v>772.0</v>
      </c>
      <c r="I525" s="3" t="s">
        <v>110</v>
      </c>
      <c r="J525" s="3">
        <v>271.0</v>
      </c>
      <c r="K525" s="3">
        <v>0.0</v>
      </c>
      <c r="L525" s="3">
        <v>15.1</v>
      </c>
      <c r="M525" s="4" t="str">
        <f>Raw_Data!X525</f>
        <v>mwc</v>
      </c>
      <c r="N525" s="3">
        <v>26.0</v>
      </c>
      <c r="O525" s="3">
        <v>-4.963</v>
      </c>
      <c r="P525" s="3">
        <v>133.76</v>
      </c>
      <c r="Q525" s="3" t="s">
        <v>1297</v>
      </c>
      <c r="R525" s="4"/>
      <c r="S525" s="3" t="s">
        <v>153</v>
      </c>
      <c r="T525" s="4" t="str">
        <f t="shared" si="2"/>
        <v>Valid</v>
      </c>
      <c r="U525" s="4">
        <f t="shared" si="3"/>
        <v>1</v>
      </c>
      <c r="V525" s="4" t="str">
        <f t="shared" si="4"/>
        <v>Unique</v>
      </c>
      <c r="W525" s="4" t="str">
        <f t="shared" si="5"/>
        <v>Unknown</v>
      </c>
      <c r="X525" s="4" t="str">
        <f t="shared" ref="X525:Z525" si="529">IF(Q525="","Unknown",Q525)</f>
        <v>Papua, Indonesia</v>
      </c>
      <c r="Y525" s="4" t="str">
        <f t="shared" si="529"/>
        <v>Unknown</v>
      </c>
      <c r="Z525" s="4" t="str">
        <f t="shared" si="529"/>
        <v>Indonesia</v>
      </c>
      <c r="AA525" s="4" t="str">
        <f t="shared" si="7"/>
        <v>mwc</v>
      </c>
    </row>
    <row r="526">
      <c r="A526" s="3" t="s">
        <v>1298</v>
      </c>
      <c r="B526" s="3">
        <v>7.0</v>
      </c>
      <c r="C526" s="19">
        <f>Raw_Data!T526</f>
        <v>40424.69097</v>
      </c>
      <c r="D526" s="3">
        <v>8.0</v>
      </c>
      <c r="E526" s="3">
        <v>8.0</v>
      </c>
      <c r="F526" s="4"/>
      <c r="G526" s="3">
        <v>0.0</v>
      </c>
      <c r="H526" s="3">
        <v>1245.0</v>
      </c>
      <c r="I526" s="3" t="s">
        <v>110</v>
      </c>
      <c r="J526" s="3">
        <v>365.0</v>
      </c>
      <c r="K526" s="3">
        <v>0.0</v>
      </c>
      <c r="L526" s="3">
        <v>15.8</v>
      </c>
      <c r="M526" s="4" t="str">
        <f>Raw_Data!X526</f>
        <v>mwc</v>
      </c>
      <c r="N526" s="3">
        <v>12.0</v>
      </c>
      <c r="O526" s="3">
        <v>-43.522</v>
      </c>
      <c r="P526" s="3">
        <v>171.83</v>
      </c>
      <c r="Q526" s="3" t="s">
        <v>1299</v>
      </c>
      <c r="R526" s="4"/>
      <c r="S526" s="3" t="s">
        <v>759</v>
      </c>
      <c r="T526" s="4" t="str">
        <f t="shared" si="2"/>
        <v>Valid</v>
      </c>
      <c r="U526" s="4">
        <f t="shared" si="3"/>
        <v>1</v>
      </c>
      <c r="V526" s="4" t="str">
        <f t="shared" si="4"/>
        <v>Unique</v>
      </c>
      <c r="W526" s="4" t="str">
        <f t="shared" si="5"/>
        <v>Unknown</v>
      </c>
      <c r="X526" s="4" t="str">
        <f t="shared" ref="X526:Z526" si="530">IF(Q526="","Unknown",Q526)</f>
        <v>Methven, New Zealand</v>
      </c>
      <c r="Y526" s="4" t="str">
        <f t="shared" si="530"/>
        <v>Unknown</v>
      </c>
      <c r="Z526" s="4" t="str">
        <f t="shared" si="530"/>
        <v>New Zealand</v>
      </c>
      <c r="AA526" s="4" t="str">
        <f t="shared" si="7"/>
        <v>mwc</v>
      </c>
    </row>
    <row r="527">
      <c r="A527" s="3" t="s">
        <v>1300</v>
      </c>
      <c r="B527" s="3">
        <v>7.1</v>
      </c>
      <c r="C527" s="19">
        <f>Raw_Data!T527</f>
        <v>40402.49583</v>
      </c>
      <c r="D527" s="3">
        <v>6.0</v>
      </c>
      <c r="E527" s="3">
        <v>5.0</v>
      </c>
      <c r="F527" s="4"/>
      <c r="G527" s="3">
        <v>0.0</v>
      </c>
      <c r="H527" s="3">
        <v>945.0</v>
      </c>
      <c r="I527" s="3" t="s">
        <v>110</v>
      </c>
      <c r="J527" s="3">
        <v>672.0</v>
      </c>
      <c r="K527" s="3">
        <v>0.0</v>
      </c>
      <c r="L527" s="3">
        <v>12.4</v>
      </c>
      <c r="M527" s="4" t="str">
        <f>Raw_Data!X527</f>
        <v>mwc</v>
      </c>
      <c r="N527" s="3">
        <v>206.7</v>
      </c>
      <c r="O527" s="3">
        <v>-1.266</v>
      </c>
      <c r="P527" s="3">
        <v>-77.306</v>
      </c>
      <c r="Q527" s="3" t="s">
        <v>179</v>
      </c>
      <c r="R527" s="3" t="s">
        <v>121</v>
      </c>
      <c r="S527" s="3" t="s">
        <v>179</v>
      </c>
      <c r="T527" s="4" t="str">
        <f t="shared" si="2"/>
        <v>Valid</v>
      </c>
      <c r="U527" s="4">
        <f t="shared" si="3"/>
        <v>1</v>
      </c>
      <c r="V527" s="4" t="str">
        <f t="shared" si="4"/>
        <v>Unique</v>
      </c>
      <c r="W527" s="4" t="str">
        <f t="shared" si="5"/>
        <v>Unknown</v>
      </c>
      <c r="X527" s="4" t="str">
        <f t="shared" ref="X527:Z527" si="531">IF(Q527="","Unknown",Q527)</f>
        <v>Ecuador</v>
      </c>
      <c r="Y527" s="4" t="str">
        <f t="shared" si="531"/>
        <v>South America</v>
      </c>
      <c r="Z527" s="4" t="str">
        <f t="shared" si="531"/>
        <v>Ecuador</v>
      </c>
      <c r="AA527" s="4" t="str">
        <f t="shared" si="7"/>
        <v>mwc</v>
      </c>
    </row>
    <row r="528">
      <c r="A528" s="3" t="s">
        <v>1301</v>
      </c>
      <c r="B528" s="3">
        <v>7.3</v>
      </c>
      <c r="C528" s="19">
        <f>Raw_Data!T528</f>
        <v>40400.22431</v>
      </c>
      <c r="D528" s="3">
        <v>7.0</v>
      </c>
      <c r="E528" s="3">
        <v>7.0</v>
      </c>
      <c r="F528" s="4"/>
      <c r="G528" s="3">
        <v>0.0</v>
      </c>
      <c r="H528" s="3">
        <v>850.0</v>
      </c>
      <c r="I528" s="3" t="s">
        <v>110</v>
      </c>
      <c r="J528" s="3">
        <v>405.0</v>
      </c>
      <c r="K528" s="3">
        <v>0.0</v>
      </c>
      <c r="L528" s="3">
        <v>20.2</v>
      </c>
      <c r="M528" s="4" t="str">
        <f>Raw_Data!X528</f>
        <v>mwc</v>
      </c>
      <c r="N528" s="3">
        <v>25.0</v>
      </c>
      <c r="O528" s="3">
        <v>-17.541</v>
      </c>
      <c r="P528" s="3">
        <v>168.069</v>
      </c>
      <c r="Q528" s="3" t="s">
        <v>948</v>
      </c>
      <c r="R528" s="4"/>
      <c r="S528" s="3" t="s">
        <v>113</v>
      </c>
      <c r="T528" s="4" t="str">
        <f t="shared" si="2"/>
        <v>Valid</v>
      </c>
      <c r="U528" s="4">
        <f t="shared" si="3"/>
        <v>1</v>
      </c>
      <c r="V528" s="4" t="str">
        <f t="shared" si="4"/>
        <v>Unique</v>
      </c>
      <c r="W528" s="4" t="str">
        <f t="shared" si="5"/>
        <v>Unknown</v>
      </c>
      <c r="X528" s="4" t="str">
        <f t="shared" ref="X528:Z528" si="532">IF(Q528="","Unknown",Q528)</f>
        <v>Port-Vila, Vanuatu</v>
      </c>
      <c r="Y528" s="4" t="str">
        <f t="shared" si="532"/>
        <v>Unknown</v>
      </c>
      <c r="Z528" s="4" t="str">
        <f t="shared" si="532"/>
        <v>Vanuatu</v>
      </c>
      <c r="AA528" s="4" t="str">
        <f t="shared" si="7"/>
        <v>mwc</v>
      </c>
    </row>
    <row r="529">
      <c r="A529" s="3" t="s">
        <v>1302</v>
      </c>
      <c r="B529" s="3">
        <v>7.0</v>
      </c>
      <c r="C529" s="19">
        <f>Raw_Data!T529</f>
        <v>40394.91736</v>
      </c>
      <c r="D529" s="3">
        <v>4.0</v>
      </c>
      <c r="E529" s="3">
        <v>6.0</v>
      </c>
      <c r="F529" s="4"/>
      <c r="G529" s="3">
        <v>0.0</v>
      </c>
      <c r="H529" s="3">
        <v>757.0</v>
      </c>
      <c r="I529" s="3" t="s">
        <v>110</v>
      </c>
      <c r="J529" s="3">
        <v>396.0</v>
      </c>
      <c r="K529" s="3">
        <v>0.0</v>
      </c>
      <c r="L529" s="3">
        <v>12.7</v>
      </c>
      <c r="M529" s="4" t="str">
        <f>Raw_Data!X529</f>
        <v>mww</v>
      </c>
      <c r="N529" s="3">
        <v>44.0</v>
      </c>
      <c r="O529" s="3">
        <v>-5.746</v>
      </c>
      <c r="P529" s="3">
        <v>150.765</v>
      </c>
      <c r="Q529" s="3" t="s">
        <v>187</v>
      </c>
      <c r="R529" s="4"/>
      <c r="S529" s="3" t="s">
        <v>168</v>
      </c>
      <c r="T529" s="4" t="str">
        <f t="shared" si="2"/>
        <v>Valid</v>
      </c>
      <c r="U529" s="4">
        <f t="shared" si="3"/>
        <v>1</v>
      </c>
      <c r="V529" s="4" t="str">
        <f t="shared" si="4"/>
        <v>Unique</v>
      </c>
      <c r="W529" s="4" t="str">
        <f t="shared" si="5"/>
        <v>Unknown</v>
      </c>
      <c r="X529" s="4" t="str">
        <f t="shared" ref="X529:Z529" si="533">IF(Q529="","Unknown",Q529)</f>
        <v>Kimbe, Papua New Guinea</v>
      </c>
      <c r="Y529" s="4" t="str">
        <f t="shared" si="533"/>
        <v>Unknown</v>
      </c>
      <c r="Z529" s="4" t="str">
        <f t="shared" si="533"/>
        <v>Papua New Guinea</v>
      </c>
      <c r="AA529" s="4" t="str">
        <f t="shared" si="7"/>
        <v>mww</v>
      </c>
    </row>
    <row r="530">
      <c r="A530" s="3" t="s">
        <v>1303</v>
      </c>
      <c r="B530" s="3">
        <v>6.5</v>
      </c>
      <c r="C530" s="19">
        <f>Raw_Data!T530</f>
        <v>40394.30208</v>
      </c>
      <c r="D530" s="3">
        <v>5.0</v>
      </c>
      <c r="E530" s="3">
        <v>4.0</v>
      </c>
      <c r="F530" s="4"/>
      <c r="G530" s="3">
        <v>0.0</v>
      </c>
      <c r="H530" s="3">
        <v>659.0</v>
      </c>
      <c r="I530" s="3" t="s">
        <v>110</v>
      </c>
      <c r="J530" s="3">
        <v>403.0</v>
      </c>
      <c r="K530" s="3">
        <v>0.0</v>
      </c>
      <c r="L530" s="3">
        <v>11.1</v>
      </c>
      <c r="M530" s="4" t="str">
        <f>Raw_Data!X530</f>
        <v>mwc</v>
      </c>
      <c r="N530" s="3">
        <v>220.0</v>
      </c>
      <c r="O530" s="3">
        <v>-5.486</v>
      </c>
      <c r="P530" s="3">
        <v>146.822</v>
      </c>
      <c r="Q530" s="3" t="s">
        <v>1304</v>
      </c>
      <c r="R530" s="4"/>
      <c r="S530" s="3" t="s">
        <v>168</v>
      </c>
      <c r="T530" s="4" t="str">
        <f t="shared" si="2"/>
        <v>Valid</v>
      </c>
      <c r="U530" s="4">
        <f t="shared" si="3"/>
        <v>1</v>
      </c>
      <c r="V530" s="4" t="str">
        <f t="shared" si="4"/>
        <v>Unique</v>
      </c>
      <c r="W530" s="4" t="str">
        <f t="shared" si="5"/>
        <v>Unknown</v>
      </c>
      <c r="X530" s="4" t="str">
        <f t="shared" ref="X530:Z530" si="534">IF(Q530="","Unknown",Q530)</f>
        <v>Madang, Papua New Guinea</v>
      </c>
      <c r="Y530" s="4" t="str">
        <f t="shared" si="534"/>
        <v>Unknown</v>
      </c>
      <c r="Z530" s="4" t="str">
        <f t="shared" si="534"/>
        <v>Papua New Guinea</v>
      </c>
      <c r="AA530" s="4" t="str">
        <f t="shared" si="7"/>
        <v>mwc</v>
      </c>
    </row>
    <row r="531">
      <c r="A531" s="3" t="s">
        <v>1305</v>
      </c>
      <c r="B531" s="3">
        <v>7.6</v>
      </c>
      <c r="C531" s="19">
        <f>Raw_Data!T531</f>
        <v>40382.95208</v>
      </c>
      <c r="D531" s="3">
        <v>5.0</v>
      </c>
      <c r="E531" s="3">
        <v>3.0</v>
      </c>
      <c r="F531" s="4"/>
      <c r="G531" s="3">
        <v>0.0</v>
      </c>
      <c r="H531" s="3">
        <v>902.0</v>
      </c>
      <c r="I531" s="3" t="s">
        <v>110</v>
      </c>
      <c r="J531" s="3">
        <v>340.0</v>
      </c>
      <c r="K531" s="3">
        <v>0.0</v>
      </c>
      <c r="L531" s="3">
        <v>15.1</v>
      </c>
      <c r="M531" s="4" t="str">
        <f>Raw_Data!X531</f>
        <v>mwc</v>
      </c>
      <c r="N531" s="3">
        <v>578.0</v>
      </c>
      <c r="O531" s="3">
        <v>6.497</v>
      </c>
      <c r="P531" s="3">
        <v>123.48</v>
      </c>
      <c r="Q531" s="3" t="s">
        <v>1307</v>
      </c>
      <c r="R531" s="4"/>
      <c r="S531" s="3" t="s">
        <v>258</v>
      </c>
      <c r="T531" s="4" t="str">
        <f t="shared" si="2"/>
        <v>Valid</v>
      </c>
      <c r="U531" s="4">
        <f t="shared" si="3"/>
        <v>1</v>
      </c>
      <c r="V531" s="4" t="str">
        <f t="shared" si="4"/>
        <v>Unique</v>
      </c>
      <c r="W531" s="4" t="str">
        <f t="shared" si="5"/>
        <v>Unknown</v>
      </c>
      <c r="X531" s="4" t="str">
        <f t="shared" ref="X531:Z531" si="535">IF(Q531="","Unknown",Q531)</f>
        <v>Bantogon, Philippines</v>
      </c>
      <c r="Y531" s="4" t="str">
        <f t="shared" si="535"/>
        <v>Unknown</v>
      </c>
      <c r="Z531" s="4" t="str">
        <f t="shared" si="535"/>
        <v>Philippines</v>
      </c>
      <c r="AA531" s="4" t="str">
        <f t="shared" si="7"/>
        <v>mwc</v>
      </c>
    </row>
    <row r="532">
      <c r="A532" s="3" t="s">
        <v>1308</v>
      </c>
      <c r="B532" s="3">
        <v>7.3</v>
      </c>
      <c r="C532" s="19">
        <f>Raw_Data!T532</f>
        <v>40377.56528</v>
      </c>
      <c r="D532" s="3">
        <v>8.0</v>
      </c>
      <c r="E532" s="3">
        <v>7.0</v>
      </c>
      <c r="F532" s="4"/>
      <c r="G532" s="3">
        <v>0.0</v>
      </c>
      <c r="H532" s="3">
        <v>831.0</v>
      </c>
      <c r="I532" s="3" t="s">
        <v>110</v>
      </c>
      <c r="J532" s="3">
        <v>397.0</v>
      </c>
      <c r="K532" s="3">
        <v>0.0</v>
      </c>
      <c r="L532" s="3">
        <v>18.2</v>
      </c>
      <c r="M532" s="4" t="str">
        <f>Raw_Data!X532</f>
        <v>mwc</v>
      </c>
      <c r="N532" s="3">
        <v>35.0</v>
      </c>
      <c r="O532" s="3">
        <v>-5.931</v>
      </c>
      <c r="P532" s="3">
        <v>150.59</v>
      </c>
      <c r="Q532" s="3" t="s">
        <v>1310</v>
      </c>
      <c r="R532" s="4"/>
      <c r="S532" s="3" t="s">
        <v>168</v>
      </c>
      <c r="T532" s="4" t="str">
        <f t="shared" si="2"/>
        <v>Valid</v>
      </c>
      <c r="U532" s="4">
        <f t="shared" si="3"/>
        <v>1</v>
      </c>
      <c r="V532" s="4" t="str">
        <f t="shared" si="4"/>
        <v>Unique</v>
      </c>
      <c r="W532" s="4" t="str">
        <f t="shared" si="5"/>
        <v>Unknown</v>
      </c>
      <c r="X532" s="4" t="str">
        <f t="shared" ref="X532:Z532" si="536">IF(Q532="","Unknown",Q532)</f>
        <v>New Britain region, Papua New Guinea</v>
      </c>
      <c r="Y532" s="4" t="str">
        <f t="shared" si="536"/>
        <v>Unknown</v>
      </c>
      <c r="Z532" s="4" t="str">
        <f t="shared" si="536"/>
        <v>Papua New Guinea</v>
      </c>
      <c r="AA532" s="4" t="str">
        <f t="shared" si="7"/>
        <v>mwc</v>
      </c>
    </row>
    <row r="533">
      <c r="A533" s="3" t="s">
        <v>1311</v>
      </c>
      <c r="B533" s="3">
        <v>6.9</v>
      </c>
      <c r="C533" s="19">
        <f>Raw_Data!T533</f>
        <v>40377.54444</v>
      </c>
      <c r="D533" s="3">
        <v>4.0</v>
      </c>
      <c r="E533" s="3">
        <v>7.0</v>
      </c>
      <c r="F533" s="4"/>
      <c r="G533" s="3">
        <v>0.0</v>
      </c>
      <c r="H533" s="3">
        <v>737.0</v>
      </c>
      <c r="I533" s="3" t="s">
        <v>110</v>
      </c>
      <c r="J533" s="3">
        <v>456.0</v>
      </c>
      <c r="K533" s="3">
        <v>0.0</v>
      </c>
      <c r="L533" s="3">
        <v>15.7</v>
      </c>
      <c r="M533" s="4" t="str">
        <f>Raw_Data!X533</f>
        <v>mwc</v>
      </c>
      <c r="N533" s="3">
        <v>28.0</v>
      </c>
      <c r="O533" s="3">
        <v>-5.966</v>
      </c>
      <c r="P533" s="3">
        <v>150.428</v>
      </c>
      <c r="Q533" s="3" t="s">
        <v>187</v>
      </c>
      <c r="R533" s="4"/>
      <c r="S533" s="3" t="s">
        <v>168</v>
      </c>
      <c r="T533" s="4" t="str">
        <f t="shared" si="2"/>
        <v>Valid</v>
      </c>
      <c r="U533" s="4">
        <f t="shared" si="3"/>
        <v>1</v>
      </c>
      <c r="V533" s="4" t="str">
        <f t="shared" si="4"/>
        <v>Unique</v>
      </c>
      <c r="W533" s="4" t="str">
        <f t="shared" si="5"/>
        <v>Unknown</v>
      </c>
      <c r="X533" s="4" t="str">
        <f t="shared" ref="X533:Z533" si="537">IF(Q533="","Unknown",Q533)</f>
        <v>Kimbe, Papua New Guinea</v>
      </c>
      <c r="Y533" s="4" t="str">
        <f t="shared" si="537"/>
        <v>Unknown</v>
      </c>
      <c r="Z533" s="4" t="str">
        <f t="shared" si="537"/>
        <v>Papua New Guinea</v>
      </c>
      <c r="AA533" s="4" t="str">
        <f t="shared" si="7"/>
        <v>mwc</v>
      </c>
    </row>
    <row r="534">
      <c r="A534" s="3" t="s">
        <v>1313</v>
      </c>
      <c r="B534" s="3">
        <v>6.6</v>
      </c>
      <c r="C534" s="19">
        <f>Raw_Data!T534</f>
        <v>40373.35556</v>
      </c>
      <c r="D534" s="3">
        <v>6.0</v>
      </c>
      <c r="E534" s="3">
        <v>7.0</v>
      </c>
      <c r="F534" s="4"/>
      <c r="G534" s="3">
        <v>0.0</v>
      </c>
      <c r="H534" s="3">
        <v>753.0</v>
      </c>
      <c r="I534" s="3" t="s">
        <v>110</v>
      </c>
      <c r="J534" s="3">
        <v>295.0</v>
      </c>
      <c r="K534" s="3">
        <v>0.0</v>
      </c>
      <c r="L534" s="3">
        <v>52.8</v>
      </c>
      <c r="M534" s="4" t="str">
        <f>Raw_Data!X534</f>
        <v>mwc</v>
      </c>
      <c r="N534" s="3">
        <v>22.0</v>
      </c>
      <c r="O534" s="3">
        <v>-38.067</v>
      </c>
      <c r="P534" s="3">
        <v>-73.31</v>
      </c>
      <c r="Q534" s="3" t="s">
        <v>1315</v>
      </c>
      <c r="R534" s="3" t="s">
        <v>121</v>
      </c>
      <c r="S534" s="3" t="s">
        <v>414</v>
      </c>
      <c r="T534" s="4" t="str">
        <f t="shared" si="2"/>
        <v>Valid</v>
      </c>
      <c r="U534" s="4">
        <f t="shared" si="3"/>
        <v>1</v>
      </c>
      <c r="V534" s="4" t="str">
        <f t="shared" si="4"/>
        <v>Unique</v>
      </c>
      <c r="W534" s="4" t="str">
        <f t="shared" si="5"/>
        <v>Unknown</v>
      </c>
      <c r="X534" s="4" t="str">
        <f t="shared" ref="X534:Z534" si="538">IF(Q534="","Unknown",Q534)</f>
        <v>Cañete, Chile</v>
      </c>
      <c r="Y534" s="4" t="str">
        <f t="shared" si="538"/>
        <v>South America</v>
      </c>
      <c r="Z534" s="4" t="str">
        <f t="shared" si="538"/>
        <v>Chile</v>
      </c>
      <c r="AA534" s="4" t="str">
        <f t="shared" si="7"/>
        <v>mwc</v>
      </c>
    </row>
    <row r="535">
      <c r="A535" s="3" t="s">
        <v>1316</v>
      </c>
      <c r="B535" s="3">
        <v>6.7</v>
      </c>
      <c r="C535" s="19">
        <f>Raw_Data!T535</f>
        <v>40355.22917</v>
      </c>
      <c r="D535" s="3">
        <v>5.0</v>
      </c>
      <c r="E535" s="3">
        <v>6.0</v>
      </c>
      <c r="F535" s="4"/>
      <c r="G535" s="3">
        <v>0.0</v>
      </c>
      <c r="H535" s="3">
        <v>696.0</v>
      </c>
      <c r="I535" s="3" t="s">
        <v>110</v>
      </c>
      <c r="J535" s="3">
        <v>392.0</v>
      </c>
      <c r="K535" s="3">
        <v>0.0</v>
      </c>
      <c r="L535" s="3">
        <v>18.7</v>
      </c>
      <c r="M535" s="4" t="str">
        <f>Raw_Data!X535</f>
        <v>mwc</v>
      </c>
      <c r="N535" s="3">
        <v>35.0</v>
      </c>
      <c r="O535" s="3">
        <v>-10.627</v>
      </c>
      <c r="P535" s="3">
        <v>161.447</v>
      </c>
      <c r="Q535" s="3" t="s">
        <v>595</v>
      </c>
      <c r="R535" s="4"/>
      <c r="S535" s="3" t="s">
        <v>214</v>
      </c>
      <c r="T535" s="4" t="str">
        <f t="shared" si="2"/>
        <v>Valid</v>
      </c>
      <c r="U535" s="4">
        <f t="shared" si="3"/>
        <v>1</v>
      </c>
      <c r="V535" s="4" t="str">
        <f t="shared" si="4"/>
        <v>Unique</v>
      </c>
      <c r="W535" s="4" t="str">
        <f t="shared" si="5"/>
        <v>Unknown</v>
      </c>
      <c r="X535" s="4" t="str">
        <f t="shared" ref="X535:Z535" si="539">IF(Q535="","Unknown",Q535)</f>
        <v>Kirakira, Solomon Islands</v>
      </c>
      <c r="Y535" s="4" t="str">
        <f t="shared" si="539"/>
        <v>Unknown</v>
      </c>
      <c r="Z535" s="4" t="str">
        <f t="shared" si="539"/>
        <v>Solomon Islands</v>
      </c>
      <c r="AA535" s="4" t="str">
        <f t="shared" si="7"/>
        <v>mwc</v>
      </c>
    </row>
    <row r="536">
      <c r="A536" s="3" t="s">
        <v>1318</v>
      </c>
      <c r="B536" s="3">
        <v>6.6</v>
      </c>
      <c r="C536" s="19">
        <f>Raw_Data!T536</f>
        <v>40345.16528</v>
      </c>
      <c r="D536" s="3">
        <v>0.0</v>
      </c>
      <c r="E536" s="3">
        <v>7.0</v>
      </c>
      <c r="F536" s="4"/>
      <c r="G536" s="3">
        <v>0.0</v>
      </c>
      <c r="H536" s="3">
        <v>670.0</v>
      </c>
      <c r="I536" s="3" t="s">
        <v>110</v>
      </c>
      <c r="J536" s="3">
        <v>309.0</v>
      </c>
      <c r="K536" s="3">
        <v>0.0</v>
      </c>
      <c r="L536" s="3">
        <v>25.0</v>
      </c>
      <c r="M536" s="4" t="str">
        <f>Raw_Data!X536</f>
        <v>mwc</v>
      </c>
      <c r="N536" s="3">
        <v>10.5</v>
      </c>
      <c r="O536" s="3">
        <v>-2.329</v>
      </c>
      <c r="P536" s="3">
        <v>136.484</v>
      </c>
      <c r="Q536" s="3" t="s">
        <v>1320</v>
      </c>
      <c r="R536" s="4"/>
      <c r="S536" s="3" t="s">
        <v>153</v>
      </c>
      <c r="T536" s="4" t="str">
        <f t="shared" si="2"/>
        <v>Valid</v>
      </c>
      <c r="U536" s="4">
        <f t="shared" si="3"/>
        <v>1</v>
      </c>
      <c r="V536" s="4" t="str">
        <f t="shared" si="4"/>
        <v>Unique</v>
      </c>
      <c r="W536" s="4" t="str">
        <f t="shared" si="5"/>
        <v>Unknown</v>
      </c>
      <c r="X536" s="4" t="str">
        <f t="shared" ref="X536:Z536" si="540">IF(Q536="","Unknown",Q536)</f>
        <v>Biak, Indonesia</v>
      </c>
      <c r="Y536" s="4" t="str">
        <f t="shared" si="540"/>
        <v>Unknown</v>
      </c>
      <c r="Z536" s="4" t="str">
        <f t="shared" si="540"/>
        <v>Indonesia</v>
      </c>
      <c r="AA536" s="4" t="str">
        <f t="shared" si="7"/>
        <v>mwc</v>
      </c>
    </row>
    <row r="537">
      <c r="A537" s="3" t="s">
        <v>1321</v>
      </c>
      <c r="B537" s="3">
        <v>7.0</v>
      </c>
      <c r="C537" s="19">
        <f>Raw_Data!T537</f>
        <v>40345.13611</v>
      </c>
      <c r="D537" s="3">
        <v>3.0</v>
      </c>
      <c r="E537" s="3">
        <v>7.0</v>
      </c>
      <c r="F537" s="4"/>
      <c r="G537" s="3">
        <v>0.0</v>
      </c>
      <c r="H537" s="3">
        <v>755.0</v>
      </c>
      <c r="I537" s="3" t="s">
        <v>110</v>
      </c>
      <c r="J537" s="3">
        <v>307.0</v>
      </c>
      <c r="K537" s="3">
        <v>0.0</v>
      </c>
      <c r="L537" s="3">
        <v>18.1</v>
      </c>
      <c r="M537" s="4" t="str">
        <f>Raw_Data!X537</f>
        <v>mwc</v>
      </c>
      <c r="N537" s="3">
        <v>18.0</v>
      </c>
      <c r="O537" s="3">
        <v>-2.174</v>
      </c>
      <c r="P537" s="3">
        <v>136.543</v>
      </c>
      <c r="Q537" s="3" t="s">
        <v>1320</v>
      </c>
      <c r="R537" s="4"/>
      <c r="S537" s="3" t="s">
        <v>153</v>
      </c>
      <c r="T537" s="4" t="str">
        <f t="shared" si="2"/>
        <v>Valid</v>
      </c>
      <c r="U537" s="4">
        <f t="shared" si="3"/>
        <v>1</v>
      </c>
      <c r="V537" s="4" t="str">
        <f t="shared" si="4"/>
        <v>Unique</v>
      </c>
      <c r="W537" s="4" t="str">
        <f t="shared" si="5"/>
        <v>Unknown</v>
      </c>
      <c r="X537" s="4" t="str">
        <f t="shared" ref="X537:Z537" si="541">IF(Q537="","Unknown",Q537)</f>
        <v>Biak, Indonesia</v>
      </c>
      <c r="Y537" s="4" t="str">
        <f t="shared" si="541"/>
        <v>Unknown</v>
      </c>
      <c r="Z537" s="4" t="str">
        <f t="shared" si="541"/>
        <v>Indonesia</v>
      </c>
      <c r="AA537" s="4" t="str">
        <f t="shared" si="7"/>
        <v>mwc</v>
      </c>
    </row>
    <row r="538">
      <c r="A538" s="3" t="s">
        <v>1323</v>
      </c>
      <c r="B538" s="3">
        <v>7.5</v>
      </c>
      <c r="C538" s="19">
        <f>Raw_Data!T538</f>
        <v>40341.80972</v>
      </c>
      <c r="D538" s="3">
        <v>6.0</v>
      </c>
      <c r="E538" s="3">
        <v>5.0</v>
      </c>
      <c r="F538" s="4"/>
      <c r="G538" s="3">
        <v>0.0</v>
      </c>
      <c r="H538" s="3">
        <v>1144.0</v>
      </c>
      <c r="I538" s="3" t="s">
        <v>110</v>
      </c>
      <c r="J538" s="3">
        <v>514.0</v>
      </c>
      <c r="K538" s="3">
        <v>0.0</v>
      </c>
      <c r="L538" s="3">
        <v>18.6</v>
      </c>
      <c r="M538" s="4" t="str">
        <f>Raw_Data!X538</f>
        <v>mwc</v>
      </c>
      <c r="N538" s="3">
        <v>35.0</v>
      </c>
      <c r="O538" s="3">
        <v>7.881</v>
      </c>
      <c r="P538" s="3">
        <v>91.936</v>
      </c>
      <c r="Q538" s="3" t="s">
        <v>860</v>
      </c>
      <c r="R538" s="4"/>
      <c r="S538" s="4"/>
      <c r="T538" s="4" t="str">
        <f t="shared" si="2"/>
        <v>Valid</v>
      </c>
      <c r="U538" s="4">
        <f t="shared" si="3"/>
        <v>1</v>
      </c>
      <c r="V538" s="4" t="str">
        <f t="shared" si="4"/>
        <v>Unique</v>
      </c>
      <c r="W538" s="4" t="str">
        <f t="shared" si="5"/>
        <v>Unknown</v>
      </c>
      <c r="X538" s="4" t="str">
        <f t="shared" ref="X538:Z538" si="542">IF(Q538="","Unknown",Q538)</f>
        <v>Nicobar Islands, India region</v>
      </c>
      <c r="Y538" s="4" t="str">
        <f t="shared" si="542"/>
        <v>Unknown</v>
      </c>
      <c r="Z538" s="4" t="str">
        <f t="shared" si="542"/>
        <v>Unknown</v>
      </c>
      <c r="AA538" s="4" t="str">
        <f t="shared" si="7"/>
        <v>mwc</v>
      </c>
    </row>
    <row r="539">
      <c r="A539" s="3" t="s">
        <v>1324</v>
      </c>
      <c r="B539" s="3">
        <v>7.2</v>
      </c>
      <c r="C539" s="19">
        <f>Raw_Data!T539</f>
        <v>40325.71806</v>
      </c>
      <c r="D539" s="3">
        <v>5.0</v>
      </c>
      <c r="E539" s="3">
        <v>6.0</v>
      </c>
      <c r="F539" s="4"/>
      <c r="G539" s="3">
        <v>0.0</v>
      </c>
      <c r="H539" s="3">
        <v>804.0</v>
      </c>
      <c r="I539" s="3" t="s">
        <v>110</v>
      </c>
      <c r="J539" s="3">
        <v>327.0</v>
      </c>
      <c r="K539" s="3">
        <v>0.0</v>
      </c>
      <c r="L539" s="3">
        <v>11.7</v>
      </c>
      <c r="M539" s="4" t="str">
        <f>Raw_Data!X539</f>
        <v>mwc</v>
      </c>
      <c r="N539" s="3">
        <v>31.0</v>
      </c>
      <c r="O539" s="3">
        <v>-13.698</v>
      </c>
      <c r="P539" s="3">
        <v>166.643</v>
      </c>
      <c r="Q539" s="3" t="s">
        <v>112</v>
      </c>
      <c r="R539" s="4"/>
      <c r="S539" s="3" t="s">
        <v>113</v>
      </c>
      <c r="T539" s="4" t="str">
        <f t="shared" si="2"/>
        <v>Valid</v>
      </c>
      <c r="U539" s="4">
        <f t="shared" si="3"/>
        <v>1</v>
      </c>
      <c r="V539" s="4" t="str">
        <f t="shared" si="4"/>
        <v>Unique</v>
      </c>
      <c r="W539" s="4" t="str">
        <f t="shared" si="5"/>
        <v>Unknown</v>
      </c>
      <c r="X539" s="4" t="str">
        <f t="shared" ref="X539:Z539" si="543">IF(Q539="","Unknown",Q539)</f>
        <v>Sola, Vanuatu</v>
      </c>
      <c r="Y539" s="4" t="str">
        <f t="shared" si="543"/>
        <v>Unknown</v>
      </c>
      <c r="Z539" s="4" t="str">
        <f t="shared" si="543"/>
        <v>Vanuatu</v>
      </c>
      <c r="AA539" s="4" t="str">
        <f t="shared" si="7"/>
        <v>mwc</v>
      </c>
    </row>
    <row r="540">
      <c r="A540" s="3" t="s">
        <v>1326</v>
      </c>
      <c r="B540" s="3">
        <v>7.2</v>
      </c>
      <c r="C540" s="19">
        <f>Raw_Data!T540</f>
        <v>40307.24931</v>
      </c>
      <c r="D540" s="3">
        <v>5.0</v>
      </c>
      <c r="E540" s="3">
        <v>6.0</v>
      </c>
      <c r="F540" s="4"/>
      <c r="G540" s="3">
        <v>0.0</v>
      </c>
      <c r="H540" s="3">
        <v>918.0</v>
      </c>
      <c r="I540" s="3" t="s">
        <v>110</v>
      </c>
      <c r="J540" s="3">
        <v>611.0</v>
      </c>
      <c r="K540" s="3">
        <v>0.0</v>
      </c>
      <c r="L540" s="3">
        <v>20.6</v>
      </c>
      <c r="M540" s="4" t="str">
        <f>Raw_Data!X540</f>
        <v>mwc</v>
      </c>
      <c r="N540" s="3">
        <v>38.0</v>
      </c>
      <c r="O540" s="3">
        <v>3.748</v>
      </c>
      <c r="P540" s="3">
        <v>96.018</v>
      </c>
      <c r="Q540" s="3" t="s">
        <v>1327</v>
      </c>
      <c r="R540" s="4"/>
      <c r="S540" s="3" t="s">
        <v>153</v>
      </c>
      <c r="T540" s="4" t="str">
        <f t="shared" si="2"/>
        <v>Valid</v>
      </c>
      <c r="U540" s="4">
        <f t="shared" si="3"/>
        <v>1</v>
      </c>
      <c r="V540" s="4" t="str">
        <f t="shared" si="4"/>
        <v>Unique</v>
      </c>
      <c r="W540" s="4" t="str">
        <f t="shared" si="5"/>
        <v>Unknown</v>
      </c>
      <c r="X540" s="4" t="str">
        <f t="shared" ref="X540:Z540" si="544">IF(Q540="","Unknown",Q540)</f>
        <v>Meulaboh, Indonesia</v>
      </c>
      <c r="Y540" s="4" t="str">
        <f t="shared" si="544"/>
        <v>Unknown</v>
      </c>
      <c r="Z540" s="4" t="str">
        <f t="shared" si="544"/>
        <v>Indonesia</v>
      </c>
      <c r="AA540" s="4" t="str">
        <f t="shared" si="7"/>
        <v>mwc</v>
      </c>
    </row>
    <row r="541">
      <c r="A541" s="3" t="s">
        <v>1328</v>
      </c>
      <c r="B541" s="3">
        <v>6.9</v>
      </c>
      <c r="C541" s="19">
        <f>Raw_Data!T541</f>
        <v>40281.99236</v>
      </c>
      <c r="D541" s="3">
        <v>6.0</v>
      </c>
      <c r="E541" s="3">
        <v>9.0</v>
      </c>
      <c r="F541" s="4"/>
      <c r="G541" s="3">
        <v>0.0</v>
      </c>
      <c r="H541" s="3">
        <v>773.0</v>
      </c>
      <c r="I541" s="3" t="s">
        <v>110</v>
      </c>
      <c r="J541" s="3">
        <v>410.0</v>
      </c>
      <c r="K541" s="3">
        <v>0.0</v>
      </c>
      <c r="L541" s="3">
        <v>14.9</v>
      </c>
      <c r="M541" s="4" t="str">
        <f>Raw_Data!X541</f>
        <v>mwc</v>
      </c>
      <c r="N541" s="3">
        <v>17.0</v>
      </c>
      <c r="O541" s="3">
        <v>33.165</v>
      </c>
      <c r="P541" s="3">
        <v>96.548</v>
      </c>
      <c r="Q541" s="3" t="s">
        <v>1330</v>
      </c>
      <c r="R541" s="3" t="s">
        <v>164</v>
      </c>
      <c r="S541" s="3" t="s">
        <v>251</v>
      </c>
      <c r="T541" s="4" t="str">
        <f t="shared" si="2"/>
        <v>Valid</v>
      </c>
      <c r="U541" s="4">
        <f t="shared" si="3"/>
        <v>1</v>
      </c>
      <c r="V541" s="4" t="str">
        <f t="shared" si="4"/>
        <v>Unique</v>
      </c>
      <c r="W541" s="4" t="str">
        <f t="shared" si="5"/>
        <v>Unknown</v>
      </c>
      <c r="X541" s="4" t="str">
        <f t="shared" ref="X541:Z541" si="545">IF(Q541="","Unknown",Q541)</f>
        <v>Qamdo, China</v>
      </c>
      <c r="Y541" s="4" t="str">
        <f t="shared" si="545"/>
        <v>Asia</v>
      </c>
      <c r="Z541" s="4" t="str">
        <f t="shared" si="545"/>
        <v>People's Republic of China</v>
      </c>
      <c r="AA541" s="4" t="str">
        <f t="shared" si="7"/>
        <v>mwc</v>
      </c>
    </row>
    <row r="542">
      <c r="A542" s="3" t="s">
        <v>1331</v>
      </c>
      <c r="B542" s="3">
        <v>6.9</v>
      </c>
      <c r="C542" s="19">
        <f>Raw_Data!T542</f>
        <v>40279.40278</v>
      </c>
      <c r="D542" s="3">
        <v>4.0</v>
      </c>
      <c r="E542" s="3">
        <v>5.0</v>
      </c>
      <c r="F542" s="4"/>
      <c r="G542" s="3">
        <v>0.0</v>
      </c>
      <c r="H542" s="3">
        <v>740.0</v>
      </c>
      <c r="I542" s="3" t="s">
        <v>110</v>
      </c>
      <c r="J542" s="3">
        <v>399.0</v>
      </c>
      <c r="K542" s="3">
        <v>0.0</v>
      </c>
      <c r="L542" s="3">
        <v>12.1</v>
      </c>
      <c r="M542" s="4" t="str">
        <f>Raw_Data!X542</f>
        <v>mwc</v>
      </c>
      <c r="N542" s="3">
        <v>21.0</v>
      </c>
      <c r="O542" s="3">
        <v>-10.878</v>
      </c>
      <c r="P542" s="3">
        <v>161.116</v>
      </c>
      <c r="Q542" s="3" t="s">
        <v>595</v>
      </c>
      <c r="R542" s="4"/>
      <c r="S542" s="4"/>
      <c r="T542" s="4" t="str">
        <f t="shared" si="2"/>
        <v>Valid</v>
      </c>
      <c r="U542" s="4">
        <f t="shared" si="3"/>
        <v>1</v>
      </c>
      <c r="V542" s="4" t="str">
        <f t="shared" si="4"/>
        <v>Unique</v>
      </c>
      <c r="W542" s="4" t="str">
        <f t="shared" si="5"/>
        <v>Unknown</v>
      </c>
      <c r="X542" s="4" t="str">
        <f t="shared" ref="X542:Z542" si="546">IF(Q542="","Unknown",Q542)</f>
        <v>Kirakira, Solomon Islands</v>
      </c>
      <c r="Y542" s="4" t="str">
        <f t="shared" si="546"/>
        <v>Unknown</v>
      </c>
      <c r="Z542" s="4" t="str">
        <f t="shared" si="546"/>
        <v>Unknown</v>
      </c>
      <c r="AA542" s="4" t="str">
        <f t="shared" si="7"/>
        <v>mwc</v>
      </c>
    </row>
    <row r="543">
      <c r="A543" s="3" t="s">
        <v>1332</v>
      </c>
      <c r="B543" s="3">
        <v>7.8</v>
      </c>
      <c r="C543" s="19">
        <f>Raw_Data!T543</f>
        <v>40274.92708</v>
      </c>
      <c r="D543" s="3">
        <v>0.0</v>
      </c>
      <c r="E543" s="3">
        <v>7.0</v>
      </c>
      <c r="F543" s="4"/>
      <c r="G543" s="3">
        <v>0.0</v>
      </c>
      <c r="H543" s="3">
        <v>936.0</v>
      </c>
      <c r="I543" s="3" t="s">
        <v>110</v>
      </c>
      <c r="J543" s="3">
        <v>352.0</v>
      </c>
      <c r="K543" s="3">
        <v>0.0</v>
      </c>
      <c r="L543" s="3">
        <v>19.2</v>
      </c>
      <c r="M543" s="4" t="str">
        <f>Raw_Data!X543</f>
        <v>mwc</v>
      </c>
      <c r="N543" s="3">
        <v>31.0</v>
      </c>
      <c r="O543" s="3">
        <v>2.383</v>
      </c>
      <c r="P543" s="3">
        <v>97.048</v>
      </c>
      <c r="Q543" s="3" t="s">
        <v>368</v>
      </c>
      <c r="R543" s="4"/>
      <c r="S543" s="3" t="s">
        <v>153</v>
      </c>
      <c r="T543" s="4" t="str">
        <f t="shared" si="2"/>
        <v>Valid</v>
      </c>
      <c r="U543" s="4">
        <f t="shared" si="3"/>
        <v>1</v>
      </c>
      <c r="V543" s="4" t="str">
        <f t="shared" si="4"/>
        <v>Unique</v>
      </c>
      <c r="W543" s="4" t="str">
        <f t="shared" si="5"/>
        <v>Unknown</v>
      </c>
      <c r="X543" s="4" t="str">
        <f t="shared" ref="X543:Z543" si="547">IF(Q543="","Unknown",Q543)</f>
        <v>Sinabang, Indonesia</v>
      </c>
      <c r="Y543" s="4" t="str">
        <f t="shared" si="547"/>
        <v>Unknown</v>
      </c>
      <c r="Z543" s="4" t="str">
        <f t="shared" si="547"/>
        <v>Indonesia</v>
      </c>
      <c r="AA543" s="4" t="str">
        <f t="shared" si="7"/>
        <v>mwc</v>
      </c>
    </row>
    <row r="544">
      <c r="A544" s="3" t="s">
        <v>1333</v>
      </c>
      <c r="B544" s="3">
        <v>7.2</v>
      </c>
      <c r="C544" s="19">
        <f>Raw_Data!T544</f>
        <v>40272.94444</v>
      </c>
      <c r="D544" s="3">
        <v>9.0</v>
      </c>
      <c r="E544" s="3">
        <v>9.0</v>
      </c>
      <c r="F544" s="3" t="s">
        <v>198</v>
      </c>
      <c r="G544" s="3">
        <v>0.0</v>
      </c>
      <c r="H544" s="3">
        <v>2910.0</v>
      </c>
      <c r="I544" s="3" t="s">
        <v>513</v>
      </c>
      <c r="J544" s="3">
        <v>10.0</v>
      </c>
      <c r="K544" s="3">
        <v>0.5137</v>
      </c>
      <c r="L544" s="3">
        <v>239.0</v>
      </c>
      <c r="M544" s="4" t="str">
        <f>Raw_Data!X544</f>
        <v>mw</v>
      </c>
      <c r="N544" s="3">
        <v>9.987</v>
      </c>
      <c r="O544" s="3">
        <v>32.2862</v>
      </c>
      <c r="P544" s="3">
        <v>-115.295</v>
      </c>
      <c r="Q544" s="3" t="s">
        <v>1334</v>
      </c>
      <c r="R544" s="3" t="s">
        <v>233</v>
      </c>
      <c r="S544" s="3" t="s">
        <v>234</v>
      </c>
      <c r="T544" s="4" t="str">
        <f t="shared" si="2"/>
        <v>Valid</v>
      </c>
      <c r="U544" s="4">
        <f t="shared" si="3"/>
        <v>1</v>
      </c>
      <c r="V544" s="4" t="str">
        <f t="shared" si="4"/>
        <v>Unique</v>
      </c>
      <c r="W544" s="4" t="str">
        <f t="shared" si="5"/>
        <v>red</v>
      </c>
      <c r="X544" s="4" t="str">
        <f t="shared" ref="X544:Z544" si="548">IF(Q544="","Unknown",Q544)</f>
        <v>Delta, B.C., MX</v>
      </c>
      <c r="Y544" s="4" t="str">
        <f t="shared" si="548"/>
        <v>North America</v>
      </c>
      <c r="Z544" s="4" t="str">
        <f t="shared" si="548"/>
        <v>Mexico</v>
      </c>
      <c r="AA544" s="4" t="str">
        <f t="shared" si="7"/>
        <v>mw</v>
      </c>
    </row>
    <row r="545">
      <c r="A545" s="3" t="s">
        <v>1335</v>
      </c>
      <c r="B545" s="3">
        <v>6.6</v>
      </c>
      <c r="C545" s="19">
        <f>Raw_Data!T545</f>
        <v>40267.70417</v>
      </c>
      <c r="D545" s="3">
        <v>5.0</v>
      </c>
      <c r="E545" s="3">
        <v>6.0</v>
      </c>
      <c r="F545" s="4"/>
      <c r="G545" s="3">
        <v>0.0</v>
      </c>
      <c r="H545" s="3">
        <v>701.0</v>
      </c>
      <c r="I545" s="3" t="s">
        <v>110</v>
      </c>
      <c r="J545" s="3">
        <v>413.0</v>
      </c>
      <c r="K545" s="3">
        <v>0.0</v>
      </c>
      <c r="L545" s="3">
        <v>16.7</v>
      </c>
      <c r="M545" s="4" t="str">
        <f>Raw_Data!X545</f>
        <v>mwc</v>
      </c>
      <c r="N545" s="3">
        <v>34.0</v>
      </c>
      <c r="O545" s="3">
        <v>13.667</v>
      </c>
      <c r="P545" s="3">
        <v>92.831</v>
      </c>
      <c r="Q545" s="3" t="s">
        <v>1337</v>
      </c>
      <c r="R545" s="4"/>
      <c r="S545" s="3" t="s">
        <v>835</v>
      </c>
      <c r="T545" s="4" t="str">
        <f t="shared" si="2"/>
        <v>Valid</v>
      </c>
      <c r="U545" s="4">
        <f t="shared" si="3"/>
        <v>1</v>
      </c>
      <c r="V545" s="4" t="str">
        <f t="shared" si="4"/>
        <v>Unique</v>
      </c>
      <c r="W545" s="4" t="str">
        <f t="shared" si="5"/>
        <v>Unknown</v>
      </c>
      <c r="X545" s="4" t="str">
        <f t="shared" ref="X545:Z545" si="549">IF(Q545="","Unknown",Q545)</f>
        <v>Bamboo Flat, India</v>
      </c>
      <c r="Y545" s="4" t="str">
        <f t="shared" si="549"/>
        <v>Unknown</v>
      </c>
      <c r="Z545" s="4" t="str">
        <f t="shared" si="549"/>
        <v>India</v>
      </c>
      <c r="AA545" s="4" t="str">
        <f t="shared" si="7"/>
        <v>mwc</v>
      </c>
    </row>
    <row r="546">
      <c r="A546" s="3" t="s">
        <v>1338</v>
      </c>
      <c r="B546" s="3">
        <v>6.7</v>
      </c>
      <c r="C546" s="19">
        <f>Raw_Data!T546</f>
        <v>40253.09792</v>
      </c>
      <c r="D546" s="3">
        <v>5.0</v>
      </c>
      <c r="E546" s="3">
        <v>6.0</v>
      </c>
      <c r="F546" s="4"/>
      <c r="G546" s="3">
        <v>0.0</v>
      </c>
      <c r="H546" s="3">
        <v>856.0</v>
      </c>
      <c r="I546" s="3" t="s">
        <v>110</v>
      </c>
      <c r="J546" s="3">
        <v>312.0</v>
      </c>
      <c r="K546" s="3">
        <v>0.0</v>
      </c>
      <c r="L546" s="3">
        <v>34.7</v>
      </c>
      <c r="M546" s="4" t="str">
        <f>Raw_Data!X546</f>
        <v>mwc</v>
      </c>
      <c r="N546" s="3">
        <v>18.0</v>
      </c>
      <c r="O546" s="3">
        <v>-36.217</v>
      </c>
      <c r="P546" s="3">
        <v>-73.257</v>
      </c>
      <c r="Q546" s="3" t="s">
        <v>1276</v>
      </c>
      <c r="R546" s="4"/>
      <c r="S546" s="4"/>
      <c r="T546" s="4" t="str">
        <f t="shared" si="2"/>
        <v>Valid</v>
      </c>
      <c r="U546" s="4">
        <f t="shared" si="3"/>
        <v>1</v>
      </c>
      <c r="V546" s="4" t="str">
        <f t="shared" si="4"/>
        <v>Unique</v>
      </c>
      <c r="W546" s="4" t="str">
        <f t="shared" si="5"/>
        <v>Unknown</v>
      </c>
      <c r="X546" s="4" t="str">
        <f t="shared" ref="X546:Z546" si="550">IF(Q546="","Unknown",Q546)</f>
        <v>Tomé, Chile</v>
      </c>
      <c r="Y546" s="4" t="str">
        <f t="shared" si="550"/>
        <v>Unknown</v>
      </c>
      <c r="Z546" s="4" t="str">
        <f t="shared" si="550"/>
        <v>Unknown</v>
      </c>
      <c r="AA546" s="4" t="str">
        <f t="shared" si="7"/>
        <v>mwc</v>
      </c>
    </row>
    <row r="547">
      <c r="A547" s="3" t="s">
        <v>1340</v>
      </c>
      <c r="B547" s="3">
        <v>6.5</v>
      </c>
      <c r="C547" s="19">
        <f>Raw_Data!T547</f>
        <v>40251.33889</v>
      </c>
      <c r="D547" s="3">
        <v>6.0</v>
      </c>
      <c r="E547" s="3">
        <v>5.0</v>
      </c>
      <c r="F547" s="4"/>
      <c r="G547" s="3">
        <v>0.0</v>
      </c>
      <c r="H547" s="3">
        <v>810.0</v>
      </c>
      <c r="I547" s="3" t="s">
        <v>110</v>
      </c>
      <c r="J547" s="3">
        <v>491.0</v>
      </c>
      <c r="K547" s="3">
        <v>0.0</v>
      </c>
      <c r="L547" s="3">
        <v>27.0</v>
      </c>
      <c r="M547" s="4" t="str">
        <f>Raw_Data!X547</f>
        <v>mwc</v>
      </c>
      <c r="N547" s="3">
        <v>32.0</v>
      </c>
      <c r="O547" s="3">
        <v>37.745</v>
      </c>
      <c r="P547" s="3">
        <v>141.59</v>
      </c>
      <c r="Q547" s="3" t="s">
        <v>282</v>
      </c>
      <c r="R547" s="4"/>
      <c r="S547" s="4"/>
      <c r="T547" s="4" t="str">
        <f t="shared" si="2"/>
        <v>Valid</v>
      </c>
      <c r="U547" s="4">
        <f t="shared" si="3"/>
        <v>1</v>
      </c>
      <c r="V547" s="4" t="str">
        <f t="shared" si="4"/>
        <v>Unique</v>
      </c>
      <c r="W547" s="4" t="str">
        <f t="shared" si="5"/>
        <v>Unknown</v>
      </c>
      <c r="X547" s="4" t="str">
        <f t="shared" ref="X547:Z547" si="551">IF(Q547="","Unknown",Q547)</f>
        <v>Namie, Japan</v>
      </c>
      <c r="Y547" s="4" t="str">
        <f t="shared" si="551"/>
        <v>Unknown</v>
      </c>
      <c r="Z547" s="4" t="str">
        <f t="shared" si="551"/>
        <v>Unknown</v>
      </c>
      <c r="AA547" s="4" t="str">
        <f t="shared" si="7"/>
        <v>mwc</v>
      </c>
    </row>
    <row r="548">
      <c r="A548" s="3" t="s">
        <v>1342</v>
      </c>
      <c r="B548" s="3">
        <v>7.0</v>
      </c>
      <c r="C548" s="19">
        <f>Raw_Data!T548</f>
        <v>40248.62153</v>
      </c>
      <c r="D548" s="3">
        <v>7.0</v>
      </c>
      <c r="E548" s="3">
        <v>7.0</v>
      </c>
      <c r="F548" s="4"/>
      <c r="G548" s="3">
        <v>0.0</v>
      </c>
      <c r="H548" s="3">
        <v>874.0</v>
      </c>
      <c r="I548" s="3" t="s">
        <v>110</v>
      </c>
      <c r="J548" s="3">
        <v>403.0</v>
      </c>
      <c r="K548" s="3">
        <v>0.0</v>
      </c>
      <c r="L548" s="3">
        <v>17.1</v>
      </c>
      <c r="M548" s="4" t="str">
        <f>Raw_Data!X548</f>
        <v>mwc</v>
      </c>
      <c r="N548" s="3">
        <v>18.0</v>
      </c>
      <c r="O548" s="3">
        <v>-34.326</v>
      </c>
      <c r="P548" s="3">
        <v>-71.799</v>
      </c>
      <c r="Q548" s="3" t="s">
        <v>1343</v>
      </c>
      <c r="R548" s="3" t="s">
        <v>121</v>
      </c>
      <c r="S548" s="3" t="s">
        <v>414</v>
      </c>
      <c r="T548" s="4" t="str">
        <f t="shared" si="2"/>
        <v>Valid</v>
      </c>
      <c r="U548" s="4">
        <f t="shared" si="3"/>
        <v>1</v>
      </c>
      <c r="V548" s="4" t="str">
        <f t="shared" si="4"/>
        <v>Unique</v>
      </c>
      <c r="W548" s="4" t="str">
        <f t="shared" si="5"/>
        <v>Unknown</v>
      </c>
      <c r="X548" s="4" t="str">
        <f t="shared" ref="X548:Z548" si="552">IF(Q548="","Unknown",Q548)</f>
        <v>Santa Cruz, Chile</v>
      </c>
      <c r="Y548" s="4" t="str">
        <f t="shared" si="552"/>
        <v>South America</v>
      </c>
      <c r="Z548" s="4" t="str">
        <f t="shared" si="552"/>
        <v>Chile</v>
      </c>
      <c r="AA548" s="4" t="str">
        <f t="shared" si="7"/>
        <v>mwc</v>
      </c>
    </row>
    <row r="549">
      <c r="A549" s="3" t="s">
        <v>1344</v>
      </c>
      <c r="B549" s="3">
        <v>6.9</v>
      </c>
      <c r="C549" s="19">
        <f>Raw_Data!T549</f>
        <v>40248.61042</v>
      </c>
      <c r="D549" s="3">
        <v>7.0</v>
      </c>
      <c r="E549" s="3">
        <v>7.0</v>
      </c>
      <c r="F549" s="4"/>
      <c r="G549" s="3">
        <v>0.0</v>
      </c>
      <c r="H549" s="3">
        <v>1280.0</v>
      </c>
      <c r="I549" s="3" t="s">
        <v>110</v>
      </c>
      <c r="J549" s="3">
        <v>415.0</v>
      </c>
      <c r="K549" s="3">
        <v>0.0</v>
      </c>
      <c r="L549" s="3">
        <v>12.5</v>
      </c>
      <c r="M549" s="4" t="str">
        <f>Raw_Data!X549</f>
        <v>mwc</v>
      </c>
      <c r="N549" s="3">
        <v>11.0</v>
      </c>
      <c r="O549" s="3">
        <v>-34.29</v>
      </c>
      <c r="P549" s="3">
        <v>-71.891</v>
      </c>
      <c r="Q549" s="3" t="s">
        <v>1343</v>
      </c>
      <c r="R549" s="3" t="s">
        <v>121</v>
      </c>
      <c r="S549" s="3" t="s">
        <v>414</v>
      </c>
      <c r="T549" s="4" t="str">
        <f t="shared" si="2"/>
        <v>Valid</v>
      </c>
      <c r="U549" s="4">
        <f t="shared" si="3"/>
        <v>1</v>
      </c>
      <c r="V549" s="4" t="str">
        <f t="shared" si="4"/>
        <v>Unique</v>
      </c>
      <c r="W549" s="4" t="str">
        <f t="shared" si="5"/>
        <v>Unknown</v>
      </c>
      <c r="X549" s="4" t="str">
        <f t="shared" ref="X549:Z549" si="553">IF(Q549="","Unknown",Q549)</f>
        <v>Santa Cruz, Chile</v>
      </c>
      <c r="Y549" s="4" t="str">
        <f t="shared" si="553"/>
        <v>South America</v>
      </c>
      <c r="Z549" s="4" t="str">
        <f t="shared" si="553"/>
        <v>Chile</v>
      </c>
      <c r="AA549" s="4" t="str">
        <f t="shared" si="7"/>
        <v>mwc</v>
      </c>
    </row>
    <row r="550">
      <c r="A550" s="3" t="s">
        <v>1345</v>
      </c>
      <c r="B550" s="3">
        <v>6.8</v>
      </c>
      <c r="C550" s="19">
        <f>Raw_Data!T550</f>
        <v>40242.67153</v>
      </c>
      <c r="D550" s="3">
        <v>4.0</v>
      </c>
      <c r="E550" s="3">
        <v>6.0</v>
      </c>
      <c r="F550" s="4"/>
      <c r="G550" s="3">
        <v>0.0</v>
      </c>
      <c r="H550" s="3">
        <v>717.0</v>
      </c>
      <c r="I550" s="3" t="s">
        <v>110</v>
      </c>
      <c r="J550" s="3">
        <v>401.0</v>
      </c>
      <c r="K550" s="3">
        <v>0.0</v>
      </c>
      <c r="L550" s="3">
        <v>23.2</v>
      </c>
      <c r="M550" s="4" t="str">
        <f>Raw_Data!X550</f>
        <v>mwc</v>
      </c>
      <c r="N550" s="3">
        <v>26.0</v>
      </c>
      <c r="O550" s="3">
        <v>-3.762</v>
      </c>
      <c r="P550" s="3">
        <v>100.991</v>
      </c>
      <c r="Q550" s="3" t="s">
        <v>217</v>
      </c>
      <c r="R550" s="4"/>
      <c r="S550" s="3" t="s">
        <v>153</v>
      </c>
      <c r="T550" s="4" t="str">
        <f t="shared" si="2"/>
        <v>Valid</v>
      </c>
      <c r="U550" s="4">
        <f t="shared" si="3"/>
        <v>1</v>
      </c>
      <c r="V550" s="4" t="str">
        <f t="shared" si="4"/>
        <v>Unique</v>
      </c>
      <c r="W550" s="4" t="str">
        <f t="shared" si="5"/>
        <v>Unknown</v>
      </c>
      <c r="X550" s="4" t="str">
        <f t="shared" ref="X550:Z550" si="554">IF(Q550="","Unknown",Q550)</f>
        <v>Bengkulu, Indonesia</v>
      </c>
      <c r="Y550" s="4" t="str">
        <f t="shared" si="554"/>
        <v>Unknown</v>
      </c>
      <c r="Z550" s="4" t="str">
        <f t="shared" si="554"/>
        <v>Indonesia</v>
      </c>
      <c r="AA550" s="4" t="str">
        <f t="shared" si="7"/>
        <v>mwc</v>
      </c>
    </row>
    <row r="551">
      <c r="A551" s="3" t="s">
        <v>1346</v>
      </c>
      <c r="B551" s="3">
        <v>6.6</v>
      </c>
      <c r="C551" s="19">
        <f>Raw_Data!T551</f>
        <v>40242.49097</v>
      </c>
      <c r="D551" s="3">
        <v>7.0</v>
      </c>
      <c r="E551" s="3">
        <v>7.0</v>
      </c>
      <c r="F551" s="4"/>
      <c r="G551" s="3">
        <v>0.0</v>
      </c>
      <c r="H551" s="3">
        <v>736.0</v>
      </c>
      <c r="I551" s="3" t="s">
        <v>110</v>
      </c>
      <c r="J551" s="3">
        <v>255.0</v>
      </c>
      <c r="K551" s="3">
        <v>0.0</v>
      </c>
      <c r="L551" s="3">
        <v>27.8</v>
      </c>
      <c r="M551" s="4" t="str">
        <f>Raw_Data!X551</f>
        <v>mwb</v>
      </c>
      <c r="N551" s="3">
        <v>18.0</v>
      </c>
      <c r="O551" s="3">
        <v>-36.665</v>
      </c>
      <c r="P551" s="3">
        <v>-73.374</v>
      </c>
      <c r="Q551" s="3" t="s">
        <v>1347</v>
      </c>
      <c r="R551" s="4"/>
      <c r="S551" s="3" t="s">
        <v>414</v>
      </c>
      <c r="T551" s="4" t="str">
        <f t="shared" si="2"/>
        <v>Valid</v>
      </c>
      <c r="U551" s="4">
        <f t="shared" si="3"/>
        <v>1</v>
      </c>
      <c r="V551" s="4" t="str">
        <f t="shared" si="4"/>
        <v>Unique</v>
      </c>
      <c r="W551" s="4" t="str">
        <f t="shared" si="5"/>
        <v>Unknown</v>
      </c>
      <c r="X551" s="4" t="str">
        <f t="shared" ref="X551:Z551" si="555">IF(Q551="","Unknown",Q551)</f>
        <v>Talcahuano, Chile</v>
      </c>
      <c r="Y551" s="4" t="str">
        <f t="shared" si="555"/>
        <v>Unknown</v>
      </c>
      <c r="Z551" s="4" t="str">
        <f t="shared" si="555"/>
        <v>Chile</v>
      </c>
      <c r="AA551" s="4" t="str">
        <f t="shared" si="7"/>
        <v>mwb</v>
      </c>
    </row>
    <row r="552">
      <c r="A552" s="3" t="s">
        <v>1348</v>
      </c>
      <c r="B552" s="3">
        <v>6.5</v>
      </c>
      <c r="C552" s="19">
        <f>Raw_Data!T552</f>
        <v>40241.58472</v>
      </c>
      <c r="D552" s="3">
        <v>0.0</v>
      </c>
      <c r="E552" s="3">
        <v>4.0</v>
      </c>
      <c r="F552" s="4"/>
      <c r="G552" s="3">
        <v>0.0</v>
      </c>
      <c r="H552" s="3">
        <v>650.0</v>
      </c>
      <c r="I552" s="3" t="s">
        <v>110</v>
      </c>
      <c r="J552" s="3">
        <v>426.0</v>
      </c>
      <c r="K552" s="3">
        <v>0.0</v>
      </c>
      <c r="L552" s="3">
        <v>18.7</v>
      </c>
      <c r="M552" s="4" t="str">
        <f>Raw_Data!X552</f>
        <v>mwb</v>
      </c>
      <c r="N552" s="3">
        <v>176.0</v>
      </c>
      <c r="O552" s="3">
        <v>-13.571</v>
      </c>
      <c r="P552" s="3">
        <v>167.227</v>
      </c>
      <c r="Q552" s="3" t="s">
        <v>112</v>
      </c>
      <c r="R552" s="4"/>
      <c r="S552" s="3" t="s">
        <v>113</v>
      </c>
      <c r="T552" s="4" t="str">
        <f t="shared" si="2"/>
        <v>Valid</v>
      </c>
      <c r="U552" s="4">
        <f t="shared" si="3"/>
        <v>1</v>
      </c>
      <c r="V552" s="4" t="str">
        <f t="shared" si="4"/>
        <v>Unique</v>
      </c>
      <c r="W552" s="4" t="str">
        <f t="shared" si="5"/>
        <v>Unknown</v>
      </c>
      <c r="X552" s="4" t="str">
        <f t="shared" ref="X552:Z552" si="556">IF(Q552="","Unknown",Q552)</f>
        <v>Sola, Vanuatu</v>
      </c>
      <c r="Y552" s="4" t="str">
        <f t="shared" si="556"/>
        <v>Unknown</v>
      </c>
      <c r="Z552" s="4" t="str">
        <f t="shared" si="556"/>
        <v>Vanuatu</v>
      </c>
      <c r="AA552" s="4" t="str">
        <f t="shared" si="7"/>
        <v>mwb</v>
      </c>
    </row>
    <row r="553">
      <c r="A553" s="3" t="s">
        <v>1349</v>
      </c>
      <c r="B553" s="3">
        <v>7.4</v>
      </c>
      <c r="C553" s="19">
        <f>Raw_Data!T553</f>
        <v>40236.33403</v>
      </c>
      <c r="D553" s="3">
        <v>0.0</v>
      </c>
      <c r="E553" s="3">
        <v>5.0</v>
      </c>
      <c r="F553" s="4"/>
      <c r="G553" s="3">
        <v>0.0</v>
      </c>
      <c r="H553" s="3">
        <v>842.0</v>
      </c>
      <c r="I553" s="3" t="s">
        <v>110</v>
      </c>
      <c r="J553" s="3">
        <v>409.0</v>
      </c>
      <c r="K553" s="3">
        <v>0.0</v>
      </c>
      <c r="L553" s="3">
        <v>17.6</v>
      </c>
      <c r="M553" s="4" t="str">
        <f>Raw_Data!X553</f>
        <v>mwc</v>
      </c>
      <c r="N553" s="3">
        <v>35.0</v>
      </c>
      <c r="O553" s="3">
        <v>-37.773</v>
      </c>
      <c r="P553" s="3">
        <v>-75.048</v>
      </c>
      <c r="Q553" s="3" t="s">
        <v>1351</v>
      </c>
      <c r="R553" s="4"/>
      <c r="S553" s="4"/>
      <c r="T553" s="4" t="str">
        <f t="shared" si="2"/>
        <v>Valid</v>
      </c>
      <c r="U553" s="4">
        <f t="shared" si="3"/>
        <v>1</v>
      </c>
      <c r="V553" s="4" t="str">
        <f t="shared" si="4"/>
        <v>Unique</v>
      </c>
      <c r="W553" s="4" t="str">
        <f t="shared" si="5"/>
        <v>Unknown</v>
      </c>
      <c r="X553" s="4" t="str">
        <f t="shared" ref="X553:Z553" si="557">IF(Q553="","Unknown",Q553)</f>
        <v>Lebu, Chile</v>
      </c>
      <c r="Y553" s="4" t="str">
        <f t="shared" si="557"/>
        <v>Unknown</v>
      </c>
      <c r="Z553" s="4" t="str">
        <f t="shared" si="557"/>
        <v>Unknown</v>
      </c>
      <c r="AA553" s="4" t="str">
        <f t="shared" si="7"/>
        <v>mwc</v>
      </c>
    </row>
    <row r="554">
      <c r="A554" s="3" t="s">
        <v>1352</v>
      </c>
      <c r="B554" s="3">
        <v>8.8</v>
      </c>
      <c r="C554" s="19">
        <f>Raw_Data!T554</f>
        <v>40236.27361</v>
      </c>
      <c r="D554" s="3">
        <v>8.0</v>
      </c>
      <c r="E554" s="3">
        <v>8.0</v>
      </c>
      <c r="F554" s="4"/>
      <c r="G554" s="3">
        <v>0.0</v>
      </c>
      <c r="H554" s="3">
        <v>1991.0</v>
      </c>
      <c r="I554" s="3" t="s">
        <v>1196</v>
      </c>
      <c r="J554" s="3">
        <v>454.0</v>
      </c>
      <c r="K554" s="3">
        <v>0.0</v>
      </c>
      <c r="L554" s="3">
        <v>17.8</v>
      </c>
      <c r="M554" s="4" t="str">
        <f>Raw_Data!X554</f>
        <v>mww</v>
      </c>
      <c r="N554" s="3">
        <v>22.9</v>
      </c>
      <c r="O554" s="3">
        <v>-36.122</v>
      </c>
      <c r="P554" s="3">
        <v>-72.898</v>
      </c>
      <c r="Q554" s="3" t="s">
        <v>1354</v>
      </c>
      <c r="R554" s="3" t="s">
        <v>121</v>
      </c>
      <c r="S554" s="3" t="s">
        <v>414</v>
      </c>
      <c r="T554" s="4" t="str">
        <f t="shared" si="2"/>
        <v>Valid</v>
      </c>
      <c r="U554" s="4">
        <f t="shared" si="3"/>
        <v>1</v>
      </c>
      <c r="V554" s="4" t="str">
        <f t="shared" si="4"/>
        <v>Unique</v>
      </c>
      <c r="W554" s="4" t="str">
        <f t="shared" si="5"/>
        <v>Unknown</v>
      </c>
      <c r="X554" s="4" t="str">
        <f t="shared" ref="X554:Z554" si="558">IF(Q554="","Unknown",Q554)</f>
        <v>Quirihue, Chile</v>
      </c>
      <c r="Y554" s="4" t="str">
        <f t="shared" si="558"/>
        <v>South America</v>
      </c>
      <c r="Z554" s="4" t="str">
        <f t="shared" si="558"/>
        <v>Chile</v>
      </c>
      <c r="AA554" s="4" t="str">
        <f t="shared" si="7"/>
        <v>mww</v>
      </c>
    </row>
    <row r="555">
      <c r="A555" s="3" t="s">
        <v>1355</v>
      </c>
      <c r="B555" s="3">
        <v>7.0</v>
      </c>
      <c r="C555" s="19">
        <f>Raw_Data!T555</f>
        <v>40235.85486</v>
      </c>
      <c r="D555" s="3">
        <v>6.0</v>
      </c>
      <c r="E555" s="3">
        <v>6.0</v>
      </c>
      <c r="F555" s="4"/>
      <c r="G555" s="3">
        <v>0.0</v>
      </c>
      <c r="H555" s="3">
        <v>1180.0</v>
      </c>
      <c r="I555" s="3" t="s">
        <v>110</v>
      </c>
      <c r="J555" s="3">
        <v>487.0</v>
      </c>
      <c r="K555" s="3">
        <v>0.0</v>
      </c>
      <c r="L555" s="3">
        <v>15.7</v>
      </c>
      <c r="M555" s="4" t="str">
        <f>Raw_Data!X555</f>
        <v>mwc</v>
      </c>
      <c r="N555" s="3">
        <v>25.0</v>
      </c>
      <c r="O555" s="3">
        <v>25.93</v>
      </c>
      <c r="P555" s="3">
        <v>128.425</v>
      </c>
      <c r="Q555" s="3" t="s">
        <v>1357</v>
      </c>
      <c r="R555" s="4"/>
      <c r="S555" s="4"/>
      <c r="T555" s="4" t="str">
        <f t="shared" si="2"/>
        <v>Valid</v>
      </c>
      <c r="U555" s="4">
        <f t="shared" si="3"/>
        <v>1</v>
      </c>
      <c r="V555" s="4" t="str">
        <f t="shared" si="4"/>
        <v>Unique</v>
      </c>
      <c r="W555" s="4" t="str">
        <f t="shared" si="5"/>
        <v>Unknown</v>
      </c>
      <c r="X555" s="4" t="str">
        <f t="shared" ref="X555:Z555" si="559">IF(Q555="","Unknown",Q555)</f>
        <v>Katsuren-haebaru, Japan</v>
      </c>
      <c r="Y555" s="4" t="str">
        <f t="shared" si="559"/>
        <v>Unknown</v>
      </c>
      <c r="Z555" s="4" t="str">
        <f t="shared" si="559"/>
        <v>Unknown</v>
      </c>
      <c r="AA555" s="4" t="str">
        <f t="shared" si="7"/>
        <v>mwc</v>
      </c>
    </row>
    <row r="556">
      <c r="A556" s="3" t="s">
        <v>1358</v>
      </c>
      <c r="B556" s="3">
        <v>7.0</v>
      </c>
      <c r="C556" s="19">
        <f>Raw_Data!T556</f>
        <v>40190.91181</v>
      </c>
      <c r="D556" s="3">
        <v>9.0</v>
      </c>
      <c r="E556" s="3">
        <v>9.0</v>
      </c>
      <c r="F556" s="4"/>
      <c r="G556" s="3">
        <v>0.0</v>
      </c>
      <c r="H556" s="3">
        <v>1623.0</v>
      </c>
      <c r="I556" s="3" t="s">
        <v>110</v>
      </c>
      <c r="J556" s="3">
        <v>500.0</v>
      </c>
      <c r="K556" s="3">
        <v>0.0</v>
      </c>
      <c r="L556" s="3">
        <v>22.7</v>
      </c>
      <c r="M556" s="4" t="str">
        <f>Raw_Data!X556</f>
        <v>mwc</v>
      </c>
      <c r="N556" s="3">
        <v>13.0</v>
      </c>
      <c r="O556" s="3">
        <v>18.443</v>
      </c>
      <c r="P556" s="3">
        <v>-72.571</v>
      </c>
      <c r="Q556" s="3" t="s">
        <v>1359</v>
      </c>
      <c r="R556" s="4"/>
      <c r="S556" s="3" t="s">
        <v>340</v>
      </c>
      <c r="T556" s="4" t="str">
        <f t="shared" si="2"/>
        <v>Valid</v>
      </c>
      <c r="U556" s="4">
        <f t="shared" si="3"/>
        <v>1</v>
      </c>
      <c r="V556" s="4" t="str">
        <f t="shared" si="4"/>
        <v>Unique</v>
      </c>
      <c r="W556" s="4" t="str">
        <f t="shared" si="5"/>
        <v>Unknown</v>
      </c>
      <c r="X556" s="4" t="str">
        <f t="shared" ref="X556:Z556" si="560">IF(Q556="","Unknown",Q556)</f>
        <v>Léogâne, Haiti</v>
      </c>
      <c r="Y556" s="4" t="str">
        <f t="shared" si="560"/>
        <v>Unknown</v>
      </c>
      <c r="Z556" s="4" t="str">
        <f t="shared" si="560"/>
        <v>Haiti</v>
      </c>
      <c r="AA556" s="4" t="str">
        <f t="shared" si="7"/>
        <v>mwc</v>
      </c>
    </row>
    <row r="557">
      <c r="A557" s="3" t="s">
        <v>1360</v>
      </c>
      <c r="B557" s="3">
        <v>6.5</v>
      </c>
      <c r="C557" s="19">
        <f>Raw_Data!T557</f>
        <v>40188.01875</v>
      </c>
      <c r="D557" s="3">
        <v>7.0</v>
      </c>
      <c r="E557" s="3">
        <v>7.0</v>
      </c>
      <c r="F557" s="4"/>
      <c r="G557" s="3">
        <v>0.0</v>
      </c>
      <c r="H557" s="3">
        <v>1360.0</v>
      </c>
      <c r="I557" s="3" t="s">
        <v>1026</v>
      </c>
      <c r="J557" s="3">
        <v>51.0</v>
      </c>
      <c r="K557" s="3">
        <v>0.3225</v>
      </c>
      <c r="L557" s="3">
        <v>220.0</v>
      </c>
      <c r="M557" s="4" t="str">
        <f>Raw_Data!X557</f>
        <v>mw</v>
      </c>
      <c r="N557" s="3">
        <v>28.737</v>
      </c>
      <c r="O557" s="3">
        <v>40.652</v>
      </c>
      <c r="P557" s="3">
        <v>-124.692</v>
      </c>
      <c r="Q557" s="3" t="s">
        <v>746</v>
      </c>
      <c r="R557" s="3" t="s">
        <v>233</v>
      </c>
      <c r="S557" s="4"/>
      <c r="T557" s="4" t="str">
        <f t="shared" si="2"/>
        <v>Valid</v>
      </c>
      <c r="U557" s="4">
        <f t="shared" si="3"/>
        <v>1</v>
      </c>
      <c r="V557" s="4" t="str">
        <f t="shared" si="4"/>
        <v>Unique</v>
      </c>
      <c r="W557" s="4" t="str">
        <f t="shared" si="5"/>
        <v>Unknown</v>
      </c>
      <c r="X557" s="4" t="str">
        <f t="shared" ref="X557:Z557" si="561">IF(Q557="","Unknown",Q557)</f>
        <v>Ferndale, California</v>
      </c>
      <c r="Y557" s="4" t="str">
        <f t="shared" si="561"/>
        <v>North America</v>
      </c>
      <c r="Z557" s="4" t="str">
        <f t="shared" si="561"/>
        <v>Unknown</v>
      </c>
      <c r="AA557" s="4" t="str">
        <f t="shared" si="7"/>
        <v>mw</v>
      </c>
    </row>
    <row r="558">
      <c r="A558" s="3" t="s">
        <v>1361</v>
      </c>
      <c r="B558" s="3">
        <v>6.8</v>
      </c>
      <c r="C558" s="19">
        <f>Raw_Data!T558</f>
        <v>40183.51042</v>
      </c>
      <c r="D558" s="3">
        <v>3.0</v>
      </c>
      <c r="E558" s="3">
        <v>6.0</v>
      </c>
      <c r="F558" s="4"/>
      <c r="G558" s="3">
        <v>0.0</v>
      </c>
      <c r="H558" s="3">
        <v>713.0</v>
      </c>
      <c r="I558" s="3" t="s">
        <v>110</v>
      </c>
      <c r="J558" s="3">
        <v>338.0</v>
      </c>
      <c r="K558" s="3">
        <v>0.0</v>
      </c>
      <c r="L558" s="3">
        <v>15.0</v>
      </c>
      <c r="M558" s="4" t="str">
        <f>Raw_Data!X558</f>
        <v>mwc</v>
      </c>
      <c r="N558" s="3">
        <v>15.4</v>
      </c>
      <c r="O558" s="3">
        <v>-9.019</v>
      </c>
      <c r="P558" s="3">
        <v>157.551</v>
      </c>
      <c r="Q558" s="3" t="s">
        <v>888</v>
      </c>
      <c r="R558" s="4"/>
      <c r="S558" s="4"/>
      <c r="T558" s="4" t="str">
        <f t="shared" si="2"/>
        <v>Valid</v>
      </c>
      <c r="U558" s="4">
        <f t="shared" si="3"/>
        <v>1</v>
      </c>
      <c r="V558" s="4" t="str">
        <f t="shared" si="4"/>
        <v>Unique</v>
      </c>
      <c r="W558" s="4" t="str">
        <f t="shared" si="5"/>
        <v>Unknown</v>
      </c>
      <c r="X558" s="4" t="str">
        <f t="shared" ref="X558:Z558" si="562">IF(Q558="","Unknown",Q558)</f>
        <v>Gizo, Solomon Islands</v>
      </c>
      <c r="Y558" s="4" t="str">
        <f t="shared" si="562"/>
        <v>Unknown</v>
      </c>
      <c r="Z558" s="4" t="str">
        <f t="shared" si="562"/>
        <v>Unknown</v>
      </c>
      <c r="AA558" s="4" t="str">
        <f t="shared" si="7"/>
        <v>mwc</v>
      </c>
    </row>
    <row r="559">
      <c r="A559" s="3" t="s">
        <v>1362</v>
      </c>
      <c r="B559" s="3">
        <v>7.1</v>
      </c>
      <c r="C559" s="19">
        <f>Raw_Data!T559</f>
        <v>40181.94167</v>
      </c>
      <c r="D559" s="3">
        <v>5.0</v>
      </c>
      <c r="E559" s="3">
        <v>7.0</v>
      </c>
      <c r="F559" s="4"/>
      <c r="G559" s="3">
        <v>0.0</v>
      </c>
      <c r="H559" s="3">
        <v>780.0</v>
      </c>
      <c r="I559" s="3" t="s">
        <v>110</v>
      </c>
      <c r="J559" s="3">
        <v>377.0</v>
      </c>
      <c r="K559" s="3">
        <v>0.0</v>
      </c>
      <c r="L559" s="3">
        <v>15.0</v>
      </c>
      <c r="M559" s="4" t="str">
        <f>Raw_Data!X559</f>
        <v>mwc</v>
      </c>
      <c r="N559" s="3">
        <v>10.0</v>
      </c>
      <c r="O559" s="3">
        <v>-8.783</v>
      </c>
      <c r="P559" s="3">
        <v>157.354</v>
      </c>
      <c r="Q559" s="3" t="s">
        <v>888</v>
      </c>
      <c r="R559" s="4"/>
      <c r="S559" s="3" t="s">
        <v>214</v>
      </c>
      <c r="T559" s="4" t="str">
        <f t="shared" si="2"/>
        <v>Valid</v>
      </c>
      <c r="U559" s="4">
        <f t="shared" si="3"/>
        <v>1</v>
      </c>
      <c r="V559" s="4" t="str">
        <f t="shared" si="4"/>
        <v>Unique</v>
      </c>
      <c r="W559" s="4" t="str">
        <f t="shared" si="5"/>
        <v>Unknown</v>
      </c>
      <c r="X559" s="4" t="str">
        <f t="shared" ref="X559:Z559" si="563">IF(Q559="","Unknown",Q559)</f>
        <v>Gizo, Solomon Islands</v>
      </c>
      <c r="Y559" s="4" t="str">
        <f t="shared" si="563"/>
        <v>Unknown</v>
      </c>
      <c r="Z559" s="4" t="str">
        <f t="shared" si="563"/>
        <v>Solomon Islands</v>
      </c>
      <c r="AA559" s="4" t="str">
        <f t="shared" si="7"/>
        <v>mwc</v>
      </c>
    </row>
    <row r="560">
      <c r="A560" s="3" t="s">
        <v>1363</v>
      </c>
      <c r="B560" s="3">
        <v>6.6</v>
      </c>
      <c r="C560" s="19">
        <f>Raw_Data!T560</f>
        <v>40181.90833</v>
      </c>
      <c r="D560" s="3">
        <v>5.0</v>
      </c>
      <c r="E560" s="3">
        <v>7.0</v>
      </c>
      <c r="F560" s="4"/>
      <c r="G560" s="3">
        <v>0.0</v>
      </c>
      <c r="H560" s="3">
        <v>672.0</v>
      </c>
      <c r="I560" s="3" t="s">
        <v>110</v>
      </c>
      <c r="J560" s="3">
        <v>282.0</v>
      </c>
      <c r="K560" s="3">
        <v>0.0</v>
      </c>
      <c r="L560" s="3">
        <v>16.6</v>
      </c>
      <c r="M560" s="4" t="str">
        <f>Raw_Data!X560</f>
        <v>mwc</v>
      </c>
      <c r="N560" s="3">
        <v>10.0</v>
      </c>
      <c r="O560" s="3">
        <v>-8.726</v>
      </c>
      <c r="P560" s="3">
        <v>157.487</v>
      </c>
      <c r="Q560" s="3" t="s">
        <v>888</v>
      </c>
      <c r="R560" s="4"/>
      <c r="S560" s="3" t="s">
        <v>214</v>
      </c>
      <c r="T560" s="4" t="str">
        <f t="shared" si="2"/>
        <v>Valid</v>
      </c>
      <c r="U560" s="4">
        <f t="shared" si="3"/>
        <v>1</v>
      </c>
      <c r="V560" s="4" t="str">
        <f t="shared" si="4"/>
        <v>Unique</v>
      </c>
      <c r="W560" s="4" t="str">
        <f t="shared" si="5"/>
        <v>Unknown</v>
      </c>
      <c r="X560" s="4" t="str">
        <f t="shared" ref="X560:Z560" si="564">IF(Q560="","Unknown",Q560)</f>
        <v>Gizo, Solomon Islands</v>
      </c>
      <c r="Y560" s="4" t="str">
        <f t="shared" si="564"/>
        <v>Unknown</v>
      </c>
      <c r="Z560" s="4" t="str">
        <f t="shared" si="564"/>
        <v>Solomon Islands</v>
      </c>
      <c r="AA560" s="4" t="str">
        <f t="shared" si="7"/>
        <v>mwc</v>
      </c>
    </row>
    <row r="561">
      <c r="A561" s="3" t="s">
        <v>1364</v>
      </c>
      <c r="B561" s="3">
        <v>6.5</v>
      </c>
      <c r="C561" s="19">
        <f>Raw_Data!T561</f>
        <v>40130.12847</v>
      </c>
      <c r="D561" s="3">
        <v>6.0</v>
      </c>
      <c r="E561" s="3">
        <v>7.0</v>
      </c>
      <c r="F561" s="4"/>
      <c r="G561" s="3">
        <v>0.0</v>
      </c>
      <c r="H561" s="3">
        <v>698.0</v>
      </c>
      <c r="I561" s="3" t="s">
        <v>110</v>
      </c>
      <c r="J561" s="3">
        <v>390.0</v>
      </c>
      <c r="K561" s="3">
        <v>0.0</v>
      </c>
      <c r="L561" s="3">
        <v>17.7</v>
      </c>
      <c r="M561" s="4" t="str">
        <f>Raw_Data!X561</f>
        <v>mwc</v>
      </c>
      <c r="N561" s="3">
        <v>27.0</v>
      </c>
      <c r="O561" s="3">
        <v>-19.394</v>
      </c>
      <c r="P561" s="3">
        <v>-70.321</v>
      </c>
      <c r="Q561" s="3" t="s">
        <v>1019</v>
      </c>
      <c r="R561" s="3" t="s">
        <v>121</v>
      </c>
      <c r="S561" s="3" t="s">
        <v>414</v>
      </c>
      <c r="T561" s="4" t="str">
        <f t="shared" si="2"/>
        <v>Valid</v>
      </c>
      <c r="U561" s="4">
        <f t="shared" si="3"/>
        <v>1</v>
      </c>
      <c r="V561" s="4" t="str">
        <f t="shared" si="4"/>
        <v>Unique</v>
      </c>
      <c r="W561" s="4" t="str">
        <f t="shared" si="5"/>
        <v>Unknown</v>
      </c>
      <c r="X561" s="4" t="str">
        <f t="shared" ref="X561:Z561" si="565">IF(Q561="","Unknown",Q561)</f>
        <v>Iquique, Chile</v>
      </c>
      <c r="Y561" s="4" t="str">
        <f t="shared" si="565"/>
        <v>South America</v>
      </c>
      <c r="Z561" s="4" t="str">
        <f t="shared" si="565"/>
        <v>Chile</v>
      </c>
      <c r="AA561" s="4" t="str">
        <f t="shared" si="7"/>
        <v>mwc</v>
      </c>
    </row>
    <row r="562">
      <c r="A562" s="3" t="s">
        <v>1366</v>
      </c>
      <c r="B562" s="3">
        <v>7.3</v>
      </c>
      <c r="C562" s="19">
        <f>Raw_Data!T562</f>
        <v>40126.44722</v>
      </c>
      <c r="D562" s="3">
        <v>0.0</v>
      </c>
      <c r="E562" s="3">
        <v>4.0</v>
      </c>
      <c r="F562" s="4"/>
      <c r="G562" s="3">
        <v>0.0</v>
      </c>
      <c r="H562" s="3">
        <v>820.0</v>
      </c>
      <c r="I562" s="3" t="s">
        <v>110</v>
      </c>
      <c r="J562" s="3">
        <v>430.0</v>
      </c>
      <c r="K562" s="3">
        <v>0.0</v>
      </c>
      <c r="L562" s="3">
        <v>15.0</v>
      </c>
      <c r="M562" s="4" t="str">
        <f>Raw_Data!X562</f>
        <v>mwc</v>
      </c>
      <c r="N562" s="3">
        <v>595.0</v>
      </c>
      <c r="O562" s="3">
        <v>-17.239</v>
      </c>
      <c r="P562" s="3">
        <v>178.331</v>
      </c>
      <c r="Q562" s="3" t="s">
        <v>1367</v>
      </c>
      <c r="R562" s="4"/>
      <c r="S562" s="3" t="s">
        <v>219</v>
      </c>
      <c r="T562" s="4" t="str">
        <f t="shared" si="2"/>
        <v>Valid</v>
      </c>
      <c r="U562" s="4">
        <f t="shared" si="3"/>
        <v>1</v>
      </c>
      <c r="V562" s="4" t="str">
        <f t="shared" si="4"/>
        <v>Unique</v>
      </c>
      <c r="W562" s="4" t="str">
        <f t="shared" si="5"/>
        <v>Unknown</v>
      </c>
      <c r="X562" s="4" t="str">
        <f t="shared" ref="X562:Z562" si="566">IF(Q562="","Unknown",Q562)</f>
        <v>Ba, Fiji</v>
      </c>
      <c r="Y562" s="4" t="str">
        <f t="shared" si="566"/>
        <v>Unknown</v>
      </c>
      <c r="Z562" s="4" t="str">
        <f t="shared" si="566"/>
        <v>Fiji</v>
      </c>
      <c r="AA562" s="4" t="str">
        <f t="shared" si="7"/>
        <v>mwc</v>
      </c>
    </row>
    <row r="563">
      <c r="A563" s="3" t="s">
        <v>1368</v>
      </c>
      <c r="B563" s="3">
        <v>6.6</v>
      </c>
      <c r="C563" s="19">
        <f>Raw_Data!T563</f>
        <v>40125.82014</v>
      </c>
      <c r="D563" s="3">
        <v>7.0</v>
      </c>
      <c r="E563" s="3">
        <v>6.0</v>
      </c>
      <c r="F563" s="4"/>
      <c r="G563" s="3">
        <v>0.0</v>
      </c>
      <c r="H563" s="3">
        <v>677.0</v>
      </c>
      <c r="I563" s="3" t="s">
        <v>110</v>
      </c>
      <c r="J563" s="3">
        <v>305.0</v>
      </c>
      <c r="K563" s="3">
        <v>0.0</v>
      </c>
      <c r="L563" s="3">
        <v>20.4</v>
      </c>
      <c r="M563" s="4" t="str">
        <f>Raw_Data!X563</f>
        <v>mwc</v>
      </c>
      <c r="N563" s="3">
        <v>18.0</v>
      </c>
      <c r="O563" s="3">
        <v>-8.207</v>
      </c>
      <c r="P563" s="3">
        <v>118.631</v>
      </c>
      <c r="Q563" s="3" t="s">
        <v>1369</v>
      </c>
      <c r="R563" s="4"/>
      <c r="S563" s="3" t="s">
        <v>153</v>
      </c>
      <c r="T563" s="4" t="str">
        <f t="shared" si="2"/>
        <v>Valid</v>
      </c>
      <c r="U563" s="4">
        <f t="shared" si="3"/>
        <v>1</v>
      </c>
      <c r="V563" s="4" t="str">
        <f t="shared" si="4"/>
        <v>Unique</v>
      </c>
      <c r="W563" s="4" t="str">
        <f t="shared" si="5"/>
        <v>Unknown</v>
      </c>
      <c r="X563" s="4" t="str">
        <f t="shared" ref="X563:Z563" si="567">IF(Q563="","Unknown",Q563)</f>
        <v>Bima, Indonesia</v>
      </c>
      <c r="Y563" s="4" t="str">
        <f t="shared" si="567"/>
        <v>Unknown</v>
      </c>
      <c r="Z563" s="4" t="str">
        <f t="shared" si="567"/>
        <v>Indonesia</v>
      </c>
      <c r="AA563" s="4" t="str">
        <f t="shared" si="7"/>
        <v>mwc</v>
      </c>
    </row>
    <row r="564">
      <c r="A564" s="3" t="s">
        <v>1370</v>
      </c>
      <c r="B564" s="3">
        <v>6.8</v>
      </c>
      <c r="C564" s="19">
        <f>Raw_Data!T564</f>
        <v>40116.29375</v>
      </c>
      <c r="D564" s="3">
        <v>0.0</v>
      </c>
      <c r="E564" s="3">
        <v>6.0</v>
      </c>
      <c r="F564" s="4"/>
      <c r="G564" s="3">
        <v>0.0</v>
      </c>
      <c r="H564" s="3">
        <v>711.0</v>
      </c>
      <c r="I564" s="3" t="s">
        <v>110</v>
      </c>
      <c r="J564" s="3">
        <v>424.0</v>
      </c>
      <c r="K564" s="3">
        <v>0.0</v>
      </c>
      <c r="L564" s="3">
        <v>21.4</v>
      </c>
      <c r="M564" s="4" t="str">
        <f>Raw_Data!X564</f>
        <v>mwc</v>
      </c>
      <c r="N564" s="3">
        <v>34.0</v>
      </c>
      <c r="O564" s="3">
        <v>29.218</v>
      </c>
      <c r="P564" s="3">
        <v>129.782</v>
      </c>
      <c r="Q564" s="3" t="s">
        <v>441</v>
      </c>
      <c r="R564" s="4"/>
      <c r="S564" s="4"/>
      <c r="T564" s="4" t="str">
        <f t="shared" si="2"/>
        <v>Valid</v>
      </c>
      <c r="U564" s="4">
        <f t="shared" si="3"/>
        <v>1</v>
      </c>
      <c r="V564" s="4" t="str">
        <f t="shared" si="4"/>
        <v>Unique</v>
      </c>
      <c r="W564" s="4" t="str">
        <f t="shared" si="5"/>
        <v>Unknown</v>
      </c>
      <c r="X564" s="4" t="str">
        <f t="shared" ref="X564:Z564" si="568">IF(Q564="","Unknown",Q564)</f>
        <v>Naze, Japan</v>
      </c>
      <c r="Y564" s="4" t="str">
        <f t="shared" si="568"/>
        <v>Unknown</v>
      </c>
      <c r="Z564" s="4" t="str">
        <f t="shared" si="568"/>
        <v>Unknown</v>
      </c>
      <c r="AA564" s="4" t="str">
        <f t="shared" si="7"/>
        <v>mwc</v>
      </c>
    </row>
    <row r="565">
      <c r="A565" s="3" t="s">
        <v>1372</v>
      </c>
      <c r="B565" s="3">
        <v>6.9</v>
      </c>
      <c r="C565" s="19">
        <f>Raw_Data!T565</f>
        <v>40110.61111</v>
      </c>
      <c r="D565" s="3">
        <v>4.0</v>
      </c>
      <c r="E565" s="3">
        <v>6.0</v>
      </c>
      <c r="F565" s="4"/>
      <c r="G565" s="3">
        <v>0.0</v>
      </c>
      <c r="H565" s="3">
        <v>972.0</v>
      </c>
      <c r="I565" s="3" t="s">
        <v>110</v>
      </c>
      <c r="J565" s="3">
        <v>397.0</v>
      </c>
      <c r="K565" s="3">
        <v>0.0</v>
      </c>
      <c r="L565" s="3">
        <v>11.0</v>
      </c>
      <c r="M565" s="4" t="str">
        <f>Raw_Data!X565</f>
        <v>mwc</v>
      </c>
      <c r="N565" s="3">
        <v>130.0</v>
      </c>
      <c r="O565" s="3">
        <v>-6.133</v>
      </c>
      <c r="P565" s="3">
        <v>130.385</v>
      </c>
      <c r="Q565" s="3" t="s">
        <v>1160</v>
      </c>
      <c r="R565" s="4"/>
      <c r="S565" s="3" t="s">
        <v>153</v>
      </c>
      <c r="T565" s="4" t="str">
        <f t="shared" si="2"/>
        <v>Valid</v>
      </c>
      <c r="U565" s="4">
        <f t="shared" si="3"/>
        <v>1</v>
      </c>
      <c r="V565" s="4" t="str">
        <f t="shared" si="4"/>
        <v>Unique</v>
      </c>
      <c r="W565" s="4" t="str">
        <f t="shared" si="5"/>
        <v>Unknown</v>
      </c>
      <c r="X565" s="4" t="str">
        <f t="shared" ref="X565:Z565" si="569">IF(Q565="","Unknown",Q565)</f>
        <v>Tual, Indonesia</v>
      </c>
      <c r="Y565" s="4" t="str">
        <f t="shared" si="569"/>
        <v>Unknown</v>
      </c>
      <c r="Z565" s="4" t="str">
        <f t="shared" si="569"/>
        <v>Indonesia</v>
      </c>
      <c r="AA565" s="4" t="str">
        <f t="shared" si="7"/>
        <v>mwc</v>
      </c>
    </row>
    <row r="566">
      <c r="A566" s="3" t="s">
        <v>1374</v>
      </c>
      <c r="B566" s="3">
        <v>6.8</v>
      </c>
      <c r="C566" s="19">
        <f>Raw_Data!T566</f>
        <v>40094.35278</v>
      </c>
      <c r="D566" s="3">
        <v>0.0</v>
      </c>
      <c r="E566" s="3">
        <v>5.0</v>
      </c>
      <c r="F566" s="4"/>
      <c r="G566" s="3">
        <v>0.0</v>
      </c>
      <c r="H566" s="3">
        <v>711.0</v>
      </c>
      <c r="I566" s="3" t="s">
        <v>110</v>
      </c>
      <c r="J566" s="3">
        <v>174.0</v>
      </c>
      <c r="K566" s="3">
        <v>0.0</v>
      </c>
      <c r="L566" s="3">
        <v>30.2</v>
      </c>
      <c r="M566" s="4" t="str">
        <f>Raw_Data!X566</f>
        <v>mwc</v>
      </c>
      <c r="N566" s="3">
        <v>35.0</v>
      </c>
      <c r="O566" s="3">
        <v>-13.298</v>
      </c>
      <c r="P566" s="3">
        <v>165.91</v>
      </c>
      <c r="Q566" s="3" t="s">
        <v>112</v>
      </c>
      <c r="R566" s="4"/>
      <c r="S566" s="4"/>
      <c r="T566" s="4" t="str">
        <f t="shared" si="2"/>
        <v>Valid</v>
      </c>
      <c r="U566" s="4">
        <f t="shared" si="3"/>
        <v>1</v>
      </c>
      <c r="V566" s="4" t="str">
        <f t="shared" si="4"/>
        <v>Unique</v>
      </c>
      <c r="W566" s="4" t="str">
        <f t="shared" si="5"/>
        <v>Unknown</v>
      </c>
      <c r="X566" s="4" t="str">
        <f t="shared" ref="X566:Z566" si="570">IF(Q566="","Unknown",Q566)</f>
        <v>Sola, Vanuatu</v>
      </c>
      <c r="Y566" s="4" t="str">
        <f t="shared" si="570"/>
        <v>Unknown</v>
      </c>
      <c r="Z566" s="4" t="str">
        <f t="shared" si="570"/>
        <v>Unknown</v>
      </c>
      <c r="AA566" s="4" t="str">
        <f t="shared" si="7"/>
        <v>mwc</v>
      </c>
    </row>
    <row r="567">
      <c r="A567" s="3" t="s">
        <v>1375</v>
      </c>
      <c r="B567" s="3">
        <v>7.4</v>
      </c>
      <c r="C567" s="19">
        <f>Raw_Data!T567</f>
        <v>40093.96736</v>
      </c>
      <c r="D567" s="3">
        <v>0.0</v>
      </c>
      <c r="E567" s="3">
        <v>7.0</v>
      </c>
      <c r="F567" s="4"/>
      <c r="G567" s="3">
        <v>0.0</v>
      </c>
      <c r="H567" s="3">
        <v>842.0</v>
      </c>
      <c r="I567" s="3" t="s">
        <v>110</v>
      </c>
      <c r="J567" s="3">
        <v>314.0</v>
      </c>
      <c r="K567" s="3">
        <v>0.0</v>
      </c>
      <c r="L567" s="3">
        <v>20.2</v>
      </c>
      <c r="M567" s="4" t="str">
        <f>Raw_Data!X567</f>
        <v>mwc</v>
      </c>
      <c r="N567" s="3">
        <v>31.1</v>
      </c>
      <c r="O567" s="3">
        <v>-13.093</v>
      </c>
      <c r="P567" s="3">
        <v>166.497</v>
      </c>
      <c r="Q567" s="3" t="s">
        <v>112</v>
      </c>
      <c r="R567" s="4"/>
      <c r="S567" s="3" t="s">
        <v>113</v>
      </c>
      <c r="T567" s="4" t="str">
        <f t="shared" si="2"/>
        <v>Valid</v>
      </c>
      <c r="U567" s="4">
        <f t="shared" si="3"/>
        <v>1</v>
      </c>
      <c r="V567" s="4" t="str">
        <f t="shared" si="4"/>
        <v>Unique</v>
      </c>
      <c r="W567" s="4" t="str">
        <f t="shared" si="5"/>
        <v>Unknown</v>
      </c>
      <c r="X567" s="4" t="str">
        <f t="shared" ref="X567:Z567" si="571">IF(Q567="","Unknown",Q567)</f>
        <v>Sola, Vanuatu</v>
      </c>
      <c r="Y567" s="4" t="str">
        <f t="shared" si="571"/>
        <v>Unknown</v>
      </c>
      <c r="Z567" s="4" t="str">
        <f t="shared" si="571"/>
        <v>Vanuatu</v>
      </c>
      <c r="AA567" s="4" t="str">
        <f t="shared" si="7"/>
        <v>mwc</v>
      </c>
    </row>
    <row r="568">
      <c r="A568" s="3" t="s">
        <v>1376</v>
      </c>
      <c r="B568" s="3">
        <v>7.8</v>
      </c>
      <c r="C568" s="19">
        <f>Raw_Data!T568</f>
        <v>40093.92917</v>
      </c>
      <c r="D568" s="3">
        <v>0.0</v>
      </c>
      <c r="E568" s="3">
        <v>6.0</v>
      </c>
      <c r="F568" s="4"/>
      <c r="G568" s="3">
        <v>0.0</v>
      </c>
      <c r="H568" s="3">
        <v>936.0</v>
      </c>
      <c r="I568" s="3" t="s">
        <v>110</v>
      </c>
      <c r="J568" s="3">
        <v>195.0</v>
      </c>
      <c r="K568" s="3">
        <v>0.0</v>
      </c>
      <c r="L568" s="3">
        <v>20.3</v>
      </c>
      <c r="M568" s="4" t="str">
        <f>Raw_Data!X568</f>
        <v>mwc</v>
      </c>
      <c r="N568" s="3">
        <v>35.0</v>
      </c>
      <c r="O568" s="3">
        <v>-12.517</v>
      </c>
      <c r="P568" s="3">
        <v>166.382</v>
      </c>
      <c r="Q568" s="3" t="s">
        <v>112</v>
      </c>
      <c r="R568" s="4"/>
      <c r="S568" s="4"/>
      <c r="T568" s="4" t="str">
        <f t="shared" si="2"/>
        <v>Valid</v>
      </c>
      <c r="U568" s="4">
        <f t="shared" si="3"/>
        <v>1</v>
      </c>
      <c r="V568" s="4" t="str">
        <f t="shared" si="4"/>
        <v>Unique</v>
      </c>
      <c r="W568" s="4" t="str">
        <f t="shared" si="5"/>
        <v>Unknown</v>
      </c>
      <c r="X568" s="4" t="str">
        <f t="shared" ref="X568:Z568" si="572">IF(Q568="","Unknown",Q568)</f>
        <v>Sola, Vanuatu</v>
      </c>
      <c r="Y568" s="4" t="str">
        <f t="shared" si="572"/>
        <v>Unknown</v>
      </c>
      <c r="Z568" s="4" t="str">
        <f t="shared" si="572"/>
        <v>Unknown</v>
      </c>
      <c r="AA568" s="4" t="str">
        <f t="shared" si="7"/>
        <v>mwc</v>
      </c>
    </row>
    <row r="569">
      <c r="A569" s="3" t="s">
        <v>1377</v>
      </c>
      <c r="B569" s="3">
        <v>7.7</v>
      </c>
      <c r="C569" s="19">
        <f>Raw_Data!T569</f>
        <v>40093.91875</v>
      </c>
      <c r="D569" s="3">
        <v>4.0</v>
      </c>
      <c r="E569" s="3">
        <v>7.0</v>
      </c>
      <c r="F569" s="4"/>
      <c r="G569" s="3">
        <v>0.0</v>
      </c>
      <c r="H569" s="3">
        <v>916.0</v>
      </c>
      <c r="I569" s="3" t="s">
        <v>110</v>
      </c>
      <c r="J569" s="3">
        <v>283.0</v>
      </c>
      <c r="K569" s="3">
        <v>0.0</v>
      </c>
      <c r="L569" s="3">
        <v>23.2</v>
      </c>
      <c r="M569" s="4" t="str">
        <f>Raw_Data!X569</f>
        <v>mww</v>
      </c>
      <c r="N569" s="3">
        <v>45.0</v>
      </c>
      <c r="O569" s="3">
        <v>-13.006</v>
      </c>
      <c r="P569" s="3">
        <v>166.51</v>
      </c>
      <c r="Q569" s="3" t="s">
        <v>112</v>
      </c>
      <c r="R569" s="4"/>
      <c r="S569" s="3" t="s">
        <v>113</v>
      </c>
      <c r="T569" s="4" t="str">
        <f t="shared" si="2"/>
        <v>Valid</v>
      </c>
      <c r="U569" s="4">
        <f t="shared" si="3"/>
        <v>1</v>
      </c>
      <c r="V569" s="4" t="str">
        <f t="shared" si="4"/>
        <v>Unique</v>
      </c>
      <c r="W569" s="4" t="str">
        <f t="shared" si="5"/>
        <v>Unknown</v>
      </c>
      <c r="X569" s="4" t="str">
        <f t="shared" ref="X569:Z569" si="573">IF(Q569="","Unknown",Q569)</f>
        <v>Sola, Vanuatu</v>
      </c>
      <c r="Y569" s="4" t="str">
        <f t="shared" si="573"/>
        <v>Unknown</v>
      </c>
      <c r="Z569" s="4" t="str">
        <f t="shared" si="573"/>
        <v>Vanuatu</v>
      </c>
      <c r="AA569" s="4" t="str">
        <f t="shared" si="7"/>
        <v>mww</v>
      </c>
    </row>
    <row r="570">
      <c r="A570" s="3" t="s">
        <v>1378</v>
      </c>
      <c r="B570" s="3">
        <v>6.6</v>
      </c>
      <c r="C570" s="19">
        <f>Raw_Data!T570</f>
        <v>40087.07778</v>
      </c>
      <c r="D570" s="3">
        <v>7.0</v>
      </c>
      <c r="E570" s="3">
        <v>7.0</v>
      </c>
      <c r="F570" s="4"/>
      <c r="G570" s="3">
        <v>0.0</v>
      </c>
      <c r="H570" s="3">
        <v>787.0</v>
      </c>
      <c r="I570" s="3" t="s">
        <v>110</v>
      </c>
      <c r="J570" s="3">
        <v>417.0</v>
      </c>
      <c r="K570" s="3">
        <v>0.0</v>
      </c>
      <c r="L570" s="3">
        <v>30.1</v>
      </c>
      <c r="M570" s="4" t="str">
        <f>Raw_Data!X570</f>
        <v>mwc</v>
      </c>
      <c r="N570" s="3">
        <v>9.0</v>
      </c>
      <c r="O570" s="3">
        <v>-2.482</v>
      </c>
      <c r="P570" s="3">
        <v>101.524</v>
      </c>
      <c r="Q570" s="3" t="s">
        <v>791</v>
      </c>
      <c r="R570" s="4"/>
      <c r="S570" s="3" t="s">
        <v>153</v>
      </c>
      <c r="T570" s="4" t="str">
        <f t="shared" si="2"/>
        <v>Valid</v>
      </c>
      <c r="U570" s="4">
        <f t="shared" si="3"/>
        <v>1</v>
      </c>
      <c r="V570" s="4" t="str">
        <f t="shared" si="4"/>
        <v>Unique</v>
      </c>
      <c r="W570" s="4" t="str">
        <f t="shared" si="5"/>
        <v>Unknown</v>
      </c>
      <c r="X570" s="4" t="str">
        <f t="shared" ref="X570:Z570" si="574">IF(Q570="","Unknown",Q570)</f>
        <v>Sungai Penuh, Indonesia</v>
      </c>
      <c r="Y570" s="4" t="str">
        <f t="shared" si="574"/>
        <v>Unknown</v>
      </c>
      <c r="Z570" s="4" t="str">
        <f t="shared" si="574"/>
        <v>Indonesia</v>
      </c>
      <c r="AA570" s="4" t="str">
        <f t="shared" si="7"/>
        <v>mwc</v>
      </c>
    </row>
    <row r="571">
      <c r="A571" s="3" t="s">
        <v>1379</v>
      </c>
      <c r="B571" s="3">
        <v>7.6</v>
      </c>
      <c r="C571" s="19">
        <f>Raw_Data!T571</f>
        <v>40086.42778</v>
      </c>
      <c r="D571" s="3">
        <v>8.0</v>
      </c>
      <c r="E571" s="3">
        <v>8.0</v>
      </c>
      <c r="F571" s="4"/>
      <c r="G571" s="3">
        <v>0.0</v>
      </c>
      <c r="H571" s="3">
        <v>1639.0</v>
      </c>
      <c r="I571" s="3" t="s">
        <v>110</v>
      </c>
      <c r="J571" s="3">
        <v>498.0</v>
      </c>
      <c r="K571" s="3">
        <v>0.0</v>
      </c>
      <c r="L571" s="3">
        <v>14.0</v>
      </c>
      <c r="M571" s="4" t="str">
        <f>Raw_Data!X571</f>
        <v>mwc</v>
      </c>
      <c r="N571" s="3">
        <v>81.0</v>
      </c>
      <c r="O571" s="3">
        <v>-0.72</v>
      </c>
      <c r="P571" s="3">
        <v>99.867</v>
      </c>
      <c r="Q571" s="3" t="s">
        <v>285</v>
      </c>
      <c r="R571" s="4"/>
      <c r="S571" s="3" t="s">
        <v>153</v>
      </c>
      <c r="T571" s="4" t="str">
        <f t="shared" si="2"/>
        <v>Valid</v>
      </c>
      <c r="U571" s="4">
        <f t="shared" si="3"/>
        <v>1</v>
      </c>
      <c r="V571" s="4" t="str">
        <f t="shared" si="4"/>
        <v>Unique</v>
      </c>
      <c r="W571" s="4" t="str">
        <f t="shared" si="5"/>
        <v>Unknown</v>
      </c>
      <c r="X571" s="4" t="str">
        <f t="shared" ref="X571:Z571" si="575">IF(Q571="","Unknown",Q571)</f>
        <v>Pariaman, Indonesia</v>
      </c>
      <c r="Y571" s="4" t="str">
        <f t="shared" si="575"/>
        <v>Unknown</v>
      </c>
      <c r="Z571" s="4" t="str">
        <f t="shared" si="575"/>
        <v>Indonesia</v>
      </c>
      <c r="AA571" s="4" t="str">
        <f t="shared" si="7"/>
        <v>mwc</v>
      </c>
    </row>
    <row r="572">
      <c r="A572" s="3" t="s">
        <v>1381</v>
      </c>
      <c r="B572" s="3">
        <v>8.1</v>
      </c>
      <c r="C572" s="19">
        <f>Raw_Data!T572</f>
        <v>40085.74167</v>
      </c>
      <c r="D572" s="3">
        <v>7.0</v>
      </c>
      <c r="E572" s="3">
        <v>6.0</v>
      </c>
      <c r="F572" s="4"/>
      <c r="G572" s="3">
        <v>0.0</v>
      </c>
      <c r="H572" s="3">
        <v>1055.0</v>
      </c>
      <c r="I572" s="3" t="s">
        <v>110</v>
      </c>
      <c r="J572" s="3">
        <v>520.0</v>
      </c>
      <c r="K572" s="3">
        <v>0.0</v>
      </c>
      <c r="L572" s="3">
        <v>20.8</v>
      </c>
      <c r="M572" s="4" t="str">
        <f>Raw_Data!X572</f>
        <v>mwc</v>
      </c>
      <c r="N572" s="3">
        <v>18.0</v>
      </c>
      <c r="O572" s="3">
        <v>-15.489</v>
      </c>
      <c r="P572" s="3">
        <v>-172.095</v>
      </c>
      <c r="Q572" s="3" t="s">
        <v>1383</v>
      </c>
      <c r="R572" s="4"/>
      <c r="S572" s="4"/>
      <c r="T572" s="4" t="str">
        <f t="shared" si="2"/>
        <v>Valid</v>
      </c>
      <c r="U572" s="4">
        <f t="shared" si="3"/>
        <v>1</v>
      </c>
      <c r="V572" s="4" t="str">
        <f t="shared" si="4"/>
        <v>Unique</v>
      </c>
      <c r="W572" s="4" t="str">
        <f t="shared" si="5"/>
        <v>Unknown</v>
      </c>
      <c r="X572" s="4" t="str">
        <f t="shared" ref="X572:Z572" si="576">IF(Q572="","Unknown",Q572)</f>
        <v>Matavai, Samoa</v>
      </c>
      <c r="Y572" s="4" t="str">
        <f t="shared" si="576"/>
        <v>Unknown</v>
      </c>
      <c r="Z572" s="4" t="str">
        <f t="shared" si="576"/>
        <v>Unknown</v>
      </c>
      <c r="AA572" s="4" t="str">
        <f t="shared" si="7"/>
        <v>mwc</v>
      </c>
    </row>
    <row r="573">
      <c r="A573" s="3" t="s">
        <v>1384</v>
      </c>
      <c r="B573" s="3">
        <v>7.0</v>
      </c>
      <c r="C573" s="19">
        <f>Raw_Data!T573</f>
        <v>40058.32986</v>
      </c>
      <c r="D573" s="3">
        <v>7.0</v>
      </c>
      <c r="E573" s="3">
        <v>7.0</v>
      </c>
      <c r="F573" s="4"/>
      <c r="G573" s="3">
        <v>0.0</v>
      </c>
      <c r="H573" s="3">
        <v>1175.0</v>
      </c>
      <c r="I573" s="3" t="s">
        <v>110</v>
      </c>
      <c r="J573" s="3">
        <v>312.0</v>
      </c>
      <c r="K573" s="3">
        <v>0.0</v>
      </c>
      <c r="L573" s="3">
        <v>16.3</v>
      </c>
      <c r="M573" s="4" t="str">
        <f>Raw_Data!X573</f>
        <v>mwc</v>
      </c>
      <c r="N573" s="3">
        <v>46.0</v>
      </c>
      <c r="O573" s="3">
        <v>-7.782</v>
      </c>
      <c r="P573" s="3">
        <v>107.297</v>
      </c>
      <c r="Q573" s="3" t="s">
        <v>1385</v>
      </c>
      <c r="R573" s="4"/>
      <c r="S573" s="3" t="s">
        <v>153</v>
      </c>
      <c r="T573" s="4" t="str">
        <f t="shared" si="2"/>
        <v>Valid</v>
      </c>
      <c r="U573" s="4">
        <f t="shared" si="3"/>
        <v>1</v>
      </c>
      <c r="V573" s="4" t="str">
        <f t="shared" si="4"/>
        <v>Unique</v>
      </c>
      <c r="W573" s="4" t="str">
        <f t="shared" si="5"/>
        <v>Unknown</v>
      </c>
      <c r="X573" s="4" t="str">
        <f t="shared" ref="X573:Z573" si="577">IF(Q573="","Unknown",Q573)</f>
        <v>Banjar, Indonesia</v>
      </c>
      <c r="Y573" s="4" t="str">
        <f t="shared" si="577"/>
        <v>Unknown</v>
      </c>
      <c r="Z573" s="4" t="str">
        <f t="shared" si="577"/>
        <v>Indonesia</v>
      </c>
      <c r="AA573" s="4" t="str">
        <f t="shared" si="7"/>
        <v>mwc</v>
      </c>
    </row>
    <row r="574">
      <c r="A574" s="3" t="s">
        <v>1386</v>
      </c>
      <c r="B574" s="3">
        <v>6.7</v>
      </c>
      <c r="C574" s="19">
        <f>Raw_Data!T574</f>
        <v>40041.31806</v>
      </c>
      <c r="D574" s="3">
        <v>5.0</v>
      </c>
      <c r="E574" s="3">
        <v>6.0</v>
      </c>
      <c r="F574" s="4"/>
      <c r="G574" s="3">
        <v>0.0</v>
      </c>
      <c r="H574" s="3">
        <v>753.0</v>
      </c>
      <c r="I574" s="3" t="s">
        <v>110</v>
      </c>
      <c r="J574" s="3">
        <v>369.0</v>
      </c>
      <c r="K574" s="3">
        <v>0.0</v>
      </c>
      <c r="L574" s="3">
        <v>14.9</v>
      </c>
      <c r="M574" s="4" t="str">
        <f>Raw_Data!X574</f>
        <v>mwc</v>
      </c>
      <c r="N574" s="3">
        <v>20.0</v>
      </c>
      <c r="O574" s="3">
        <v>-1.479</v>
      </c>
      <c r="P574" s="3">
        <v>99.49</v>
      </c>
      <c r="Q574" s="3" t="s">
        <v>1388</v>
      </c>
      <c r="R574" s="4"/>
      <c r="S574" s="3" t="s">
        <v>153</v>
      </c>
      <c r="T574" s="4" t="str">
        <f t="shared" si="2"/>
        <v>Valid</v>
      </c>
      <c r="U574" s="4">
        <f t="shared" si="3"/>
        <v>1</v>
      </c>
      <c r="V574" s="4" t="str">
        <f t="shared" si="4"/>
        <v>Unique</v>
      </c>
      <c r="W574" s="4" t="str">
        <f t="shared" si="5"/>
        <v>Unknown</v>
      </c>
      <c r="X574" s="4" t="str">
        <f t="shared" ref="X574:Z574" si="578">IF(Q574="","Unknown",Q574)</f>
        <v>Padang, Indonesia</v>
      </c>
      <c r="Y574" s="4" t="str">
        <f t="shared" si="578"/>
        <v>Unknown</v>
      </c>
      <c r="Z574" s="4" t="str">
        <f t="shared" si="578"/>
        <v>Indonesia</v>
      </c>
      <c r="AA574" s="4" t="str">
        <f t="shared" si="7"/>
        <v>mwc</v>
      </c>
    </row>
    <row r="575">
      <c r="A575" s="3" t="s">
        <v>1389</v>
      </c>
      <c r="B575" s="3">
        <v>6.6</v>
      </c>
      <c r="C575" s="19">
        <f>Raw_Data!T575</f>
        <v>40037.95</v>
      </c>
      <c r="D575" s="3">
        <v>4.0</v>
      </c>
      <c r="E575" s="3">
        <v>5.0</v>
      </c>
      <c r="F575" s="4"/>
      <c r="G575" s="3">
        <v>0.0</v>
      </c>
      <c r="H575" s="3">
        <v>703.0</v>
      </c>
      <c r="I575" s="3" t="s">
        <v>110</v>
      </c>
      <c r="J575" s="3">
        <v>336.0</v>
      </c>
      <c r="K575" s="3">
        <v>0.0</v>
      </c>
      <c r="L575" s="3">
        <v>14.1</v>
      </c>
      <c r="M575" s="4" t="str">
        <f>Raw_Data!X575</f>
        <v>mwc</v>
      </c>
      <c r="N575" s="3">
        <v>53.0</v>
      </c>
      <c r="O575" s="3">
        <v>32.821</v>
      </c>
      <c r="P575" s="3">
        <v>140.395</v>
      </c>
      <c r="Q575" s="3" t="s">
        <v>1390</v>
      </c>
      <c r="R575" s="4"/>
      <c r="S575" s="4"/>
      <c r="T575" s="4" t="str">
        <f t="shared" si="2"/>
        <v>Valid</v>
      </c>
      <c r="U575" s="4">
        <f t="shared" si="3"/>
        <v>1</v>
      </c>
      <c r="V575" s="4" t="str">
        <f t="shared" si="4"/>
        <v>Unique</v>
      </c>
      <c r="W575" s="4" t="str">
        <f t="shared" si="5"/>
        <v>Unknown</v>
      </c>
      <c r="X575" s="4" t="str">
        <f t="shared" ref="X575:Z575" si="579">IF(Q575="","Unknown",Q575)</f>
        <v>Tateyama, Japan</v>
      </c>
      <c r="Y575" s="4" t="str">
        <f t="shared" si="579"/>
        <v>Unknown</v>
      </c>
      <c r="Z575" s="4" t="str">
        <f t="shared" si="579"/>
        <v>Unknown</v>
      </c>
      <c r="AA575" s="4" t="str">
        <f t="shared" si="7"/>
        <v>mwc</v>
      </c>
    </row>
    <row r="576">
      <c r="A576" s="3" t="s">
        <v>1391</v>
      </c>
      <c r="B576" s="3">
        <v>7.5</v>
      </c>
      <c r="C576" s="19">
        <f>Raw_Data!T576</f>
        <v>40035.82986</v>
      </c>
      <c r="D576" s="3">
        <v>7.0</v>
      </c>
      <c r="E576" s="3">
        <v>6.0</v>
      </c>
      <c r="F576" s="4"/>
      <c r="G576" s="3">
        <v>0.0</v>
      </c>
      <c r="H576" s="3">
        <v>1248.0</v>
      </c>
      <c r="I576" s="3" t="s">
        <v>110</v>
      </c>
      <c r="J576" s="3">
        <v>303.0</v>
      </c>
      <c r="K576" s="3">
        <v>0.0</v>
      </c>
      <c r="L576" s="3">
        <v>18.2</v>
      </c>
      <c r="M576" s="4" t="str">
        <f>Raw_Data!X576</f>
        <v>mwc</v>
      </c>
      <c r="N576" s="3">
        <v>24.0</v>
      </c>
      <c r="O576" s="3">
        <v>14.099</v>
      </c>
      <c r="P576" s="3">
        <v>92.902</v>
      </c>
      <c r="Q576" s="3" t="s">
        <v>1337</v>
      </c>
      <c r="R576" s="4"/>
      <c r="S576" s="4"/>
      <c r="T576" s="4" t="str">
        <f t="shared" si="2"/>
        <v>Valid</v>
      </c>
      <c r="U576" s="4">
        <f t="shared" si="3"/>
        <v>1</v>
      </c>
      <c r="V576" s="4" t="str">
        <f t="shared" si="4"/>
        <v>Unique</v>
      </c>
      <c r="W576" s="4" t="str">
        <f t="shared" si="5"/>
        <v>Unknown</v>
      </c>
      <c r="X576" s="4" t="str">
        <f t="shared" ref="X576:Z576" si="580">IF(Q576="","Unknown",Q576)</f>
        <v>Bamboo Flat, India</v>
      </c>
      <c r="Y576" s="4" t="str">
        <f t="shared" si="580"/>
        <v>Unknown</v>
      </c>
      <c r="Z576" s="4" t="str">
        <f t="shared" si="580"/>
        <v>Unknown</v>
      </c>
      <c r="AA576" s="4" t="str">
        <f t="shared" si="7"/>
        <v>mwc</v>
      </c>
    </row>
    <row r="577">
      <c r="A577" s="3" t="s">
        <v>1392</v>
      </c>
      <c r="B577" s="3">
        <v>7.1</v>
      </c>
      <c r="C577" s="19">
        <f>Raw_Data!T577</f>
        <v>40034.45486</v>
      </c>
      <c r="D577" s="3">
        <v>5.0</v>
      </c>
      <c r="E577" s="3">
        <v>4.0</v>
      </c>
      <c r="F577" s="4"/>
      <c r="G577" s="3">
        <v>0.0</v>
      </c>
      <c r="H577" s="3">
        <v>1005.0</v>
      </c>
      <c r="I577" s="3" t="s">
        <v>110</v>
      </c>
      <c r="J577" s="3">
        <v>447.0</v>
      </c>
      <c r="K577" s="3">
        <v>0.0</v>
      </c>
      <c r="L577" s="3">
        <v>14.2</v>
      </c>
      <c r="M577" s="4" t="str">
        <f>Raw_Data!X577</f>
        <v>mwc</v>
      </c>
      <c r="N577" s="3">
        <v>292.0</v>
      </c>
      <c r="O577" s="3">
        <v>33.167</v>
      </c>
      <c r="P577" s="3">
        <v>137.944</v>
      </c>
      <c r="Q577" s="3" t="s">
        <v>1393</v>
      </c>
      <c r="R577" s="4"/>
      <c r="S577" s="4"/>
      <c r="T577" s="4" t="str">
        <f t="shared" si="2"/>
        <v>Valid</v>
      </c>
      <c r="U577" s="4">
        <f t="shared" si="3"/>
        <v>1</v>
      </c>
      <c r="V577" s="4" t="str">
        <f t="shared" si="4"/>
        <v>Unique</v>
      </c>
      <c r="W577" s="4" t="str">
        <f t="shared" si="5"/>
        <v>Unknown</v>
      </c>
      <c r="X577" s="4" t="str">
        <f t="shared" ref="X577:Z577" si="581">IF(Q577="","Unknown",Q577)</f>
        <v>?yama, Japan</v>
      </c>
      <c r="Y577" s="4" t="str">
        <f t="shared" si="581"/>
        <v>Unknown</v>
      </c>
      <c r="Z577" s="4" t="str">
        <f t="shared" si="581"/>
        <v>Unknown</v>
      </c>
      <c r="AA577" s="4" t="str">
        <f t="shared" si="7"/>
        <v>mwc</v>
      </c>
    </row>
    <row r="578">
      <c r="A578" s="3" t="s">
        <v>1394</v>
      </c>
      <c r="B578" s="3">
        <v>6.9</v>
      </c>
      <c r="C578" s="19">
        <f>Raw_Data!T578</f>
        <v>40028.74931</v>
      </c>
      <c r="D578" s="3">
        <v>5.0</v>
      </c>
      <c r="E578" s="3">
        <v>7.0</v>
      </c>
      <c r="F578" s="4"/>
      <c r="G578" s="3">
        <v>0.0</v>
      </c>
      <c r="H578" s="3">
        <v>1202.0</v>
      </c>
      <c r="I578" s="3" t="s">
        <v>110</v>
      </c>
      <c r="J578" s="3">
        <v>243.0</v>
      </c>
      <c r="K578" s="3">
        <v>0.0</v>
      </c>
      <c r="L578" s="3">
        <v>35.0</v>
      </c>
      <c r="M578" s="4" t="str">
        <f>Raw_Data!X578</f>
        <v>mwc</v>
      </c>
      <c r="N578" s="3">
        <v>10.0</v>
      </c>
      <c r="O578" s="3">
        <v>29.039</v>
      </c>
      <c r="P578" s="3">
        <v>-112.903</v>
      </c>
      <c r="Q578" s="3" t="s">
        <v>1395</v>
      </c>
      <c r="R578" s="3" t="s">
        <v>233</v>
      </c>
      <c r="S578" s="3" t="s">
        <v>234</v>
      </c>
      <c r="T578" s="4" t="str">
        <f t="shared" si="2"/>
        <v>Valid</v>
      </c>
      <c r="U578" s="4">
        <f t="shared" si="3"/>
        <v>1</v>
      </c>
      <c r="V578" s="4" t="str">
        <f t="shared" si="4"/>
        <v>Unique</v>
      </c>
      <c r="W578" s="4" t="str">
        <f t="shared" si="5"/>
        <v>Unknown</v>
      </c>
      <c r="X578" s="4" t="str">
        <f t="shared" ref="X578:Z578" si="582">IF(Q578="","Unknown",Q578)</f>
        <v>Bahía de Kino, Mexico</v>
      </c>
      <c r="Y578" s="4" t="str">
        <f t="shared" si="582"/>
        <v>North America</v>
      </c>
      <c r="Z578" s="4" t="str">
        <f t="shared" si="582"/>
        <v>Mexico</v>
      </c>
      <c r="AA578" s="4" t="str">
        <f t="shared" si="7"/>
        <v>mwc</v>
      </c>
    </row>
    <row r="579">
      <c r="A579" s="3" t="s">
        <v>1396</v>
      </c>
      <c r="B579" s="3">
        <v>7.8</v>
      </c>
      <c r="C579" s="19">
        <f>Raw_Data!T579</f>
        <v>40009.39028</v>
      </c>
      <c r="D579" s="3">
        <v>6.0</v>
      </c>
      <c r="E579" s="3">
        <v>8.0</v>
      </c>
      <c r="F579" s="4"/>
      <c r="G579" s="3">
        <v>0.0</v>
      </c>
      <c r="H579" s="3">
        <v>1165.0</v>
      </c>
      <c r="I579" s="3" t="s">
        <v>110</v>
      </c>
      <c r="J579" s="3">
        <v>434.0</v>
      </c>
      <c r="K579" s="3">
        <v>0.0</v>
      </c>
      <c r="L579" s="3">
        <v>16.8</v>
      </c>
      <c r="M579" s="4" t="str">
        <f>Raw_Data!X579</f>
        <v>mwc</v>
      </c>
      <c r="N579" s="3">
        <v>12.0</v>
      </c>
      <c r="O579" s="3">
        <v>-45.762</v>
      </c>
      <c r="P579" s="3">
        <v>166.562</v>
      </c>
      <c r="Q579" s="3" t="s">
        <v>1398</v>
      </c>
      <c r="R579" s="4"/>
      <c r="S579" s="3" t="s">
        <v>759</v>
      </c>
      <c r="T579" s="4" t="str">
        <f t="shared" si="2"/>
        <v>Valid</v>
      </c>
      <c r="U579" s="4">
        <f t="shared" si="3"/>
        <v>1</v>
      </c>
      <c r="V579" s="4" t="str">
        <f t="shared" si="4"/>
        <v>Unique</v>
      </c>
      <c r="W579" s="4" t="str">
        <f t="shared" si="5"/>
        <v>Unknown</v>
      </c>
      <c r="X579" s="4" t="str">
        <f t="shared" ref="X579:Z579" si="583">IF(Q579="","Unknown",Q579)</f>
        <v>Te Anau, New Zealand</v>
      </c>
      <c r="Y579" s="4" t="str">
        <f t="shared" si="583"/>
        <v>Unknown</v>
      </c>
      <c r="Z579" s="4" t="str">
        <f t="shared" si="583"/>
        <v>New Zealand</v>
      </c>
      <c r="AA579" s="4" t="str">
        <f t="shared" si="7"/>
        <v>mwc</v>
      </c>
    </row>
    <row r="580">
      <c r="A580" s="3" t="s">
        <v>1399</v>
      </c>
      <c r="B580" s="3">
        <v>6.7</v>
      </c>
      <c r="C580" s="19">
        <f>Raw_Data!T580</f>
        <v>39987.59653</v>
      </c>
      <c r="D580" s="3">
        <v>5.0</v>
      </c>
      <c r="E580" s="3">
        <v>5.0</v>
      </c>
      <c r="F580" s="4"/>
      <c r="G580" s="3">
        <v>0.0</v>
      </c>
      <c r="H580" s="3">
        <v>693.0</v>
      </c>
      <c r="I580" s="3" t="s">
        <v>110</v>
      </c>
      <c r="J580" s="3">
        <v>269.0</v>
      </c>
      <c r="K580" s="3">
        <v>0.0</v>
      </c>
      <c r="L580" s="3">
        <v>13.8</v>
      </c>
      <c r="M580" s="4" t="str">
        <f>Raw_Data!X580</f>
        <v>mwc</v>
      </c>
      <c r="N580" s="3">
        <v>64.0</v>
      </c>
      <c r="O580" s="3">
        <v>-5.157</v>
      </c>
      <c r="P580" s="3">
        <v>153.782</v>
      </c>
      <c r="Q580" s="3" t="s">
        <v>633</v>
      </c>
      <c r="R580" s="4"/>
      <c r="S580" s="3" t="s">
        <v>168</v>
      </c>
      <c r="T580" s="4" t="str">
        <f t="shared" si="2"/>
        <v>Valid</v>
      </c>
      <c r="U580" s="4">
        <f t="shared" si="3"/>
        <v>1</v>
      </c>
      <c r="V580" s="4" t="str">
        <f t="shared" si="4"/>
        <v>Unique</v>
      </c>
      <c r="W580" s="4" t="str">
        <f t="shared" si="5"/>
        <v>Unknown</v>
      </c>
      <c r="X580" s="4" t="str">
        <f t="shared" ref="X580:Z580" si="584">IF(Q580="","Unknown",Q580)</f>
        <v>Kokopo, Papua New Guinea</v>
      </c>
      <c r="Y580" s="4" t="str">
        <f t="shared" si="584"/>
        <v>Unknown</v>
      </c>
      <c r="Z580" s="4" t="str">
        <f t="shared" si="584"/>
        <v>Papua New Guinea</v>
      </c>
      <c r="AA580" s="4" t="str">
        <f t="shared" si="7"/>
        <v>mwc</v>
      </c>
    </row>
    <row r="581">
      <c r="A581" s="3" t="s">
        <v>1401</v>
      </c>
      <c r="B581" s="3">
        <v>7.3</v>
      </c>
      <c r="C581" s="19">
        <f>Raw_Data!T581</f>
        <v>39961.35</v>
      </c>
      <c r="D581" s="3">
        <v>7.0</v>
      </c>
      <c r="E581" s="3">
        <v>8.0</v>
      </c>
      <c r="F581" s="4"/>
      <c r="G581" s="3">
        <v>0.0</v>
      </c>
      <c r="H581" s="3">
        <v>1560.0</v>
      </c>
      <c r="I581" s="3" t="s">
        <v>110</v>
      </c>
      <c r="J581" s="3">
        <v>464.0</v>
      </c>
      <c r="K581" s="3">
        <v>0.0</v>
      </c>
      <c r="L581" s="3">
        <v>27.2</v>
      </c>
      <c r="M581" s="4" t="str">
        <f>Raw_Data!X581</f>
        <v>mwc</v>
      </c>
      <c r="N581" s="3">
        <v>19.0</v>
      </c>
      <c r="O581" s="3">
        <v>16.731</v>
      </c>
      <c r="P581" s="3">
        <v>-86.217</v>
      </c>
      <c r="Q581" s="3" t="s">
        <v>1403</v>
      </c>
      <c r="R581" s="4"/>
      <c r="S581" s="4"/>
      <c r="T581" s="4" t="str">
        <f t="shared" si="2"/>
        <v>Valid</v>
      </c>
      <c r="U581" s="4">
        <f t="shared" si="3"/>
        <v>1</v>
      </c>
      <c r="V581" s="4" t="str">
        <f t="shared" si="4"/>
        <v>Unique</v>
      </c>
      <c r="W581" s="4" t="str">
        <f t="shared" si="5"/>
        <v>Unknown</v>
      </c>
      <c r="X581" s="4" t="str">
        <f t="shared" ref="X581:Z581" si="585">IF(Q581="","Unknown",Q581)</f>
        <v>Guanaja, Honduras</v>
      </c>
      <c r="Y581" s="4" t="str">
        <f t="shared" si="585"/>
        <v>Unknown</v>
      </c>
      <c r="Z581" s="4" t="str">
        <f t="shared" si="585"/>
        <v>Unknown</v>
      </c>
      <c r="AA581" s="4" t="str">
        <f t="shared" si="7"/>
        <v>mwc</v>
      </c>
    </row>
    <row r="582">
      <c r="A582" s="3" t="s">
        <v>1404</v>
      </c>
      <c r="B582" s="3">
        <v>7.6</v>
      </c>
      <c r="C582" s="19">
        <f>Raw_Data!T582</f>
        <v>39891.76181</v>
      </c>
      <c r="D582" s="3">
        <v>7.0</v>
      </c>
      <c r="E582" s="3">
        <v>5.0</v>
      </c>
      <c r="F582" s="4"/>
      <c r="G582" s="3">
        <v>0.0</v>
      </c>
      <c r="H582" s="3">
        <v>916.0</v>
      </c>
      <c r="I582" s="3" t="s">
        <v>110</v>
      </c>
      <c r="J582" s="3">
        <v>504.0</v>
      </c>
      <c r="K582" s="3">
        <v>0.0</v>
      </c>
      <c r="L582" s="3">
        <v>14.0</v>
      </c>
      <c r="M582" s="4" t="str">
        <f>Raw_Data!X582</f>
        <v>mwc</v>
      </c>
      <c r="N582" s="3">
        <v>31.0</v>
      </c>
      <c r="O582" s="3">
        <v>-23.043</v>
      </c>
      <c r="P582" s="3">
        <v>-174.66</v>
      </c>
      <c r="Q582" s="3" t="s">
        <v>1406</v>
      </c>
      <c r="R582" s="4"/>
      <c r="S582" s="4"/>
      <c r="T582" s="4" t="str">
        <f t="shared" si="2"/>
        <v>Valid</v>
      </c>
      <c r="U582" s="4">
        <f t="shared" si="3"/>
        <v>1</v>
      </c>
      <c r="V582" s="4" t="str">
        <f t="shared" si="4"/>
        <v>Unique</v>
      </c>
      <c r="W582" s="4" t="str">
        <f t="shared" si="5"/>
        <v>Unknown</v>
      </c>
      <c r="X582" s="4" t="str">
        <f t="shared" ref="X582:Z582" si="586">IF(Q582="","Unknown",Q582)</f>
        <v>‘Ohonua, Tonga</v>
      </c>
      <c r="Y582" s="4" t="str">
        <f t="shared" si="586"/>
        <v>Unknown</v>
      </c>
      <c r="Z582" s="4" t="str">
        <f t="shared" si="586"/>
        <v>Unknown</v>
      </c>
      <c r="AA582" s="4" t="str">
        <f t="shared" si="7"/>
        <v>mwc</v>
      </c>
    </row>
    <row r="583">
      <c r="A583" s="3" t="s">
        <v>1407</v>
      </c>
      <c r="B583" s="3">
        <v>7.2</v>
      </c>
      <c r="C583" s="19">
        <f>Raw_Data!T583</f>
        <v>39855.73194</v>
      </c>
      <c r="D583" s="3">
        <v>3.0</v>
      </c>
      <c r="E583" s="3">
        <v>7.0</v>
      </c>
      <c r="F583" s="4"/>
      <c r="G583" s="3">
        <v>0.0</v>
      </c>
      <c r="H583" s="3">
        <v>802.0</v>
      </c>
      <c r="I583" s="3" t="s">
        <v>110</v>
      </c>
      <c r="J583" s="3">
        <v>432.0</v>
      </c>
      <c r="K583" s="3">
        <v>0.0</v>
      </c>
      <c r="L583" s="3">
        <v>18.6</v>
      </c>
      <c r="M583" s="4" t="str">
        <f>Raw_Data!X583</f>
        <v>mwc</v>
      </c>
      <c r="N583" s="3">
        <v>20.0</v>
      </c>
      <c r="O583" s="3">
        <v>3.886</v>
      </c>
      <c r="P583" s="3">
        <v>126.387</v>
      </c>
      <c r="Q583" s="3" t="s">
        <v>832</v>
      </c>
      <c r="R583" s="4"/>
      <c r="S583" s="3" t="s">
        <v>153</v>
      </c>
      <c r="T583" s="4" t="str">
        <f t="shared" si="2"/>
        <v>Valid</v>
      </c>
      <c r="U583" s="4">
        <f t="shared" si="3"/>
        <v>1</v>
      </c>
      <c r="V583" s="4" t="str">
        <f t="shared" si="4"/>
        <v>Unique</v>
      </c>
      <c r="W583" s="4" t="str">
        <f t="shared" si="5"/>
        <v>Unknown</v>
      </c>
      <c r="X583" s="4" t="str">
        <f t="shared" ref="X583:Z583" si="587">IF(Q583="","Unknown",Q583)</f>
        <v>Sarangani, Philippines</v>
      </c>
      <c r="Y583" s="4" t="str">
        <f t="shared" si="587"/>
        <v>Unknown</v>
      </c>
      <c r="Z583" s="4" t="str">
        <f t="shared" si="587"/>
        <v>Indonesia</v>
      </c>
      <c r="AA583" s="4" t="str">
        <f t="shared" si="7"/>
        <v>mwc</v>
      </c>
    </row>
    <row r="584">
      <c r="A584" s="3" t="s">
        <v>1408</v>
      </c>
      <c r="B584" s="3">
        <v>7.4</v>
      </c>
      <c r="C584" s="19">
        <f>Raw_Data!T584</f>
        <v>39816.93958</v>
      </c>
      <c r="D584" s="3">
        <v>7.0</v>
      </c>
      <c r="E584" s="3">
        <v>7.0</v>
      </c>
      <c r="F584" s="4"/>
      <c r="G584" s="3">
        <v>0.0</v>
      </c>
      <c r="H584" s="3">
        <v>846.0</v>
      </c>
      <c r="I584" s="3" t="s">
        <v>110</v>
      </c>
      <c r="J584" s="3">
        <v>314.0</v>
      </c>
      <c r="K584" s="3">
        <v>0.0</v>
      </c>
      <c r="L584" s="3">
        <v>21.1</v>
      </c>
      <c r="M584" s="4" t="str">
        <f>Raw_Data!X584</f>
        <v>mwc</v>
      </c>
      <c r="N584" s="3">
        <v>23.0</v>
      </c>
      <c r="O584" s="3">
        <v>-0.691</v>
      </c>
      <c r="P584" s="3">
        <v>133.305</v>
      </c>
      <c r="Q584" s="3" t="s">
        <v>1182</v>
      </c>
      <c r="R584" s="4"/>
      <c r="S584" s="3" t="s">
        <v>153</v>
      </c>
      <c r="T584" s="4" t="str">
        <f t="shared" si="2"/>
        <v>Valid</v>
      </c>
      <c r="U584" s="4">
        <f t="shared" si="3"/>
        <v>1</v>
      </c>
      <c r="V584" s="4" t="str">
        <f t="shared" si="4"/>
        <v>Unique</v>
      </c>
      <c r="W584" s="4" t="str">
        <f t="shared" si="5"/>
        <v>Unknown</v>
      </c>
      <c r="X584" s="4" t="str">
        <f t="shared" ref="X584:Z584" si="588">IF(Q584="","Unknown",Q584)</f>
        <v>Manokwari, Indonesia</v>
      </c>
      <c r="Y584" s="4" t="str">
        <f t="shared" si="588"/>
        <v>Unknown</v>
      </c>
      <c r="Z584" s="4" t="str">
        <f t="shared" si="588"/>
        <v>Indonesia</v>
      </c>
      <c r="AA584" s="4" t="str">
        <f t="shared" si="7"/>
        <v>mwc</v>
      </c>
    </row>
    <row r="585">
      <c r="A585" s="3" t="s">
        <v>1409</v>
      </c>
      <c r="B585" s="3">
        <v>6.6</v>
      </c>
      <c r="C585" s="19">
        <f>Raw_Data!T585</f>
        <v>39816.84931</v>
      </c>
      <c r="D585" s="3">
        <v>5.0</v>
      </c>
      <c r="E585" s="3">
        <v>4.0</v>
      </c>
      <c r="F585" s="4"/>
      <c r="G585" s="3">
        <v>0.0</v>
      </c>
      <c r="H585" s="3">
        <v>765.0</v>
      </c>
      <c r="I585" s="3" t="s">
        <v>110</v>
      </c>
      <c r="J585" s="3">
        <v>344.0</v>
      </c>
      <c r="K585" s="3">
        <v>0.0</v>
      </c>
      <c r="L585" s="3">
        <v>22.6</v>
      </c>
      <c r="M585" s="4" t="str">
        <f>Raw_Data!X585</f>
        <v>mwc</v>
      </c>
      <c r="N585" s="3">
        <v>204.8</v>
      </c>
      <c r="O585" s="3">
        <v>36.419</v>
      </c>
      <c r="P585" s="3">
        <v>70.743</v>
      </c>
      <c r="Q585" s="3" t="s">
        <v>174</v>
      </c>
      <c r="R585" s="3" t="s">
        <v>164</v>
      </c>
      <c r="S585" s="3" t="s">
        <v>175</v>
      </c>
      <c r="T585" s="4" t="str">
        <f t="shared" si="2"/>
        <v>Valid</v>
      </c>
      <c r="U585" s="4">
        <f t="shared" si="3"/>
        <v>1</v>
      </c>
      <c r="V585" s="4" t="str">
        <f t="shared" si="4"/>
        <v>Unique</v>
      </c>
      <c r="W585" s="4" t="str">
        <f t="shared" si="5"/>
        <v>Unknown</v>
      </c>
      <c r="X585" s="4" t="str">
        <f t="shared" ref="X585:Z585" si="589">IF(Q585="","Unknown",Q585)</f>
        <v>Jurm, Afghanistan</v>
      </c>
      <c r="Y585" s="4" t="str">
        <f t="shared" si="589"/>
        <v>Asia</v>
      </c>
      <c r="Z585" s="4" t="str">
        <f t="shared" si="589"/>
        <v>Afghanistan</v>
      </c>
      <c r="AA585" s="4" t="str">
        <f t="shared" si="7"/>
        <v>mwc</v>
      </c>
    </row>
    <row r="586">
      <c r="A586" s="3" t="s">
        <v>1410</v>
      </c>
      <c r="B586" s="3">
        <v>7.7</v>
      </c>
      <c r="C586" s="19">
        <f>Raw_Data!T586</f>
        <v>39816.82153</v>
      </c>
      <c r="D586" s="3">
        <v>5.0</v>
      </c>
      <c r="E586" s="3">
        <v>7.0</v>
      </c>
      <c r="F586" s="4"/>
      <c r="G586" s="3">
        <v>0.0</v>
      </c>
      <c r="H586" s="3">
        <v>918.0</v>
      </c>
      <c r="I586" s="3" t="s">
        <v>110</v>
      </c>
      <c r="J586" s="3">
        <v>288.0</v>
      </c>
      <c r="K586" s="3">
        <v>0.0</v>
      </c>
      <c r="L586" s="3">
        <v>29.8</v>
      </c>
      <c r="M586" s="4" t="str">
        <f>Raw_Data!X586</f>
        <v>mwc</v>
      </c>
      <c r="N586" s="3">
        <v>17.0</v>
      </c>
      <c r="O586" s="3">
        <v>-0.414</v>
      </c>
      <c r="P586" s="3">
        <v>132.885</v>
      </c>
      <c r="Q586" s="3" t="s">
        <v>1182</v>
      </c>
      <c r="R586" s="4"/>
      <c r="S586" s="3" t="s">
        <v>153</v>
      </c>
      <c r="T586" s="4" t="str">
        <f t="shared" si="2"/>
        <v>Valid</v>
      </c>
      <c r="U586" s="4">
        <f t="shared" si="3"/>
        <v>1</v>
      </c>
      <c r="V586" s="4" t="str">
        <f t="shared" si="4"/>
        <v>Unique</v>
      </c>
      <c r="W586" s="4" t="str">
        <f t="shared" si="5"/>
        <v>Unknown</v>
      </c>
      <c r="X586" s="4" t="str">
        <f t="shared" ref="X586:Z586" si="590">IF(Q586="","Unknown",Q586)</f>
        <v>Manokwari, Indonesia</v>
      </c>
      <c r="Y586" s="4" t="str">
        <f t="shared" si="590"/>
        <v>Unknown</v>
      </c>
      <c r="Z586" s="4" t="str">
        <f t="shared" si="590"/>
        <v>Indonesia</v>
      </c>
      <c r="AA586" s="4" t="str">
        <f t="shared" si="7"/>
        <v>mwc</v>
      </c>
    </row>
    <row r="587">
      <c r="A587" s="3" t="s">
        <v>1411</v>
      </c>
      <c r="B587" s="3">
        <v>7.4</v>
      </c>
      <c r="C587" s="19">
        <f>Raw_Data!T587</f>
        <v>39768.70972</v>
      </c>
      <c r="D587" s="3">
        <v>9.0</v>
      </c>
      <c r="E587" s="3">
        <v>7.0</v>
      </c>
      <c r="F587" s="4"/>
      <c r="G587" s="3">
        <v>0.0</v>
      </c>
      <c r="H587" s="3">
        <v>848.0</v>
      </c>
      <c r="I587" s="3" t="s">
        <v>110</v>
      </c>
      <c r="J587" s="3">
        <v>365.0</v>
      </c>
      <c r="K587" s="3">
        <v>0.0</v>
      </c>
      <c r="L587" s="3">
        <v>33.7</v>
      </c>
      <c r="M587" s="4" t="str">
        <f>Raw_Data!X587</f>
        <v>mww</v>
      </c>
      <c r="N587" s="3">
        <v>30.0</v>
      </c>
      <c r="O587" s="3">
        <v>1.271</v>
      </c>
      <c r="P587" s="3">
        <v>122.091</v>
      </c>
      <c r="Q587" s="3" t="s">
        <v>1413</v>
      </c>
      <c r="R587" s="4"/>
      <c r="S587" s="3" t="s">
        <v>153</v>
      </c>
      <c r="T587" s="4" t="str">
        <f t="shared" si="2"/>
        <v>Valid</v>
      </c>
      <c r="U587" s="4">
        <f t="shared" si="3"/>
        <v>1</v>
      </c>
      <c r="V587" s="4" t="str">
        <f t="shared" si="4"/>
        <v>Unique</v>
      </c>
      <c r="W587" s="4" t="str">
        <f t="shared" si="5"/>
        <v>Unknown</v>
      </c>
      <c r="X587" s="4" t="str">
        <f t="shared" ref="X587:Z587" si="591">IF(Q587="","Unknown",Q587)</f>
        <v>Gorontalo, Indonesia</v>
      </c>
      <c r="Y587" s="4" t="str">
        <f t="shared" si="591"/>
        <v>Unknown</v>
      </c>
      <c r="Z587" s="4" t="str">
        <f t="shared" si="591"/>
        <v>Indonesia</v>
      </c>
      <c r="AA587" s="4" t="str">
        <f t="shared" si="7"/>
        <v>mww</v>
      </c>
    </row>
    <row r="588">
      <c r="A588" s="3" t="s">
        <v>1414</v>
      </c>
      <c r="B588" s="3">
        <v>6.7</v>
      </c>
      <c r="C588" s="19">
        <f>Raw_Data!T588</f>
        <v>39737.82014</v>
      </c>
      <c r="D588" s="3">
        <v>5.0</v>
      </c>
      <c r="E588" s="3">
        <v>6.0</v>
      </c>
      <c r="F588" s="4"/>
      <c r="G588" s="3">
        <v>0.0</v>
      </c>
      <c r="H588" s="3">
        <v>731.0</v>
      </c>
      <c r="I588" s="3" t="s">
        <v>110</v>
      </c>
      <c r="J588" s="3">
        <v>481.0</v>
      </c>
      <c r="K588" s="3">
        <v>0.0</v>
      </c>
      <c r="L588" s="3">
        <v>28.6</v>
      </c>
      <c r="M588" s="4" t="str">
        <f>Raw_Data!X588</f>
        <v>mwc</v>
      </c>
      <c r="N588" s="3">
        <v>24.0</v>
      </c>
      <c r="O588" s="3">
        <v>14.423</v>
      </c>
      <c r="P588" s="3">
        <v>-92.364</v>
      </c>
      <c r="Q588" s="3" t="s">
        <v>1416</v>
      </c>
      <c r="R588" s="4"/>
      <c r="S588" s="3" t="s">
        <v>234</v>
      </c>
      <c r="T588" s="4" t="str">
        <f t="shared" si="2"/>
        <v>Valid</v>
      </c>
      <c r="U588" s="4">
        <f t="shared" si="3"/>
        <v>1</v>
      </c>
      <c r="V588" s="4" t="str">
        <f t="shared" si="4"/>
        <v>Unique</v>
      </c>
      <c r="W588" s="4" t="str">
        <f t="shared" si="5"/>
        <v>Unknown</v>
      </c>
      <c r="X588" s="4" t="str">
        <f t="shared" ref="X588:Z588" si="592">IF(Q588="","Unknown",Q588)</f>
        <v>Brisas Barra de Suchiate, Mexico</v>
      </c>
      <c r="Y588" s="4" t="str">
        <f t="shared" si="592"/>
        <v>Unknown</v>
      </c>
      <c r="Z588" s="4" t="str">
        <f t="shared" si="592"/>
        <v>Mexico</v>
      </c>
      <c r="AA588" s="4" t="str">
        <f t="shared" si="7"/>
        <v>mwc</v>
      </c>
    </row>
    <row r="589">
      <c r="A589" s="3" t="s">
        <v>1417</v>
      </c>
      <c r="B589" s="3">
        <v>6.7</v>
      </c>
      <c r="C589" s="19">
        <f>Raw_Data!T589</f>
        <v>39726.66111</v>
      </c>
      <c r="D589" s="3">
        <v>0.0</v>
      </c>
      <c r="E589" s="3">
        <v>6.0</v>
      </c>
      <c r="F589" s="4"/>
      <c r="G589" s="3">
        <v>0.0</v>
      </c>
      <c r="H589" s="3">
        <v>691.0</v>
      </c>
      <c r="I589" s="3" t="s">
        <v>110</v>
      </c>
      <c r="J589" s="3">
        <v>529.0</v>
      </c>
      <c r="K589" s="3">
        <v>0.0</v>
      </c>
      <c r="L589" s="3">
        <v>22.3</v>
      </c>
      <c r="M589" s="4" t="str">
        <f>Raw_Data!X589</f>
        <v>mwc</v>
      </c>
      <c r="N589" s="3">
        <v>27.4</v>
      </c>
      <c r="O589" s="3">
        <v>39.533</v>
      </c>
      <c r="P589" s="3">
        <v>73.824</v>
      </c>
      <c r="Q589" s="3" t="s">
        <v>1418</v>
      </c>
      <c r="R589" s="3" t="s">
        <v>164</v>
      </c>
      <c r="S589" s="3" t="s">
        <v>1419</v>
      </c>
      <c r="T589" s="4" t="str">
        <f t="shared" si="2"/>
        <v>Valid</v>
      </c>
      <c r="U589" s="4">
        <f t="shared" si="3"/>
        <v>1</v>
      </c>
      <c r="V589" s="4" t="str">
        <f t="shared" si="4"/>
        <v>Unique</v>
      </c>
      <c r="W589" s="4" t="str">
        <f t="shared" si="5"/>
        <v>Unknown</v>
      </c>
      <c r="X589" s="4" t="str">
        <f t="shared" ref="X589:Z589" si="593">IF(Q589="","Unknown",Q589)</f>
        <v>Nookat, Kyrgyzstan</v>
      </c>
      <c r="Y589" s="4" t="str">
        <f t="shared" si="593"/>
        <v>Asia</v>
      </c>
      <c r="Z589" s="4" t="str">
        <f t="shared" si="593"/>
        <v>Kyrgyzstan</v>
      </c>
      <c r="AA589" s="4" t="str">
        <f t="shared" si="7"/>
        <v>mwc</v>
      </c>
    </row>
    <row r="590">
      <c r="A590" s="3" t="s">
        <v>1420</v>
      </c>
      <c r="B590" s="3">
        <v>6.8</v>
      </c>
      <c r="C590" s="19">
        <f>Raw_Data!T590</f>
        <v>39702.01389</v>
      </c>
      <c r="D590" s="3">
        <v>0.0</v>
      </c>
      <c r="E590" s="3">
        <v>6.0</v>
      </c>
      <c r="F590" s="4"/>
      <c r="G590" s="3">
        <v>0.0</v>
      </c>
      <c r="H590" s="3">
        <v>711.0</v>
      </c>
      <c r="I590" s="3" t="s">
        <v>110</v>
      </c>
      <c r="J590" s="3">
        <v>500.0</v>
      </c>
      <c r="K590" s="3">
        <v>0.0</v>
      </c>
      <c r="L590" s="3">
        <v>22.2</v>
      </c>
      <c r="M590" s="4" t="str">
        <f>Raw_Data!X590</f>
        <v>mwc</v>
      </c>
      <c r="N590" s="3">
        <v>25.0</v>
      </c>
      <c r="O590" s="3">
        <v>41.892</v>
      </c>
      <c r="P590" s="3">
        <v>143.754</v>
      </c>
      <c r="Q590" s="3" t="s">
        <v>1139</v>
      </c>
      <c r="R590" s="4"/>
      <c r="S590" s="4"/>
      <c r="T590" s="4" t="str">
        <f t="shared" si="2"/>
        <v>Valid</v>
      </c>
      <c r="U590" s="4">
        <f t="shared" si="3"/>
        <v>1</v>
      </c>
      <c r="V590" s="4" t="str">
        <f t="shared" si="4"/>
        <v>Unique</v>
      </c>
      <c r="W590" s="4" t="str">
        <f t="shared" si="5"/>
        <v>Unknown</v>
      </c>
      <c r="X590" s="4" t="str">
        <f t="shared" ref="X590:Z590" si="594">IF(Q590="","Unknown",Q590)</f>
        <v>Obihiro, Japan</v>
      </c>
      <c r="Y590" s="4" t="str">
        <f t="shared" si="594"/>
        <v>Unknown</v>
      </c>
      <c r="Z590" s="4" t="str">
        <f t="shared" si="594"/>
        <v>Unknown</v>
      </c>
      <c r="AA590" s="4" t="str">
        <f t="shared" si="7"/>
        <v>mwc</v>
      </c>
    </row>
    <row r="591">
      <c r="A591" s="3" t="s">
        <v>1421</v>
      </c>
      <c r="B591" s="3">
        <v>6.6</v>
      </c>
      <c r="C591" s="19">
        <f>Raw_Data!T591</f>
        <v>39702</v>
      </c>
      <c r="D591" s="3">
        <v>0.0</v>
      </c>
      <c r="E591" s="3">
        <v>6.0</v>
      </c>
      <c r="F591" s="4"/>
      <c r="G591" s="3">
        <v>0.0</v>
      </c>
      <c r="H591" s="3">
        <v>670.0</v>
      </c>
      <c r="I591" s="3" t="s">
        <v>110</v>
      </c>
      <c r="J591" s="3">
        <v>463.0</v>
      </c>
      <c r="K591" s="3">
        <v>0.0</v>
      </c>
      <c r="L591" s="3">
        <v>14.1</v>
      </c>
      <c r="M591" s="4" t="str">
        <f>Raw_Data!X591</f>
        <v>mwc</v>
      </c>
      <c r="N591" s="3">
        <v>96.0</v>
      </c>
      <c r="O591" s="3">
        <v>1.885</v>
      </c>
      <c r="P591" s="3">
        <v>127.363</v>
      </c>
      <c r="Q591" s="3" t="s">
        <v>205</v>
      </c>
      <c r="R591" s="4"/>
      <c r="S591" s="3" t="s">
        <v>153</v>
      </c>
      <c r="T591" s="4" t="str">
        <f t="shared" si="2"/>
        <v>Valid</v>
      </c>
      <c r="U591" s="4">
        <f t="shared" si="3"/>
        <v>1</v>
      </c>
      <c r="V591" s="4" t="str">
        <f t="shared" si="4"/>
        <v>Unique</v>
      </c>
      <c r="W591" s="4" t="str">
        <f t="shared" si="5"/>
        <v>Unknown</v>
      </c>
      <c r="X591" s="4" t="str">
        <f t="shared" ref="X591:Z591" si="595">IF(Q591="","Unknown",Q591)</f>
        <v>Tobelo, Indonesia</v>
      </c>
      <c r="Y591" s="4" t="str">
        <f t="shared" si="595"/>
        <v>Unknown</v>
      </c>
      <c r="Z591" s="4" t="str">
        <f t="shared" si="595"/>
        <v>Indonesia</v>
      </c>
      <c r="AA591" s="4" t="str">
        <f t="shared" si="7"/>
        <v>mwc</v>
      </c>
    </row>
    <row r="592">
      <c r="A592" s="3" t="s">
        <v>1422</v>
      </c>
      <c r="B592" s="3">
        <v>6.9</v>
      </c>
      <c r="C592" s="19">
        <f>Raw_Data!T592</f>
        <v>39699.78611</v>
      </c>
      <c r="D592" s="3">
        <v>0.0</v>
      </c>
      <c r="E592" s="3">
        <v>6.0</v>
      </c>
      <c r="F592" s="4"/>
      <c r="G592" s="3">
        <v>0.0</v>
      </c>
      <c r="H592" s="3">
        <v>732.0</v>
      </c>
      <c r="I592" s="3" t="s">
        <v>110</v>
      </c>
      <c r="J592" s="3">
        <v>531.0</v>
      </c>
      <c r="K592" s="3">
        <v>0.0</v>
      </c>
      <c r="L592" s="3">
        <v>14.9</v>
      </c>
      <c r="M592" s="4" t="str">
        <f>Raw_Data!X592</f>
        <v>mwc</v>
      </c>
      <c r="N592" s="3">
        <v>110.0</v>
      </c>
      <c r="O592" s="3">
        <v>-13.501</v>
      </c>
      <c r="P592" s="3">
        <v>166.967</v>
      </c>
      <c r="Q592" s="3" t="s">
        <v>112</v>
      </c>
      <c r="R592" s="4"/>
      <c r="S592" s="3" t="s">
        <v>113</v>
      </c>
      <c r="T592" s="4" t="str">
        <f t="shared" si="2"/>
        <v>Valid</v>
      </c>
      <c r="U592" s="4">
        <f t="shared" si="3"/>
        <v>1</v>
      </c>
      <c r="V592" s="4" t="str">
        <f t="shared" si="4"/>
        <v>Unique</v>
      </c>
      <c r="W592" s="4" t="str">
        <f t="shared" si="5"/>
        <v>Unknown</v>
      </c>
      <c r="X592" s="4" t="str">
        <f t="shared" ref="X592:Z592" si="596">IF(Q592="","Unknown",Q592)</f>
        <v>Sola, Vanuatu</v>
      </c>
      <c r="Y592" s="4" t="str">
        <f t="shared" si="596"/>
        <v>Unknown</v>
      </c>
      <c r="Z592" s="4" t="str">
        <f t="shared" si="596"/>
        <v>Vanuatu</v>
      </c>
      <c r="AA592" s="4" t="str">
        <f t="shared" si="7"/>
        <v>mwc</v>
      </c>
    </row>
    <row r="593">
      <c r="A593" s="3" t="s">
        <v>1423</v>
      </c>
      <c r="B593" s="3">
        <v>6.7</v>
      </c>
      <c r="C593" s="19">
        <f>Raw_Data!T593</f>
        <v>39685.55625</v>
      </c>
      <c r="D593" s="3">
        <v>4.0</v>
      </c>
      <c r="E593" s="3">
        <v>7.0</v>
      </c>
      <c r="F593" s="4"/>
      <c r="G593" s="3">
        <v>0.0</v>
      </c>
      <c r="H593" s="3">
        <v>692.0</v>
      </c>
      <c r="I593" s="3" t="s">
        <v>110</v>
      </c>
      <c r="J593" s="3">
        <v>325.0</v>
      </c>
      <c r="K593" s="3">
        <v>0.0</v>
      </c>
      <c r="L593" s="3">
        <v>28.0</v>
      </c>
      <c r="M593" s="4" t="str">
        <f>Raw_Data!X593</f>
        <v>mwc</v>
      </c>
      <c r="N593" s="3">
        <v>12.0</v>
      </c>
      <c r="O593" s="3">
        <v>30.901</v>
      </c>
      <c r="P593" s="3">
        <v>83.52</v>
      </c>
      <c r="Q593" s="3" t="s">
        <v>1425</v>
      </c>
      <c r="R593" s="3" t="s">
        <v>164</v>
      </c>
      <c r="S593" s="3" t="s">
        <v>251</v>
      </c>
      <c r="T593" s="4" t="str">
        <f t="shared" si="2"/>
        <v>Valid</v>
      </c>
      <c r="U593" s="4">
        <f t="shared" si="3"/>
        <v>1</v>
      </c>
      <c r="V593" s="4" t="str">
        <f t="shared" si="4"/>
        <v>Unique</v>
      </c>
      <c r="W593" s="4" t="str">
        <f t="shared" si="5"/>
        <v>Unknown</v>
      </c>
      <c r="X593" s="4" t="str">
        <f t="shared" ref="X593:Z593" si="597">IF(Q593="","Unknown",Q593)</f>
        <v>Jumla, Nepal</v>
      </c>
      <c r="Y593" s="4" t="str">
        <f t="shared" si="597"/>
        <v>Asia</v>
      </c>
      <c r="Z593" s="4" t="str">
        <f t="shared" si="597"/>
        <v>People's Republic of China</v>
      </c>
      <c r="AA593" s="4" t="str">
        <f t="shared" si="7"/>
        <v>mwc</v>
      </c>
    </row>
    <row r="594">
      <c r="A594" s="3" t="s">
        <v>1426</v>
      </c>
      <c r="B594" s="3">
        <v>6.8</v>
      </c>
      <c r="C594" s="19">
        <f>Raw_Data!T594</f>
        <v>39652.64306</v>
      </c>
      <c r="D594" s="3">
        <v>8.0</v>
      </c>
      <c r="E594" s="3">
        <v>7.0</v>
      </c>
      <c r="F594" s="4"/>
      <c r="G594" s="3">
        <v>0.0</v>
      </c>
      <c r="H594" s="3">
        <v>1046.0</v>
      </c>
      <c r="I594" s="3" t="s">
        <v>110</v>
      </c>
      <c r="J594" s="3">
        <v>633.0</v>
      </c>
      <c r="K594" s="3">
        <v>0.0</v>
      </c>
      <c r="L594" s="3">
        <v>20.2</v>
      </c>
      <c r="M594" s="4" t="str">
        <f>Raw_Data!X594</f>
        <v>mwc</v>
      </c>
      <c r="N594" s="3">
        <v>108.0</v>
      </c>
      <c r="O594" s="3">
        <v>39.802</v>
      </c>
      <c r="P594" s="3">
        <v>141.464</v>
      </c>
      <c r="Q594" s="3" t="s">
        <v>1428</v>
      </c>
      <c r="R594" s="3" t="s">
        <v>164</v>
      </c>
      <c r="S594" s="3" t="s">
        <v>371</v>
      </c>
      <c r="T594" s="4" t="str">
        <f t="shared" si="2"/>
        <v>Valid</v>
      </c>
      <c r="U594" s="4">
        <f t="shared" si="3"/>
        <v>1</v>
      </c>
      <c r="V594" s="4" t="str">
        <f t="shared" si="4"/>
        <v>Unique</v>
      </c>
      <c r="W594" s="4" t="str">
        <f t="shared" si="5"/>
        <v>Unknown</v>
      </c>
      <c r="X594" s="4" t="str">
        <f t="shared" ref="X594:Z594" si="598">IF(Q594="","Unknown",Q594)</f>
        <v>Morioka, Japan</v>
      </c>
      <c r="Y594" s="4" t="str">
        <f t="shared" si="598"/>
        <v>Asia</v>
      </c>
      <c r="Z594" s="4" t="str">
        <f t="shared" si="598"/>
        <v>Japan</v>
      </c>
      <c r="AA594" s="4" t="str">
        <f t="shared" si="7"/>
        <v>mwc</v>
      </c>
    </row>
    <row r="595">
      <c r="A595" s="3" t="s">
        <v>1429</v>
      </c>
      <c r="B595" s="3">
        <v>7.0</v>
      </c>
      <c r="C595" s="19">
        <f>Raw_Data!T595</f>
        <v>39648.11042</v>
      </c>
      <c r="D595" s="3">
        <v>5.0</v>
      </c>
      <c r="E595" s="3">
        <v>5.0</v>
      </c>
      <c r="F595" s="4"/>
      <c r="G595" s="3">
        <v>0.0</v>
      </c>
      <c r="H595" s="3">
        <v>840.0</v>
      </c>
      <c r="I595" s="3" t="s">
        <v>110</v>
      </c>
      <c r="J595" s="3">
        <v>577.0</v>
      </c>
      <c r="K595" s="3">
        <v>0.0</v>
      </c>
      <c r="L595" s="3">
        <v>18.2</v>
      </c>
      <c r="M595" s="4" t="str">
        <f>Raw_Data!X595</f>
        <v>mwc</v>
      </c>
      <c r="N595" s="3">
        <v>22.0</v>
      </c>
      <c r="O595" s="3">
        <v>37.552</v>
      </c>
      <c r="P595" s="3">
        <v>142.214</v>
      </c>
      <c r="Q595" s="3" t="s">
        <v>282</v>
      </c>
      <c r="R595" s="4"/>
      <c r="S595" s="4"/>
      <c r="T595" s="4" t="str">
        <f t="shared" si="2"/>
        <v>Valid</v>
      </c>
      <c r="U595" s="4">
        <f t="shared" si="3"/>
        <v>1</v>
      </c>
      <c r="V595" s="4" t="str">
        <f t="shared" si="4"/>
        <v>Unique</v>
      </c>
      <c r="W595" s="4" t="str">
        <f t="shared" si="5"/>
        <v>Unknown</v>
      </c>
      <c r="X595" s="4" t="str">
        <f t="shared" ref="X595:Z595" si="599">IF(Q595="","Unknown",Q595)</f>
        <v>Namie, Japan</v>
      </c>
      <c r="Y595" s="4" t="str">
        <f t="shared" si="599"/>
        <v>Unknown</v>
      </c>
      <c r="Z595" s="4" t="str">
        <f t="shared" si="599"/>
        <v>Unknown</v>
      </c>
      <c r="AA595" s="4" t="str">
        <f t="shared" si="7"/>
        <v>mwc</v>
      </c>
    </row>
    <row r="596">
      <c r="A596" s="3" t="s">
        <v>1431</v>
      </c>
      <c r="B596" s="3">
        <v>6.9</v>
      </c>
      <c r="C596" s="19">
        <f>Raw_Data!T596</f>
        <v>39648.11042</v>
      </c>
      <c r="D596" s="3">
        <v>5.0</v>
      </c>
      <c r="E596" s="3">
        <v>5.0</v>
      </c>
      <c r="F596" s="4"/>
      <c r="G596" s="3">
        <v>0.0</v>
      </c>
      <c r="H596" s="3">
        <v>825.0</v>
      </c>
      <c r="I596" s="3" t="s">
        <v>1432</v>
      </c>
      <c r="J596" s="3">
        <v>0.0</v>
      </c>
      <c r="K596" s="3">
        <v>0.0</v>
      </c>
      <c r="L596" s="3">
        <v>0.0</v>
      </c>
      <c r="M596" s="4" t="str">
        <f>Raw_Data!X596</f>
        <v>mww</v>
      </c>
      <c r="N596" s="3">
        <v>25.5</v>
      </c>
      <c r="O596" s="3">
        <v>37.55</v>
      </c>
      <c r="P596" s="3">
        <v>142.714</v>
      </c>
      <c r="Q596" s="3" t="s">
        <v>282</v>
      </c>
      <c r="R596" s="4"/>
      <c r="S596" s="4"/>
      <c r="T596" s="4" t="str">
        <f t="shared" si="2"/>
        <v>Valid</v>
      </c>
      <c r="U596" s="4">
        <f t="shared" si="3"/>
        <v>1</v>
      </c>
      <c r="V596" s="4" t="str">
        <f t="shared" si="4"/>
        <v>Unique</v>
      </c>
      <c r="W596" s="4" t="str">
        <f t="shared" si="5"/>
        <v>Unknown</v>
      </c>
      <c r="X596" s="4" t="str">
        <f t="shared" ref="X596:Z596" si="600">IF(Q596="","Unknown",Q596)</f>
        <v>Namie, Japan</v>
      </c>
      <c r="Y596" s="4" t="str">
        <f t="shared" si="600"/>
        <v>Unknown</v>
      </c>
      <c r="Z596" s="4" t="str">
        <f t="shared" si="600"/>
        <v>Unknown</v>
      </c>
      <c r="AA596" s="4" t="str">
        <f t="shared" si="7"/>
        <v>mww</v>
      </c>
    </row>
    <row r="597">
      <c r="A597" s="3" t="s">
        <v>1433</v>
      </c>
      <c r="B597" s="3">
        <v>6.6</v>
      </c>
      <c r="C597" s="19">
        <f>Raw_Data!T597</f>
        <v>39626.48611</v>
      </c>
      <c r="D597" s="3">
        <v>4.0</v>
      </c>
      <c r="E597" s="3">
        <v>5.0</v>
      </c>
      <c r="F597" s="4"/>
      <c r="G597" s="3">
        <v>0.0</v>
      </c>
      <c r="H597" s="3">
        <v>680.0</v>
      </c>
      <c r="I597" s="3" t="s">
        <v>110</v>
      </c>
      <c r="J597" s="3">
        <v>630.0</v>
      </c>
      <c r="K597" s="3">
        <v>0.0</v>
      </c>
      <c r="L597" s="3">
        <v>18.4</v>
      </c>
      <c r="M597" s="4" t="str">
        <f>Raw_Data!X597</f>
        <v>mwc</v>
      </c>
      <c r="N597" s="3">
        <v>17.0</v>
      </c>
      <c r="O597" s="3">
        <v>11.005</v>
      </c>
      <c r="P597" s="3">
        <v>91.824</v>
      </c>
      <c r="Q597" s="3" t="s">
        <v>1337</v>
      </c>
      <c r="R597" s="4"/>
      <c r="S597" s="4"/>
      <c r="T597" s="4" t="str">
        <f t="shared" si="2"/>
        <v>Valid</v>
      </c>
      <c r="U597" s="4">
        <f t="shared" si="3"/>
        <v>1</v>
      </c>
      <c r="V597" s="4" t="str">
        <f t="shared" si="4"/>
        <v>Unique</v>
      </c>
      <c r="W597" s="4" t="str">
        <f t="shared" si="5"/>
        <v>Unknown</v>
      </c>
      <c r="X597" s="4" t="str">
        <f t="shared" ref="X597:Z597" si="601">IF(Q597="","Unknown",Q597)</f>
        <v>Bamboo Flat, India</v>
      </c>
      <c r="Y597" s="4" t="str">
        <f t="shared" si="601"/>
        <v>Unknown</v>
      </c>
      <c r="Z597" s="4" t="str">
        <f t="shared" si="601"/>
        <v>Unknown</v>
      </c>
      <c r="AA597" s="4" t="str">
        <f t="shared" si="7"/>
        <v>mwc</v>
      </c>
    </row>
    <row r="598">
      <c r="A598" s="3" t="s">
        <v>1435</v>
      </c>
      <c r="B598" s="3">
        <v>6.9</v>
      </c>
      <c r="C598" s="19">
        <f>Raw_Data!T598</f>
        <v>39612.98819</v>
      </c>
      <c r="D598" s="3">
        <v>7.0</v>
      </c>
      <c r="E598" s="3">
        <v>8.0</v>
      </c>
      <c r="F598" s="4"/>
      <c r="G598" s="3">
        <v>0.0</v>
      </c>
      <c r="H598" s="3">
        <v>888.0</v>
      </c>
      <c r="I598" s="3" t="s">
        <v>110</v>
      </c>
      <c r="J598" s="3">
        <v>654.0</v>
      </c>
      <c r="K598" s="3">
        <v>0.0</v>
      </c>
      <c r="L598" s="3">
        <v>17.1</v>
      </c>
      <c r="M598" s="4" t="str">
        <f>Raw_Data!X598</f>
        <v>mwc</v>
      </c>
      <c r="N598" s="3">
        <v>7.8</v>
      </c>
      <c r="O598" s="3">
        <v>39.03</v>
      </c>
      <c r="P598" s="3">
        <v>140.881</v>
      </c>
      <c r="Q598" s="3" t="s">
        <v>1437</v>
      </c>
      <c r="R598" s="3" t="s">
        <v>164</v>
      </c>
      <c r="S598" s="3" t="s">
        <v>371</v>
      </c>
      <c r="T598" s="4" t="str">
        <f t="shared" si="2"/>
        <v>Valid</v>
      </c>
      <c r="U598" s="4">
        <f t="shared" si="3"/>
        <v>1</v>
      </c>
      <c r="V598" s="4" t="str">
        <f t="shared" si="4"/>
        <v>Unique</v>
      </c>
      <c r="W598" s="4" t="str">
        <f t="shared" si="5"/>
        <v>Unknown</v>
      </c>
      <c r="X598" s="4" t="str">
        <f t="shared" ref="X598:Z598" si="602">IF(Q598="","Unknown",Q598)</f>
        <v>Mizusawa, Japan</v>
      </c>
      <c r="Y598" s="4" t="str">
        <f t="shared" si="602"/>
        <v>Asia</v>
      </c>
      <c r="Z598" s="4" t="str">
        <f t="shared" si="602"/>
        <v>Japan</v>
      </c>
      <c r="AA598" s="4" t="str">
        <f t="shared" si="7"/>
        <v>mwc</v>
      </c>
    </row>
    <row r="599">
      <c r="A599" s="3" t="s">
        <v>1438</v>
      </c>
      <c r="B599" s="3">
        <v>7.9</v>
      </c>
      <c r="C599" s="19">
        <f>Raw_Data!T599</f>
        <v>39580.26944</v>
      </c>
      <c r="D599" s="3">
        <v>9.0</v>
      </c>
      <c r="E599" s="3">
        <v>9.0</v>
      </c>
      <c r="F599" s="4"/>
      <c r="G599" s="3">
        <v>0.0</v>
      </c>
      <c r="H599" s="3">
        <v>1870.0</v>
      </c>
      <c r="I599" s="3" t="s">
        <v>110</v>
      </c>
      <c r="J599" s="3">
        <v>774.0</v>
      </c>
      <c r="K599" s="3">
        <v>0.0</v>
      </c>
      <c r="L599" s="3">
        <v>11.3</v>
      </c>
      <c r="M599" s="4" t="str">
        <f>Raw_Data!X599</f>
        <v>mwc</v>
      </c>
      <c r="N599" s="3">
        <v>19.0</v>
      </c>
      <c r="O599" s="3">
        <v>31.002</v>
      </c>
      <c r="P599" s="3">
        <v>103.322</v>
      </c>
      <c r="Q599" s="3" t="s">
        <v>1439</v>
      </c>
      <c r="R599" s="3" t="s">
        <v>164</v>
      </c>
      <c r="S599" s="3" t="s">
        <v>251</v>
      </c>
      <c r="T599" s="4" t="str">
        <f t="shared" si="2"/>
        <v>Valid</v>
      </c>
      <c r="U599" s="4">
        <f t="shared" si="3"/>
        <v>1</v>
      </c>
      <c r="V599" s="4" t="str">
        <f t="shared" si="4"/>
        <v>Unique</v>
      </c>
      <c r="W599" s="4" t="str">
        <f t="shared" si="5"/>
        <v>Unknown</v>
      </c>
      <c r="X599" s="4" t="str">
        <f t="shared" ref="X599:Z599" si="603">IF(Q599="","Unknown",Q599)</f>
        <v>Tianpeng, China</v>
      </c>
      <c r="Y599" s="4" t="str">
        <f t="shared" si="603"/>
        <v>Asia</v>
      </c>
      <c r="Z599" s="4" t="str">
        <f t="shared" si="603"/>
        <v>People's Republic of China</v>
      </c>
      <c r="AA599" s="4" t="str">
        <f t="shared" si="7"/>
        <v>mwc</v>
      </c>
    </row>
    <row r="600">
      <c r="A600" s="3" t="s">
        <v>1440</v>
      </c>
      <c r="B600" s="3">
        <v>6.9</v>
      </c>
      <c r="C600" s="19">
        <f>Raw_Data!T600</f>
        <v>39575.69792</v>
      </c>
      <c r="D600" s="3">
        <v>5.0</v>
      </c>
      <c r="E600" s="3">
        <v>5.0</v>
      </c>
      <c r="F600" s="4"/>
      <c r="G600" s="3">
        <v>0.0</v>
      </c>
      <c r="H600" s="3">
        <v>910.0</v>
      </c>
      <c r="I600" s="3" t="s">
        <v>110</v>
      </c>
      <c r="J600" s="3">
        <v>519.0</v>
      </c>
      <c r="K600" s="3">
        <v>0.0</v>
      </c>
      <c r="L600" s="3">
        <v>21.1</v>
      </c>
      <c r="M600" s="4" t="str">
        <f>Raw_Data!X600</f>
        <v>mwc</v>
      </c>
      <c r="N600" s="3">
        <v>27.0</v>
      </c>
      <c r="O600" s="3">
        <v>36.164</v>
      </c>
      <c r="P600" s="3">
        <v>141.526</v>
      </c>
      <c r="Q600" s="3" t="s">
        <v>1265</v>
      </c>
      <c r="R600" s="4"/>
      <c r="S600" s="4"/>
      <c r="T600" s="4" t="str">
        <f t="shared" si="2"/>
        <v>Valid</v>
      </c>
      <c r="U600" s="4">
        <f t="shared" si="3"/>
        <v>1</v>
      </c>
      <c r="V600" s="4" t="str">
        <f t="shared" si="4"/>
        <v>Unique</v>
      </c>
      <c r="W600" s="4" t="str">
        <f t="shared" si="5"/>
        <v>Unknown</v>
      </c>
      <c r="X600" s="4" t="str">
        <f t="shared" ref="X600:Z600" si="604">IF(Q600="","Unknown",Q600)</f>
        <v>Hasaki, Japan</v>
      </c>
      <c r="Y600" s="4" t="str">
        <f t="shared" si="604"/>
        <v>Unknown</v>
      </c>
      <c r="Z600" s="4" t="str">
        <f t="shared" si="604"/>
        <v>Unknown</v>
      </c>
      <c r="AA600" s="4" t="str">
        <f t="shared" si="7"/>
        <v>mwc</v>
      </c>
    </row>
    <row r="601">
      <c r="A601" s="3" t="s">
        <v>1441</v>
      </c>
      <c r="B601" s="3">
        <v>7.3</v>
      </c>
      <c r="C601" s="19">
        <f>Raw_Data!T601</f>
        <v>39547.53194</v>
      </c>
      <c r="D601" s="3">
        <v>0.0</v>
      </c>
      <c r="E601" s="3">
        <v>6.0</v>
      </c>
      <c r="F601" s="4"/>
      <c r="G601" s="3">
        <v>0.0</v>
      </c>
      <c r="H601" s="3">
        <v>820.0</v>
      </c>
      <c r="I601" s="3" t="s">
        <v>110</v>
      </c>
      <c r="J601" s="3">
        <v>486.0</v>
      </c>
      <c r="K601" s="3">
        <v>0.0</v>
      </c>
      <c r="L601" s="3">
        <v>13.4</v>
      </c>
      <c r="M601" s="4" t="str">
        <f>Raw_Data!X601</f>
        <v>mwc</v>
      </c>
      <c r="N601" s="3">
        <v>33.0</v>
      </c>
      <c r="O601" s="3">
        <v>-20.071</v>
      </c>
      <c r="P601" s="3">
        <v>168.892</v>
      </c>
      <c r="Q601" s="3" t="s">
        <v>246</v>
      </c>
      <c r="R601" s="4"/>
      <c r="S601" s="4"/>
      <c r="T601" s="4" t="str">
        <f t="shared" si="2"/>
        <v>Valid</v>
      </c>
      <c r="U601" s="4">
        <f t="shared" si="3"/>
        <v>1</v>
      </c>
      <c r="V601" s="4" t="str">
        <f t="shared" si="4"/>
        <v>Unique</v>
      </c>
      <c r="W601" s="4" t="str">
        <f t="shared" si="5"/>
        <v>Unknown</v>
      </c>
      <c r="X601" s="4" t="str">
        <f t="shared" ref="X601:Z601" si="605">IF(Q601="","Unknown",Q601)</f>
        <v>Isangel, Vanuatu</v>
      </c>
      <c r="Y601" s="4" t="str">
        <f t="shared" si="605"/>
        <v>Unknown</v>
      </c>
      <c r="Z601" s="4" t="str">
        <f t="shared" si="605"/>
        <v>Unknown</v>
      </c>
      <c r="AA601" s="4" t="str">
        <f t="shared" si="7"/>
        <v>mwc</v>
      </c>
    </row>
    <row r="602">
      <c r="A602" s="3" t="s">
        <v>1442</v>
      </c>
      <c r="B602" s="3">
        <v>7.2</v>
      </c>
      <c r="C602" s="19">
        <f>Raw_Data!T602</f>
        <v>39527.93889</v>
      </c>
      <c r="D602" s="3">
        <v>0.0</v>
      </c>
      <c r="E602" s="3">
        <v>7.0</v>
      </c>
      <c r="F602" s="4"/>
      <c r="G602" s="3">
        <v>0.0</v>
      </c>
      <c r="H602" s="3">
        <v>798.0</v>
      </c>
      <c r="I602" s="3" t="s">
        <v>110</v>
      </c>
      <c r="J602" s="3">
        <v>532.0</v>
      </c>
      <c r="K602" s="3">
        <v>0.0</v>
      </c>
      <c r="L602" s="3">
        <v>25.9</v>
      </c>
      <c r="M602" s="4" t="str">
        <f>Raw_Data!X602</f>
        <v>mwc</v>
      </c>
      <c r="N602" s="3">
        <v>10.0</v>
      </c>
      <c r="O602" s="3">
        <v>35.49</v>
      </c>
      <c r="P602" s="3">
        <v>81.467</v>
      </c>
      <c r="Q602" s="3" t="s">
        <v>1034</v>
      </c>
      <c r="R602" s="3" t="s">
        <v>164</v>
      </c>
      <c r="S602" s="3" t="s">
        <v>251</v>
      </c>
      <c r="T602" s="4" t="str">
        <f t="shared" si="2"/>
        <v>Valid</v>
      </c>
      <c r="U602" s="4">
        <f t="shared" si="3"/>
        <v>1</v>
      </c>
      <c r="V602" s="4" t="str">
        <f t="shared" si="4"/>
        <v>Unique</v>
      </c>
      <c r="W602" s="4" t="str">
        <f t="shared" si="5"/>
        <v>Unknown</v>
      </c>
      <c r="X602" s="4" t="str">
        <f t="shared" ref="X602:Z602" si="606">IF(Q602="","Unknown",Q602)</f>
        <v>Hotan, China</v>
      </c>
      <c r="Y602" s="4" t="str">
        <f t="shared" si="606"/>
        <v>Asia</v>
      </c>
      <c r="Z602" s="4" t="str">
        <f t="shared" si="606"/>
        <v>People's Republic of China</v>
      </c>
      <c r="AA602" s="4" t="str">
        <f t="shared" si="7"/>
        <v>mwc</v>
      </c>
    </row>
    <row r="603">
      <c r="A603" s="3" t="s">
        <v>1444</v>
      </c>
      <c r="B603" s="3">
        <v>6.9</v>
      </c>
      <c r="C603" s="19">
        <f>Raw_Data!T603</f>
        <v>39510.59097</v>
      </c>
      <c r="D603" s="3">
        <v>4.0</v>
      </c>
      <c r="E603" s="3">
        <v>5.0</v>
      </c>
      <c r="F603" s="4"/>
      <c r="G603" s="3">
        <v>0.0</v>
      </c>
      <c r="H603" s="3">
        <v>740.0</v>
      </c>
      <c r="I603" s="3" t="s">
        <v>110</v>
      </c>
      <c r="J603" s="3">
        <v>544.0</v>
      </c>
      <c r="K603" s="3">
        <v>0.0</v>
      </c>
      <c r="L603" s="3">
        <v>25.9</v>
      </c>
      <c r="M603" s="4" t="str">
        <f>Raw_Data!X603</f>
        <v>mwc</v>
      </c>
      <c r="N603" s="3">
        <v>24.0</v>
      </c>
      <c r="O603" s="3">
        <v>13.351</v>
      </c>
      <c r="P603" s="3">
        <v>125.63</v>
      </c>
      <c r="Q603" s="3" t="s">
        <v>1445</v>
      </c>
      <c r="R603" s="4"/>
      <c r="S603" s="4"/>
      <c r="T603" s="4" t="str">
        <f t="shared" si="2"/>
        <v>Valid</v>
      </c>
      <c r="U603" s="4">
        <f t="shared" si="3"/>
        <v>1</v>
      </c>
      <c r="V603" s="4" t="str">
        <f t="shared" si="4"/>
        <v>Unique</v>
      </c>
      <c r="W603" s="4" t="str">
        <f t="shared" si="5"/>
        <v>Unknown</v>
      </c>
      <c r="X603" s="4" t="str">
        <f t="shared" ref="X603:Z603" si="607">IF(Q603="","Unknown",Q603)</f>
        <v>Philippine Islands region</v>
      </c>
      <c r="Y603" s="4" t="str">
        <f t="shared" si="607"/>
        <v>Unknown</v>
      </c>
      <c r="Z603" s="4" t="str">
        <f t="shared" si="607"/>
        <v>Unknown</v>
      </c>
      <c r="AA603" s="4" t="str">
        <f t="shared" si="7"/>
        <v>mwc</v>
      </c>
    </row>
    <row r="604">
      <c r="A604" s="3" t="s">
        <v>1446</v>
      </c>
      <c r="B604" s="3">
        <v>6.7</v>
      </c>
      <c r="C604" s="19">
        <f>Raw_Data!T604</f>
        <v>39503.87639</v>
      </c>
      <c r="D604" s="3">
        <v>5.0</v>
      </c>
      <c r="E604" s="3">
        <v>6.0</v>
      </c>
      <c r="F604" s="4"/>
      <c r="G604" s="3">
        <v>0.0</v>
      </c>
      <c r="H604" s="3">
        <v>696.0</v>
      </c>
      <c r="I604" s="3" t="s">
        <v>110</v>
      </c>
      <c r="J604" s="3">
        <v>543.0</v>
      </c>
      <c r="K604" s="3">
        <v>0.0</v>
      </c>
      <c r="L604" s="3">
        <v>15.1</v>
      </c>
      <c r="M604" s="4" t="str">
        <f>Raw_Data!X604</f>
        <v>mwc</v>
      </c>
      <c r="N604" s="3">
        <v>25.0</v>
      </c>
      <c r="O604" s="3">
        <v>-2.245</v>
      </c>
      <c r="P604" s="3">
        <v>99.808</v>
      </c>
      <c r="Q604" s="3" t="s">
        <v>1388</v>
      </c>
      <c r="R604" s="4"/>
      <c r="S604" s="3" t="s">
        <v>153</v>
      </c>
      <c r="T604" s="4" t="str">
        <f t="shared" si="2"/>
        <v>Valid</v>
      </c>
      <c r="U604" s="4">
        <f t="shared" si="3"/>
        <v>1</v>
      </c>
      <c r="V604" s="4" t="str">
        <f t="shared" si="4"/>
        <v>Unique</v>
      </c>
      <c r="W604" s="4" t="str">
        <f t="shared" si="5"/>
        <v>Unknown</v>
      </c>
      <c r="X604" s="4" t="str">
        <f t="shared" ref="X604:Z604" si="608">IF(Q604="","Unknown",Q604)</f>
        <v>Padang, Indonesia</v>
      </c>
      <c r="Y604" s="4" t="str">
        <f t="shared" si="608"/>
        <v>Unknown</v>
      </c>
      <c r="Z604" s="4" t="str">
        <f t="shared" si="608"/>
        <v>Indonesia</v>
      </c>
      <c r="AA604" s="4" t="str">
        <f t="shared" si="7"/>
        <v>mwc</v>
      </c>
    </row>
    <row r="605">
      <c r="A605" s="3" t="s">
        <v>1448</v>
      </c>
      <c r="B605" s="3">
        <v>6.6</v>
      </c>
      <c r="C605" s="19">
        <f>Raw_Data!T605</f>
        <v>39503.75417</v>
      </c>
      <c r="D605" s="3">
        <v>4.0</v>
      </c>
      <c r="E605" s="3">
        <v>6.0</v>
      </c>
      <c r="F605" s="4"/>
      <c r="G605" s="3">
        <v>0.0</v>
      </c>
      <c r="H605" s="3">
        <v>674.0</v>
      </c>
      <c r="I605" s="3" t="s">
        <v>110</v>
      </c>
      <c r="J605" s="3">
        <v>421.0</v>
      </c>
      <c r="K605" s="3">
        <v>0.0</v>
      </c>
      <c r="L605" s="3">
        <v>17.7</v>
      </c>
      <c r="M605" s="4" t="str">
        <f>Raw_Data!X605</f>
        <v>mwc</v>
      </c>
      <c r="N605" s="3">
        <v>25.0</v>
      </c>
      <c r="O605" s="3">
        <v>-2.332</v>
      </c>
      <c r="P605" s="3">
        <v>99.891</v>
      </c>
      <c r="Q605" s="3" t="s">
        <v>1388</v>
      </c>
      <c r="R605" s="4"/>
      <c r="S605" s="3" t="s">
        <v>153</v>
      </c>
      <c r="T605" s="4" t="str">
        <f t="shared" si="2"/>
        <v>Valid</v>
      </c>
      <c r="U605" s="4">
        <f t="shared" si="3"/>
        <v>1</v>
      </c>
      <c r="V605" s="4" t="str">
        <f t="shared" si="4"/>
        <v>Unique</v>
      </c>
      <c r="W605" s="4" t="str">
        <f t="shared" si="5"/>
        <v>Unknown</v>
      </c>
      <c r="X605" s="4" t="str">
        <f t="shared" ref="X605:Z605" si="609">IF(Q605="","Unknown",Q605)</f>
        <v>Padang, Indonesia</v>
      </c>
      <c r="Y605" s="4" t="str">
        <f t="shared" si="609"/>
        <v>Unknown</v>
      </c>
      <c r="Z605" s="4" t="str">
        <f t="shared" si="609"/>
        <v>Indonesia</v>
      </c>
      <c r="AA605" s="4" t="str">
        <f t="shared" si="7"/>
        <v>mwc</v>
      </c>
    </row>
    <row r="606">
      <c r="A606" s="3" t="s">
        <v>1450</v>
      </c>
      <c r="B606" s="3">
        <v>7.2</v>
      </c>
      <c r="C606" s="19">
        <f>Raw_Data!T606</f>
        <v>39503.35833</v>
      </c>
      <c r="D606" s="3">
        <v>4.0</v>
      </c>
      <c r="E606" s="3">
        <v>7.0</v>
      </c>
      <c r="F606" s="4"/>
      <c r="G606" s="3">
        <v>0.0</v>
      </c>
      <c r="H606" s="3">
        <v>832.0</v>
      </c>
      <c r="I606" s="3" t="s">
        <v>110</v>
      </c>
      <c r="J606" s="3">
        <v>505.0</v>
      </c>
      <c r="K606" s="3">
        <v>0.0</v>
      </c>
      <c r="L606" s="3">
        <v>18.4</v>
      </c>
      <c r="M606" s="4" t="str">
        <f>Raw_Data!X606</f>
        <v>mwc</v>
      </c>
      <c r="N606" s="3">
        <v>25.0</v>
      </c>
      <c r="O606" s="3">
        <v>-2.486</v>
      </c>
      <c r="P606" s="3">
        <v>99.972</v>
      </c>
      <c r="Q606" s="3" t="s">
        <v>791</v>
      </c>
      <c r="R606" s="4"/>
      <c r="S606" s="3" t="s">
        <v>153</v>
      </c>
      <c r="T606" s="4" t="str">
        <f t="shared" si="2"/>
        <v>Valid</v>
      </c>
      <c r="U606" s="4">
        <f t="shared" si="3"/>
        <v>1</v>
      </c>
      <c r="V606" s="4" t="str">
        <f t="shared" si="4"/>
        <v>Unique</v>
      </c>
      <c r="W606" s="4" t="str">
        <f t="shared" si="5"/>
        <v>Unknown</v>
      </c>
      <c r="X606" s="4" t="str">
        <f t="shared" ref="X606:Z606" si="610">IF(Q606="","Unknown",Q606)</f>
        <v>Sungai Penuh, Indonesia</v>
      </c>
      <c r="Y606" s="4" t="str">
        <f t="shared" si="610"/>
        <v>Unknown</v>
      </c>
      <c r="Z606" s="4" t="str">
        <f t="shared" si="610"/>
        <v>Indonesia</v>
      </c>
      <c r="AA606" s="4" t="str">
        <f t="shared" si="7"/>
        <v>mwc</v>
      </c>
    </row>
    <row r="607">
      <c r="A607" s="3" t="s">
        <v>1452</v>
      </c>
      <c r="B607" s="3">
        <v>6.5</v>
      </c>
      <c r="C607" s="19">
        <f>Raw_Data!T607</f>
        <v>39502.61528</v>
      </c>
      <c r="D607" s="3">
        <v>4.0</v>
      </c>
      <c r="E607" s="3">
        <v>6.0</v>
      </c>
      <c r="F607" s="4"/>
      <c r="G607" s="3">
        <v>0.0</v>
      </c>
      <c r="H607" s="3">
        <v>654.0</v>
      </c>
      <c r="I607" s="3" t="s">
        <v>110</v>
      </c>
      <c r="J607" s="3">
        <v>429.0</v>
      </c>
      <c r="K607" s="3">
        <v>0.0</v>
      </c>
      <c r="L607" s="3">
        <v>28.3</v>
      </c>
      <c r="M607" s="4" t="str">
        <f>Raw_Data!X607</f>
        <v>mwc</v>
      </c>
      <c r="N607" s="3">
        <v>22.0</v>
      </c>
      <c r="O607" s="3">
        <v>-2.405</v>
      </c>
      <c r="P607" s="3">
        <v>99.931</v>
      </c>
      <c r="Q607" s="3" t="s">
        <v>791</v>
      </c>
      <c r="R607" s="4"/>
      <c r="S607" s="3" t="s">
        <v>153</v>
      </c>
      <c r="T607" s="4" t="str">
        <f t="shared" si="2"/>
        <v>Valid</v>
      </c>
      <c r="U607" s="4">
        <f t="shared" si="3"/>
        <v>1</v>
      </c>
      <c r="V607" s="4" t="str">
        <f t="shared" si="4"/>
        <v>Unique</v>
      </c>
      <c r="W607" s="4" t="str">
        <f t="shared" si="5"/>
        <v>Unknown</v>
      </c>
      <c r="X607" s="4" t="str">
        <f t="shared" ref="X607:Z607" si="611">IF(Q607="","Unknown",Q607)</f>
        <v>Sungai Penuh, Indonesia</v>
      </c>
      <c r="Y607" s="4" t="str">
        <f t="shared" si="611"/>
        <v>Unknown</v>
      </c>
      <c r="Z607" s="4" t="str">
        <f t="shared" si="611"/>
        <v>Indonesia</v>
      </c>
      <c r="AA607" s="4" t="str">
        <f t="shared" si="7"/>
        <v>mwc</v>
      </c>
    </row>
    <row r="608">
      <c r="A608" s="3" t="s">
        <v>1454</v>
      </c>
      <c r="B608" s="3">
        <v>7.4</v>
      </c>
      <c r="C608" s="19">
        <f>Raw_Data!T608</f>
        <v>39498.33889</v>
      </c>
      <c r="D608" s="3">
        <v>5.0</v>
      </c>
      <c r="E608" s="3">
        <v>7.0</v>
      </c>
      <c r="F608" s="4"/>
      <c r="G608" s="3">
        <v>0.0</v>
      </c>
      <c r="H608" s="3">
        <v>914.0</v>
      </c>
      <c r="I608" s="3" t="s">
        <v>110</v>
      </c>
      <c r="J608" s="3">
        <v>607.0</v>
      </c>
      <c r="K608" s="3">
        <v>0.0</v>
      </c>
      <c r="L608" s="3">
        <v>16.4</v>
      </c>
      <c r="M608" s="4" t="str">
        <f>Raw_Data!X608</f>
        <v>mwc</v>
      </c>
      <c r="N608" s="3">
        <v>26.0</v>
      </c>
      <c r="O608" s="3">
        <v>2.768</v>
      </c>
      <c r="P608" s="3">
        <v>95.964</v>
      </c>
      <c r="Q608" s="3" t="s">
        <v>368</v>
      </c>
      <c r="R608" s="4"/>
      <c r="S608" s="3" t="s">
        <v>153</v>
      </c>
      <c r="T608" s="4" t="str">
        <f t="shared" si="2"/>
        <v>Valid</v>
      </c>
      <c r="U608" s="4">
        <f t="shared" si="3"/>
        <v>1</v>
      </c>
      <c r="V608" s="4" t="str">
        <f t="shared" si="4"/>
        <v>Unique</v>
      </c>
      <c r="W608" s="4" t="str">
        <f t="shared" si="5"/>
        <v>Unknown</v>
      </c>
      <c r="X608" s="4" t="str">
        <f t="shared" ref="X608:Z608" si="612">IF(Q608="","Unknown",Q608)</f>
        <v>Sinabang, Indonesia</v>
      </c>
      <c r="Y608" s="4" t="str">
        <f t="shared" si="612"/>
        <v>Unknown</v>
      </c>
      <c r="Z608" s="4" t="str">
        <f t="shared" si="612"/>
        <v>Indonesia</v>
      </c>
      <c r="AA608" s="4" t="str">
        <f t="shared" si="7"/>
        <v>mwc</v>
      </c>
    </row>
    <row r="609">
      <c r="A609" s="3" t="s">
        <v>1456</v>
      </c>
      <c r="B609" s="3">
        <v>6.5</v>
      </c>
      <c r="C609" s="19">
        <f>Raw_Data!T609</f>
        <v>39492.50556</v>
      </c>
      <c r="D609" s="3">
        <v>8.0</v>
      </c>
      <c r="E609" s="3">
        <v>5.0</v>
      </c>
      <c r="F609" s="4"/>
      <c r="G609" s="3">
        <v>0.0</v>
      </c>
      <c r="H609" s="3">
        <v>692.0</v>
      </c>
      <c r="I609" s="3" t="s">
        <v>110</v>
      </c>
      <c r="J609" s="3">
        <v>650.0</v>
      </c>
      <c r="K609" s="3">
        <v>0.0</v>
      </c>
      <c r="L609" s="3">
        <v>30.7</v>
      </c>
      <c r="M609" s="4" t="str">
        <f>Raw_Data!X609</f>
        <v>mwc</v>
      </c>
      <c r="N609" s="3">
        <v>28.0</v>
      </c>
      <c r="O609" s="3">
        <v>36.345</v>
      </c>
      <c r="P609" s="3">
        <v>21.863</v>
      </c>
      <c r="Q609" s="3" t="s">
        <v>1458</v>
      </c>
      <c r="R609" s="3" t="s">
        <v>404</v>
      </c>
      <c r="S609" s="4"/>
      <c r="T609" s="4" t="str">
        <f t="shared" si="2"/>
        <v>Valid</v>
      </c>
      <c r="U609" s="4">
        <f t="shared" si="3"/>
        <v>1</v>
      </c>
      <c r="V609" s="4" t="str">
        <f t="shared" si="4"/>
        <v>Unique</v>
      </c>
      <c r="W609" s="4" t="str">
        <f t="shared" si="5"/>
        <v>Unknown</v>
      </c>
      <c r="X609" s="4" t="str">
        <f t="shared" ref="X609:Z609" si="613">IF(Q609="","Unknown",Q609)</f>
        <v>Koróni, Greece</v>
      </c>
      <c r="Y609" s="4" t="str">
        <f t="shared" si="613"/>
        <v>Europe</v>
      </c>
      <c r="Z609" s="4" t="str">
        <f t="shared" si="613"/>
        <v>Unknown</v>
      </c>
      <c r="AA609" s="4" t="str">
        <f t="shared" si="7"/>
        <v>mwc</v>
      </c>
    </row>
    <row r="610">
      <c r="A610" s="3" t="s">
        <v>1459</v>
      </c>
      <c r="B610" s="3">
        <v>6.9</v>
      </c>
      <c r="C610" s="19">
        <f>Raw_Data!T610</f>
        <v>39492.42292</v>
      </c>
      <c r="D610" s="3">
        <v>6.0</v>
      </c>
      <c r="E610" s="3">
        <v>6.0</v>
      </c>
      <c r="F610" s="4"/>
      <c r="G610" s="3">
        <v>0.0</v>
      </c>
      <c r="H610" s="3">
        <v>941.0</v>
      </c>
      <c r="I610" s="3" t="s">
        <v>110</v>
      </c>
      <c r="J610" s="3">
        <v>645.0</v>
      </c>
      <c r="K610" s="3">
        <v>0.0</v>
      </c>
      <c r="L610" s="3">
        <v>30.6</v>
      </c>
      <c r="M610" s="4" t="str">
        <f>Raw_Data!X610</f>
        <v>mwc</v>
      </c>
      <c r="N610" s="3">
        <v>29.0</v>
      </c>
      <c r="O610" s="3">
        <v>36.501</v>
      </c>
      <c r="P610" s="3">
        <v>21.67</v>
      </c>
      <c r="Q610" s="3" t="s">
        <v>1461</v>
      </c>
      <c r="R610" s="3" t="s">
        <v>404</v>
      </c>
      <c r="S610" s="4"/>
      <c r="T610" s="4" t="str">
        <f t="shared" si="2"/>
        <v>Valid</v>
      </c>
      <c r="U610" s="4">
        <f t="shared" si="3"/>
        <v>1</v>
      </c>
      <c r="V610" s="4" t="str">
        <f t="shared" si="4"/>
        <v>Unique</v>
      </c>
      <c r="W610" s="4" t="str">
        <f t="shared" si="5"/>
        <v>Unknown</v>
      </c>
      <c r="X610" s="4" t="str">
        <f t="shared" ref="X610:Z610" si="614">IF(Q610="","Unknown",Q610)</f>
        <v>Methóni, Greece</v>
      </c>
      <c r="Y610" s="4" t="str">
        <f t="shared" si="614"/>
        <v>Europe</v>
      </c>
      <c r="Z610" s="4" t="str">
        <f t="shared" si="614"/>
        <v>Unknown</v>
      </c>
      <c r="AA610" s="4" t="str">
        <f t="shared" si="7"/>
        <v>mwc</v>
      </c>
    </row>
    <row r="611">
      <c r="A611" s="3" t="s">
        <v>1462</v>
      </c>
      <c r="B611" s="3">
        <v>6.5</v>
      </c>
      <c r="C611" s="19">
        <f>Raw_Data!T611</f>
        <v>39490.53472</v>
      </c>
      <c r="D611" s="3">
        <v>7.0</v>
      </c>
      <c r="E611" s="3">
        <v>6.0</v>
      </c>
      <c r="F611" s="4"/>
      <c r="G611" s="3">
        <v>0.0</v>
      </c>
      <c r="H611" s="3">
        <v>723.0</v>
      </c>
      <c r="I611" s="3" t="s">
        <v>110</v>
      </c>
      <c r="J611" s="3">
        <v>521.0</v>
      </c>
      <c r="K611" s="3">
        <v>0.0</v>
      </c>
      <c r="L611" s="3">
        <v>27.6</v>
      </c>
      <c r="M611" s="4" t="str">
        <f>Raw_Data!X611</f>
        <v>mwc</v>
      </c>
      <c r="N611" s="3">
        <v>83.0</v>
      </c>
      <c r="O611" s="3">
        <v>16.357</v>
      </c>
      <c r="P611" s="3">
        <v>-94.304</v>
      </c>
      <c r="Q611" s="3" t="s">
        <v>1463</v>
      </c>
      <c r="R611" s="4"/>
      <c r="S611" s="3" t="s">
        <v>234</v>
      </c>
      <c r="T611" s="4" t="str">
        <f t="shared" si="2"/>
        <v>Valid</v>
      </c>
      <c r="U611" s="4">
        <f t="shared" si="3"/>
        <v>1</v>
      </c>
      <c r="V611" s="4" t="str">
        <f t="shared" si="4"/>
        <v>Unique</v>
      </c>
      <c r="W611" s="4" t="str">
        <f t="shared" si="5"/>
        <v>Unknown</v>
      </c>
      <c r="X611" s="4" t="str">
        <f t="shared" ref="X611:Z611" si="615">IF(Q611="","Unknown",Q611)</f>
        <v>General Pascual Fentes, Mexico</v>
      </c>
      <c r="Y611" s="4" t="str">
        <f t="shared" si="615"/>
        <v>Unknown</v>
      </c>
      <c r="Z611" s="4" t="str">
        <f t="shared" si="615"/>
        <v>Mexico</v>
      </c>
      <c r="AA611" s="4" t="str">
        <f t="shared" si="7"/>
        <v>mwc</v>
      </c>
    </row>
    <row r="612">
      <c r="A612" s="3" t="s">
        <v>1464</v>
      </c>
      <c r="B612" s="3">
        <v>6.6</v>
      </c>
      <c r="C612" s="19">
        <f>Raw_Data!T612</f>
        <v>39436.32986</v>
      </c>
      <c r="D612" s="3">
        <v>7.0</v>
      </c>
      <c r="E612" s="3">
        <v>6.0</v>
      </c>
      <c r="F612" s="4"/>
      <c r="G612" s="3">
        <v>0.0</v>
      </c>
      <c r="H612" s="3">
        <v>808.0</v>
      </c>
      <c r="I612" s="3" t="s">
        <v>110</v>
      </c>
      <c r="J612" s="3">
        <v>461.0</v>
      </c>
      <c r="K612" s="3">
        <v>0.0</v>
      </c>
      <c r="L612" s="3">
        <v>18.8</v>
      </c>
      <c r="M612" s="4" t="str">
        <f>Raw_Data!X612</f>
        <v>mwc</v>
      </c>
      <c r="N612" s="3">
        <v>20.0</v>
      </c>
      <c r="O612" s="3">
        <v>-39.011</v>
      </c>
      <c r="P612" s="3">
        <v>178.291</v>
      </c>
      <c r="Q612" s="3" t="s">
        <v>387</v>
      </c>
      <c r="R612" s="4"/>
      <c r="S612" s="4"/>
      <c r="T612" s="4" t="str">
        <f t="shared" si="2"/>
        <v>Valid</v>
      </c>
      <c r="U612" s="4">
        <f t="shared" si="3"/>
        <v>1</v>
      </c>
      <c r="V612" s="4" t="str">
        <f t="shared" si="4"/>
        <v>Unique</v>
      </c>
      <c r="W612" s="4" t="str">
        <f t="shared" si="5"/>
        <v>Unknown</v>
      </c>
      <c r="X612" s="4" t="str">
        <f t="shared" ref="X612:Z612" si="616">IF(Q612="","Unknown",Q612)</f>
        <v>Gisborne, New Zealand</v>
      </c>
      <c r="Y612" s="4" t="str">
        <f t="shared" si="616"/>
        <v>Unknown</v>
      </c>
      <c r="Z612" s="4" t="str">
        <f t="shared" si="616"/>
        <v>Unknown</v>
      </c>
      <c r="AA612" s="4" t="str">
        <f t="shared" si="7"/>
        <v>mwc</v>
      </c>
    </row>
    <row r="613">
      <c r="A613" s="3" t="s">
        <v>1466</v>
      </c>
      <c r="B613" s="3">
        <v>6.7</v>
      </c>
      <c r="C613" s="19">
        <f>Raw_Data!T613</f>
        <v>39432.33958</v>
      </c>
      <c r="D613" s="3">
        <v>5.0</v>
      </c>
      <c r="E613" s="3">
        <v>7.0</v>
      </c>
      <c r="F613" s="4"/>
      <c r="G613" s="3">
        <v>0.0</v>
      </c>
      <c r="H613" s="3">
        <v>704.0</v>
      </c>
      <c r="I613" s="3" t="s">
        <v>110</v>
      </c>
      <c r="J613" s="3">
        <v>481.0</v>
      </c>
      <c r="K613" s="3">
        <v>0.0</v>
      </c>
      <c r="L613" s="3">
        <v>30.3</v>
      </c>
      <c r="M613" s="4" t="str">
        <f>Raw_Data!X613</f>
        <v>mwb</v>
      </c>
      <c r="N613" s="3">
        <v>45.0</v>
      </c>
      <c r="O613" s="3">
        <v>-22.954</v>
      </c>
      <c r="P613" s="3">
        <v>-70.182</v>
      </c>
      <c r="Q613" s="3" t="s">
        <v>1468</v>
      </c>
      <c r="R613" s="3" t="s">
        <v>121</v>
      </c>
      <c r="S613" s="3" t="s">
        <v>414</v>
      </c>
      <c r="T613" s="4" t="str">
        <f t="shared" si="2"/>
        <v>Valid</v>
      </c>
      <c r="U613" s="4">
        <f t="shared" si="3"/>
        <v>1</v>
      </c>
      <c r="V613" s="4" t="str">
        <f t="shared" si="4"/>
        <v>Unique</v>
      </c>
      <c r="W613" s="4" t="str">
        <f t="shared" si="5"/>
        <v>Unknown</v>
      </c>
      <c r="X613" s="4" t="str">
        <f t="shared" ref="X613:Z613" si="617">IF(Q613="","Unknown",Q613)</f>
        <v>Ant</v>
      </c>
      <c r="Y613" s="4" t="str">
        <f t="shared" si="617"/>
        <v>South America</v>
      </c>
      <c r="Z613" s="4" t="str">
        <f t="shared" si="617"/>
        <v>Chile</v>
      </c>
      <c r="AA613" s="4" t="str">
        <f t="shared" si="7"/>
        <v>mwb</v>
      </c>
    </row>
    <row r="614">
      <c r="A614" s="3" t="s">
        <v>1469</v>
      </c>
      <c r="B614" s="3">
        <v>7.4</v>
      </c>
      <c r="C614" s="19">
        <f>Raw_Data!T614</f>
        <v>39415.79167</v>
      </c>
      <c r="D614" s="3">
        <v>7.0</v>
      </c>
      <c r="E614" s="3">
        <v>7.0</v>
      </c>
      <c r="F614" s="4"/>
      <c r="G614" s="3">
        <v>0.0</v>
      </c>
      <c r="H614" s="3">
        <v>1542.0</v>
      </c>
      <c r="I614" s="3" t="s">
        <v>110</v>
      </c>
      <c r="J614" s="3">
        <v>663.0</v>
      </c>
      <c r="K614" s="3">
        <v>0.0</v>
      </c>
      <c r="L614" s="3">
        <v>13.4</v>
      </c>
      <c r="M614" s="4" t="str">
        <f>Raw_Data!X614</f>
        <v>mwb</v>
      </c>
      <c r="N614" s="3">
        <v>156.0</v>
      </c>
      <c r="O614" s="3">
        <v>14.944</v>
      </c>
      <c r="P614" s="3">
        <v>-61.274</v>
      </c>
      <c r="Q614" s="3" t="s">
        <v>1471</v>
      </c>
      <c r="R614" s="4"/>
      <c r="S614" s="3" t="s">
        <v>1472</v>
      </c>
      <c r="T614" s="4" t="str">
        <f t="shared" si="2"/>
        <v>Valid</v>
      </c>
      <c r="U614" s="4">
        <f t="shared" si="3"/>
        <v>1</v>
      </c>
      <c r="V614" s="4" t="str">
        <f t="shared" si="4"/>
        <v>Unique</v>
      </c>
      <c r="W614" s="4" t="str">
        <f t="shared" si="5"/>
        <v>Unknown</v>
      </c>
      <c r="X614" s="4" t="str">
        <f t="shared" ref="X614:Z614" si="618">IF(Q614="","Unknown",Q614)</f>
        <v>Basse-Pointe, Martinique</v>
      </c>
      <c r="Y614" s="4" t="str">
        <f t="shared" si="618"/>
        <v>Unknown</v>
      </c>
      <c r="Z614" s="4" t="str">
        <f t="shared" si="618"/>
        <v>Martinique</v>
      </c>
      <c r="AA614" s="4" t="str">
        <f t="shared" si="7"/>
        <v>mwb</v>
      </c>
    </row>
    <row r="615">
      <c r="A615" s="3" t="s">
        <v>1473</v>
      </c>
      <c r="B615" s="3">
        <v>6.6</v>
      </c>
      <c r="C615" s="19">
        <f>Raw_Data!T615</f>
        <v>39413.49236</v>
      </c>
      <c r="D615" s="3">
        <v>3.0</v>
      </c>
      <c r="E615" s="3">
        <v>6.0</v>
      </c>
      <c r="F615" s="4"/>
      <c r="G615" s="3">
        <v>0.0</v>
      </c>
      <c r="H615" s="3">
        <v>672.0</v>
      </c>
      <c r="I615" s="3" t="s">
        <v>110</v>
      </c>
      <c r="J615" s="3">
        <v>280.0</v>
      </c>
      <c r="K615" s="3">
        <v>0.0</v>
      </c>
      <c r="L615" s="3">
        <v>26.9</v>
      </c>
      <c r="M615" s="4" t="str">
        <f>Raw_Data!X615</f>
        <v>mwc</v>
      </c>
      <c r="N615" s="3">
        <v>16.0</v>
      </c>
      <c r="O615" s="3">
        <v>-10.95</v>
      </c>
      <c r="P615" s="3">
        <v>162.149</v>
      </c>
      <c r="Q615" s="3" t="s">
        <v>595</v>
      </c>
      <c r="R615" s="4"/>
      <c r="S615" s="3" t="s">
        <v>214</v>
      </c>
      <c r="T615" s="4" t="str">
        <f t="shared" si="2"/>
        <v>Valid</v>
      </c>
      <c r="U615" s="4">
        <f t="shared" si="3"/>
        <v>1</v>
      </c>
      <c r="V615" s="4" t="str">
        <f t="shared" si="4"/>
        <v>Unique</v>
      </c>
      <c r="W615" s="4" t="str">
        <f t="shared" si="5"/>
        <v>Unknown</v>
      </c>
      <c r="X615" s="4" t="str">
        <f t="shared" ref="X615:Z615" si="619">IF(Q615="","Unknown",Q615)</f>
        <v>Kirakira, Solomon Islands</v>
      </c>
      <c r="Y615" s="4" t="str">
        <f t="shared" si="619"/>
        <v>Unknown</v>
      </c>
      <c r="Z615" s="4" t="str">
        <f t="shared" si="619"/>
        <v>Solomon Islands</v>
      </c>
      <c r="AA615" s="4" t="str">
        <f t="shared" si="7"/>
        <v>mwc</v>
      </c>
    </row>
    <row r="616">
      <c r="A616" s="3" t="s">
        <v>1475</v>
      </c>
      <c r="B616" s="3">
        <v>6.5</v>
      </c>
      <c r="C616" s="19">
        <f>Raw_Data!T616</f>
        <v>39411.82847</v>
      </c>
      <c r="D616" s="3">
        <v>5.0</v>
      </c>
      <c r="E616" s="3">
        <v>7.0</v>
      </c>
      <c r="F616" s="4"/>
      <c r="G616" s="3">
        <v>0.0</v>
      </c>
      <c r="H616" s="3">
        <v>653.0</v>
      </c>
      <c r="I616" s="3" t="s">
        <v>110</v>
      </c>
      <c r="J616" s="3">
        <v>272.0</v>
      </c>
      <c r="K616" s="3">
        <v>0.0</v>
      </c>
      <c r="L616" s="3">
        <v>27.6</v>
      </c>
      <c r="M616" s="4" t="str">
        <f>Raw_Data!X616</f>
        <v>mwc</v>
      </c>
      <c r="N616" s="3">
        <v>18.0</v>
      </c>
      <c r="O616" s="3">
        <v>-8.224</v>
      </c>
      <c r="P616" s="3">
        <v>118.467</v>
      </c>
      <c r="Q616" s="3" t="s">
        <v>1477</v>
      </c>
      <c r="R616" s="4"/>
      <c r="S616" s="3" t="s">
        <v>153</v>
      </c>
      <c r="T616" s="4" t="str">
        <f t="shared" si="2"/>
        <v>Valid</v>
      </c>
      <c r="U616" s="4">
        <f t="shared" si="3"/>
        <v>1</v>
      </c>
      <c r="V616" s="4" t="str">
        <f t="shared" si="4"/>
        <v>Unique</v>
      </c>
      <c r="W616" s="4" t="str">
        <f t="shared" si="5"/>
        <v>Unknown</v>
      </c>
      <c r="X616" s="4" t="str">
        <f t="shared" ref="X616:Z616" si="620">IF(Q616="","Unknown",Q616)</f>
        <v>Dompu, Indonesia</v>
      </c>
      <c r="Y616" s="4" t="str">
        <f t="shared" si="620"/>
        <v>Unknown</v>
      </c>
      <c r="Z616" s="4" t="str">
        <f t="shared" si="620"/>
        <v>Indonesia</v>
      </c>
      <c r="AA616" s="4" t="str">
        <f t="shared" si="7"/>
        <v>mwc</v>
      </c>
    </row>
    <row r="617">
      <c r="A617" s="3" t="s">
        <v>1478</v>
      </c>
      <c r="B617" s="3">
        <v>6.5</v>
      </c>
      <c r="C617" s="19">
        <f>Raw_Data!T617</f>
        <v>39411.66806</v>
      </c>
      <c r="D617" s="3">
        <v>7.0</v>
      </c>
      <c r="E617" s="3">
        <v>7.0</v>
      </c>
      <c r="F617" s="4"/>
      <c r="G617" s="3">
        <v>0.0</v>
      </c>
      <c r="H617" s="3">
        <v>657.0</v>
      </c>
      <c r="I617" s="3" t="s">
        <v>110</v>
      </c>
      <c r="J617" s="3">
        <v>353.0</v>
      </c>
      <c r="K617" s="3">
        <v>0.0</v>
      </c>
      <c r="L617" s="3">
        <v>27.5</v>
      </c>
      <c r="M617" s="4" t="str">
        <f>Raw_Data!X617</f>
        <v>mwc</v>
      </c>
      <c r="N617" s="3">
        <v>20.0</v>
      </c>
      <c r="O617" s="3">
        <v>-8.292</v>
      </c>
      <c r="P617" s="3">
        <v>118.37</v>
      </c>
      <c r="Q617" s="3" t="s">
        <v>1477</v>
      </c>
      <c r="R617" s="4"/>
      <c r="S617" s="3" t="s">
        <v>153</v>
      </c>
      <c r="T617" s="4" t="str">
        <f t="shared" si="2"/>
        <v>Valid</v>
      </c>
      <c r="U617" s="4">
        <f t="shared" si="3"/>
        <v>1</v>
      </c>
      <c r="V617" s="4" t="str">
        <f t="shared" si="4"/>
        <v>Unique</v>
      </c>
      <c r="W617" s="4" t="str">
        <f t="shared" si="5"/>
        <v>Unknown</v>
      </c>
      <c r="X617" s="4" t="str">
        <f t="shared" ref="X617:Z617" si="621">IF(Q617="","Unknown",Q617)</f>
        <v>Dompu, Indonesia</v>
      </c>
      <c r="Y617" s="4" t="str">
        <f t="shared" si="621"/>
        <v>Unknown</v>
      </c>
      <c r="Z617" s="4" t="str">
        <f t="shared" si="621"/>
        <v>Indonesia</v>
      </c>
      <c r="AA617" s="4" t="str">
        <f t="shared" si="7"/>
        <v>mwc</v>
      </c>
    </row>
    <row r="618">
      <c r="A618" s="3" t="s">
        <v>1480</v>
      </c>
      <c r="B618" s="3">
        <v>6.8</v>
      </c>
      <c r="C618" s="19">
        <f>Raw_Data!T618</f>
        <v>39408.36667</v>
      </c>
      <c r="D618" s="3">
        <v>6.0</v>
      </c>
      <c r="E618" s="3">
        <v>6.0</v>
      </c>
      <c r="F618" s="4"/>
      <c r="G618" s="3">
        <v>0.0</v>
      </c>
      <c r="H618" s="3">
        <v>722.0</v>
      </c>
      <c r="I618" s="3" t="s">
        <v>110</v>
      </c>
      <c r="J618" s="3">
        <v>341.0</v>
      </c>
      <c r="K618" s="3">
        <v>0.0</v>
      </c>
      <c r="L618" s="3">
        <v>15.9</v>
      </c>
      <c r="M618" s="4" t="str">
        <f>Raw_Data!X618</f>
        <v>mwc</v>
      </c>
      <c r="N618" s="3">
        <v>53.0</v>
      </c>
      <c r="O618" s="3">
        <v>-5.757</v>
      </c>
      <c r="P618" s="3">
        <v>147.098</v>
      </c>
      <c r="Q618" s="3" t="s">
        <v>1185</v>
      </c>
      <c r="R618" s="4"/>
      <c r="S618" s="3" t="s">
        <v>168</v>
      </c>
      <c r="T618" s="4" t="str">
        <f t="shared" si="2"/>
        <v>Valid</v>
      </c>
      <c r="U618" s="4">
        <f t="shared" si="3"/>
        <v>1</v>
      </c>
      <c r="V618" s="4" t="str">
        <f t="shared" si="4"/>
        <v>Unique</v>
      </c>
      <c r="W618" s="4" t="str">
        <f t="shared" si="5"/>
        <v>Unknown</v>
      </c>
      <c r="X618" s="4" t="str">
        <f t="shared" ref="X618:Z618" si="622">IF(Q618="","Unknown",Q618)</f>
        <v>Lae, Papua New Guinea</v>
      </c>
      <c r="Y618" s="4" t="str">
        <f t="shared" si="622"/>
        <v>Unknown</v>
      </c>
      <c r="Z618" s="4" t="str">
        <f t="shared" si="622"/>
        <v>Papua New Guinea</v>
      </c>
      <c r="AA618" s="4" t="str">
        <f t="shared" si="7"/>
        <v>mwc</v>
      </c>
    </row>
    <row r="619">
      <c r="A619" s="3" t="s">
        <v>1482</v>
      </c>
      <c r="B619" s="3">
        <v>6.8</v>
      </c>
      <c r="C619" s="19">
        <f>Raw_Data!T619</f>
        <v>39402.13403</v>
      </c>
      <c r="D619" s="3">
        <v>7.0</v>
      </c>
      <c r="E619" s="3">
        <v>6.0</v>
      </c>
      <c r="F619" s="4"/>
      <c r="G619" s="3">
        <v>0.0</v>
      </c>
      <c r="H619" s="3">
        <v>790.0</v>
      </c>
      <c r="I619" s="3" t="s">
        <v>110</v>
      </c>
      <c r="J619" s="3">
        <v>649.0</v>
      </c>
      <c r="K619" s="3">
        <v>0.0</v>
      </c>
      <c r="L619" s="3">
        <v>27.0</v>
      </c>
      <c r="M619" s="4" t="str">
        <f>Raw_Data!X619</f>
        <v>mwc</v>
      </c>
      <c r="N619" s="3">
        <v>122.9</v>
      </c>
      <c r="O619" s="3">
        <v>-2.312</v>
      </c>
      <c r="P619" s="3">
        <v>-77.838</v>
      </c>
      <c r="Q619" s="3" t="s">
        <v>1484</v>
      </c>
      <c r="R619" s="3" t="s">
        <v>121</v>
      </c>
      <c r="S619" s="3" t="s">
        <v>179</v>
      </c>
      <c r="T619" s="4" t="str">
        <f t="shared" si="2"/>
        <v>Valid</v>
      </c>
      <c r="U619" s="4">
        <f t="shared" si="3"/>
        <v>1</v>
      </c>
      <c r="V619" s="4" t="str">
        <f t="shared" si="4"/>
        <v>Unique</v>
      </c>
      <c r="W619" s="4" t="str">
        <f t="shared" si="5"/>
        <v>Unknown</v>
      </c>
      <c r="X619" s="4" t="str">
        <f t="shared" ref="X619:Z619" si="623">IF(Q619="","Unknown",Q619)</f>
        <v>Macas, Ecuador</v>
      </c>
      <c r="Y619" s="4" t="str">
        <f t="shared" si="623"/>
        <v>South America</v>
      </c>
      <c r="Z619" s="4" t="str">
        <f t="shared" si="623"/>
        <v>Ecuador</v>
      </c>
      <c r="AA619" s="4" t="str">
        <f t="shared" si="7"/>
        <v>mwc</v>
      </c>
    </row>
    <row r="620">
      <c r="A620" s="3" t="s">
        <v>1485</v>
      </c>
      <c r="B620" s="3">
        <v>6.8</v>
      </c>
      <c r="C620" s="19">
        <f>Raw_Data!T620</f>
        <v>39401.62847</v>
      </c>
      <c r="D620" s="3">
        <v>6.0</v>
      </c>
      <c r="E620" s="3">
        <v>7.0</v>
      </c>
      <c r="F620" s="4"/>
      <c r="G620" s="3">
        <v>0.0</v>
      </c>
      <c r="H620" s="3">
        <v>716.0</v>
      </c>
      <c r="I620" s="3" t="s">
        <v>110</v>
      </c>
      <c r="J620" s="3">
        <v>285.0</v>
      </c>
      <c r="K620" s="3">
        <v>0.0</v>
      </c>
      <c r="L620" s="3">
        <v>40.1</v>
      </c>
      <c r="M620" s="4" t="str">
        <f>Raw_Data!X620</f>
        <v>mwc</v>
      </c>
      <c r="N620" s="3">
        <v>26.0</v>
      </c>
      <c r="O620" s="3">
        <v>-22.925</v>
      </c>
      <c r="P620" s="3">
        <v>-70.237</v>
      </c>
      <c r="Q620" s="3" t="s">
        <v>1468</v>
      </c>
      <c r="R620" s="3" t="s">
        <v>121</v>
      </c>
      <c r="S620" s="3" t="s">
        <v>414</v>
      </c>
      <c r="T620" s="4" t="str">
        <f t="shared" si="2"/>
        <v>Valid</v>
      </c>
      <c r="U620" s="4">
        <f t="shared" si="3"/>
        <v>1</v>
      </c>
      <c r="V620" s="4" t="str">
        <f t="shared" si="4"/>
        <v>Unique</v>
      </c>
      <c r="W620" s="4" t="str">
        <f t="shared" si="5"/>
        <v>Unknown</v>
      </c>
      <c r="X620" s="4" t="str">
        <f t="shared" ref="X620:Z620" si="624">IF(Q620="","Unknown",Q620)</f>
        <v>Ant</v>
      </c>
      <c r="Y620" s="4" t="str">
        <f t="shared" si="624"/>
        <v>South America</v>
      </c>
      <c r="Z620" s="4" t="str">
        <f t="shared" si="624"/>
        <v>Chile</v>
      </c>
      <c r="AA620" s="4" t="str">
        <f t="shared" si="7"/>
        <v>mwc</v>
      </c>
    </row>
    <row r="621">
      <c r="A621" s="3" t="s">
        <v>1487</v>
      </c>
      <c r="B621" s="3">
        <v>7.7</v>
      </c>
      <c r="C621" s="19">
        <f>Raw_Data!T621</f>
        <v>39400.65278</v>
      </c>
      <c r="D621" s="3">
        <v>8.0</v>
      </c>
      <c r="E621" s="3">
        <v>7.0</v>
      </c>
      <c r="F621" s="4"/>
      <c r="G621" s="3">
        <v>0.0</v>
      </c>
      <c r="H621" s="3">
        <v>995.0</v>
      </c>
      <c r="I621" s="3" t="s">
        <v>110</v>
      </c>
      <c r="J621" s="3">
        <v>610.0</v>
      </c>
      <c r="K621" s="3">
        <v>0.0</v>
      </c>
      <c r="L621" s="3">
        <v>22.4</v>
      </c>
      <c r="M621" s="4" t="str">
        <f>Raw_Data!X621</f>
        <v>mwc</v>
      </c>
      <c r="N621" s="3">
        <v>40.0</v>
      </c>
      <c r="O621" s="3">
        <v>-22.247</v>
      </c>
      <c r="P621" s="3">
        <v>-69.89</v>
      </c>
      <c r="Q621" s="3" t="s">
        <v>1489</v>
      </c>
      <c r="R621" s="3" t="s">
        <v>121</v>
      </c>
      <c r="S621" s="3" t="s">
        <v>414</v>
      </c>
      <c r="T621" s="4" t="str">
        <f t="shared" si="2"/>
        <v>Valid</v>
      </c>
      <c r="U621" s="4">
        <f t="shared" si="3"/>
        <v>1</v>
      </c>
      <c r="V621" s="4" t="str">
        <f t="shared" si="4"/>
        <v>Unique</v>
      </c>
      <c r="W621" s="4" t="str">
        <f t="shared" si="5"/>
        <v>Unknown</v>
      </c>
      <c r="X621" s="4" t="str">
        <f t="shared" ref="X621:Z621" si="625">IF(Q621="","Unknown",Q621)</f>
        <v>Tocopilla, Chile</v>
      </c>
      <c r="Y621" s="4" t="str">
        <f t="shared" si="625"/>
        <v>South America</v>
      </c>
      <c r="Z621" s="4" t="str">
        <f t="shared" si="625"/>
        <v>Chile</v>
      </c>
      <c r="AA621" s="4" t="str">
        <f t="shared" si="7"/>
        <v>mwc</v>
      </c>
    </row>
    <row r="622">
      <c r="A622" s="3" t="s">
        <v>1490</v>
      </c>
      <c r="B622" s="3">
        <v>6.8</v>
      </c>
      <c r="C622" s="19">
        <f>Raw_Data!T622</f>
        <v>39379.87639</v>
      </c>
      <c r="D622" s="3">
        <v>3.0</v>
      </c>
      <c r="E622" s="3">
        <v>5.0</v>
      </c>
      <c r="F622" s="4"/>
      <c r="G622" s="3">
        <v>0.0</v>
      </c>
      <c r="H622" s="3">
        <v>713.0</v>
      </c>
      <c r="I622" s="3" t="s">
        <v>110</v>
      </c>
      <c r="J622" s="3">
        <v>494.0</v>
      </c>
      <c r="K622" s="3">
        <v>0.0</v>
      </c>
      <c r="L622" s="3">
        <v>23.9</v>
      </c>
      <c r="M622" s="4" t="str">
        <f>Raw_Data!X622</f>
        <v>mwc</v>
      </c>
      <c r="N622" s="3">
        <v>21.0</v>
      </c>
      <c r="O622" s="3">
        <v>-3.899</v>
      </c>
      <c r="P622" s="3">
        <v>101.02</v>
      </c>
      <c r="Q622" s="3" t="s">
        <v>217</v>
      </c>
      <c r="R622" s="4"/>
      <c r="S622" s="3" t="s">
        <v>153</v>
      </c>
      <c r="T622" s="4" t="str">
        <f t="shared" si="2"/>
        <v>Valid</v>
      </c>
      <c r="U622" s="4">
        <f t="shared" si="3"/>
        <v>1</v>
      </c>
      <c r="V622" s="4" t="str">
        <f t="shared" si="4"/>
        <v>Unique</v>
      </c>
      <c r="W622" s="4" t="str">
        <f t="shared" si="5"/>
        <v>Unknown</v>
      </c>
      <c r="X622" s="4" t="str">
        <f t="shared" ref="X622:Z622" si="626">IF(Q622="","Unknown",Q622)</f>
        <v>Bengkulu, Indonesia</v>
      </c>
      <c r="Y622" s="4" t="str">
        <f t="shared" si="626"/>
        <v>Unknown</v>
      </c>
      <c r="Z622" s="4" t="str">
        <f t="shared" si="626"/>
        <v>Indonesia</v>
      </c>
      <c r="AA622" s="4" t="str">
        <f t="shared" si="7"/>
        <v>mwc</v>
      </c>
    </row>
    <row r="623">
      <c r="A623" s="3" t="s">
        <v>1492</v>
      </c>
      <c r="B623" s="3">
        <v>6.8</v>
      </c>
      <c r="C623" s="19">
        <f>Raw_Data!T623</f>
        <v>39370.52014</v>
      </c>
      <c r="D623" s="3">
        <v>4.0</v>
      </c>
      <c r="E623" s="3">
        <v>7.0</v>
      </c>
      <c r="F623" s="4"/>
      <c r="G623" s="3">
        <v>0.0</v>
      </c>
      <c r="H623" s="3">
        <v>744.0</v>
      </c>
      <c r="I623" s="3" t="s">
        <v>110</v>
      </c>
      <c r="J623" s="3">
        <v>338.0</v>
      </c>
      <c r="K623" s="3">
        <v>0.0</v>
      </c>
      <c r="L623" s="3">
        <v>19.0</v>
      </c>
      <c r="M623" s="4" t="str">
        <f>Raw_Data!X623</f>
        <v>mwc</v>
      </c>
      <c r="N623" s="3">
        <v>18.0</v>
      </c>
      <c r="O623" s="3">
        <v>-44.796</v>
      </c>
      <c r="P623" s="3">
        <v>167.553</v>
      </c>
      <c r="Q623" s="3" t="s">
        <v>1398</v>
      </c>
      <c r="R623" s="4"/>
      <c r="S623" s="3" t="s">
        <v>759</v>
      </c>
      <c r="T623" s="4" t="str">
        <f t="shared" si="2"/>
        <v>Valid</v>
      </c>
      <c r="U623" s="4">
        <f t="shared" si="3"/>
        <v>1</v>
      </c>
      <c r="V623" s="4" t="str">
        <f t="shared" si="4"/>
        <v>Unique</v>
      </c>
      <c r="W623" s="4" t="str">
        <f t="shared" si="5"/>
        <v>Unknown</v>
      </c>
      <c r="X623" s="4" t="str">
        <f t="shared" ref="X623:Z623" si="627">IF(Q623="","Unknown",Q623)</f>
        <v>Te Anau, New Zealand</v>
      </c>
      <c r="Y623" s="4" t="str">
        <f t="shared" si="627"/>
        <v>Unknown</v>
      </c>
      <c r="Z623" s="4" t="str">
        <f t="shared" si="627"/>
        <v>New Zealand</v>
      </c>
      <c r="AA623" s="4" t="str">
        <f t="shared" si="7"/>
        <v>mwc</v>
      </c>
    </row>
    <row r="624">
      <c r="A624" s="3" t="s">
        <v>1494</v>
      </c>
      <c r="B624" s="3">
        <v>6.8</v>
      </c>
      <c r="C624" s="19">
        <f>Raw_Data!T624</f>
        <v>39351.525</v>
      </c>
      <c r="D624" s="3">
        <v>4.0</v>
      </c>
      <c r="E624" s="3">
        <v>5.0</v>
      </c>
      <c r="F624" s="4"/>
      <c r="G624" s="3">
        <v>0.0</v>
      </c>
      <c r="H624" s="3">
        <v>713.0</v>
      </c>
      <c r="I624" s="3" t="s">
        <v>110</v>
      </c>
      <c r="J624" s="3">
        <v>348.0</v>
      </c>
      <c r="K624" s="3">
        <v>0.0</v>
      </c>
      <c r="L624" s="3">
        <v>15.5</v>
      </c>
      <c r="M624" s="4" t="str">
        <f>Raw_Data!X624</f>
        <v>mwc</v>
      </c>
      <c r="N624" s="3">
        <v>40.0</v>
      </c>
      <c r="O624" s="3">
        <v>-4.99</v>
      </c>
      <c r="P624" s="3">
        <v>153.5</v>
      </c>
      <c r="Q624" s="3" t="s">
        <v>633</v>
      </c>
      <c r="R624" s="4"/>
      <c r="S624" s="3" t="s">
        <v>168</v>
      </c>
      <c r="T624" s="4" t="str">
        <f t="shared" si="2"/>
        <v>Valid</v>
      </c>
      <c r="U624" s="4">
        <f t="shared" si="3"/>
        <v>1</v>
      </c>
      <c r="V624" s="4" t="str">
        <f t="shared" si="4"/>
        <v>Unique</v>
      </c>
      <c r="W624" s="4" t="str">
        <f t="shared" si="5"/>
        <v>Unknown</v>
      </c>
      <c r="X624" s="4" t="str">
        <f t="shared" ref="X624:Z624" si="628">IF(Q624="","Unknown",Q624)</f>
        <v>Kokopo, Papua New Guinea</v>
      </c>
      <c r="Y624" s="4" t="str">
        <f t="shared" si="628"/>
        <v>Unknown</v>
      </c>
      <c r="Z624" s="4" t="str">
        <f t="shared" si="628"/>
        <v>Papua New Guinea</v>
      </c>
      <c r="AA624" s="4" t="str">
        <f t="shared" si="7"/>
        <v>mwc</v>
      </c>
    </row>
    <row r="625">
      <c r="A625" s="3" t="s">
        <v>1496</v>
      </c>
      <c r="B625" s="3">
        <v>6.7</v>
      </c>
      <c r="C625" s="19">
        <f>Raw_Data!T625</f>
        <v>39345.35486</v>
      </c>
      <c r="D625" s="3">
        <v>3.0</v>
      </c>
      <c r="E625" s="3">
        <v>5.0</v>
      </c>
      <c r="F625" s="4"/>
      <c r="G625" s="3">
        <v>0.0</v>
      </c>
      <c r="H625" s="3">
        <v>696.0</v>
      </c>
      <c r="I625" s="3" t="s">
        <v>110</v>
      </c>
      <c r="J625" s="3">
        <v>503.0</v>
      </c>
      <c r="K625" s="3">
        <v>0.0</v>
      </c>
      <c r="L625" s="3">
        <v>26.9</v>
      </c>
      <c r="M625" s="4" t="str">
        <f>Raw_Data!X625</f>
        <v>mwc</v>
      </c>
      <c r="N625" s="3">
        <v>30.0</v>
      </c>
      <c r="O625" s="3">
        <v>-1.999</v>
      </c>
      <c r="P625" s="3">
        <v>100.141</v>
      </c>
      <c r="Q625" s="3" t="s">
        <v>1388</v>
      </c>
      <c r="R625" s="4"/>
      <c r="S625" s="3" t="s">
        <v>153</v>
      </c>
      <c r="T625" s="4" t="str">
        <f t="shared" si="2"/>
        <v>Valid</v>
      </c>
      <c r="U625" s="4">
        <f t="shared" si="3"/>
        <v>1</v>
      </c>
      <c r="V625" s="4" t="str">
        <f t="shared" si="4"/>
        <v>Unique</v>
      </c>
      <c r="W625" s="4" t="str">
        <f t="shared" si="5"/>
        <v>Unknown</v>
      </c>
      <c r="X625" s="4" t="str">
        <f t="shared" ref="X625:Z625" si="629">IF(Q625="","Unknown",Q625)</f>
        <v>Padang, Indonesia</v>
      </c>
      <c r="Y625" s="4" t="str">
        <f t="shared" si="629"/>
        <v>Unknown</v>
      </c>
      <c r="Z625" s="4" t="str">
        <f t="shared" si="629"/>
        <v>Indonesia</v>
      </c>
      <c r="AA625" s="4" t="str">
        <f t="shared" si="7"/>
        <v>mwc</v>
      </c>
    </row>
    <row r="626">
      <c r="A626" s="3" t="s">
        <v>1498</v>
      </c>
      <c r="B626" s="3">
        <v>7.0</v>
      </c>
      <c r="C626" s="19">
        <f>Raw_Data!T626</f>
        <v>39338.14931</v>
      </c>
      <c r="D626" s="3">
        <v>4.0</v>
      </c>
      <c r="E626" s="3">
        <v>7.0</v>
      </c>
      <c r="F626" s="4"/>
      <c r="G626" s="3">
        <v>0.0</v>
      </c>
      <c r="H626" s="3">
        <v>768.0</v>
      </c>
      <c r="I626" s="3" t="s">
        <v>110</v>
      </c>
      <c r="J626" s="3">
        <v>537.0</v>
      </c>
      <c r="K626" s="3">
        <v>0.0</v>
      </c>
      <c r="L626" s="3">
        <v>23.1</v>
      </c>
      <c r="M626" s="4" t="str">
        <f>Raw_Data!X626</f>
        <v>mwc</v>
      </c>
      <c r="N626" s="3">
        <v>22.0</v>
      </c>
      <c r="O626" s="3">
        <v>-2.13</v>
      </c>
      <c r="P626" s="3">
        <v>99.627</v>
      </c>
      <c r="Q626" s="3" t="s">
        <v>1388</v>
      </c>
      <c r="R626" s="4"/>
      <c r="S626" s="3" t="s">
        <v>153</v>
      </c>
      <c r="T626" s="4" t="str">
        <f t="shared" si="2"/>
        <v>Valid</v>
      </c>
      <c r="U626" s="4">
        <f t="shared" si="3"/>
        <v>1</v>
      </c>
      <c r="V626" s="4" t="str">
        <f t="shared" si="4"/>
        <v>Unique</v>
      </c>
      <c r="W626" s="4" t="str">
        <f t="shared" si="5"/>
        <v>Unknown</v>
      </c>
      <c r="X626" s="4" t="str">
        <f t="shared" ref="X626:Z626" si="630">IF(Q626="","Unknown",Q626)</f>
        <v>Padang, Indonesia</v>
      </c>
      <c r="Y626" s="4" t="str">
        <f t="shared" si="630"/>
        <v>Unknown</v>
      </c>
      <c r="Z626" s="4" t="str">
        <f t="shared" si="630"/>
        <v>Indonesia</v>
      </c>
      <c r="AA626" s="4" t="str">
        <f t="shared" si="7"/>
        <v>mwc</v>
      </c>
    </row>
    <row r="627">
      <c r="A627" s="3" t="s">
        <v>1500</v>
      </c>
      <c r="B627" s="3">
        <v>6.5</v>
      </c>
      <c r="C627" s="19">
        <f>Raw_Data!T627</f>
        <v>39338.10417</v>
      </c>
      <c r="D627" s="3">
        <v>0.0</v>
      </c>
      <c r="E627" s="3">
        <v>5.0</v>
      </c>
      <c r="F627" s="4"/>
      <c r="G627" s="3">
        <v>0.0</v>
      </c>
      <c r="H627" s="3">
        <v>650.0</v>
      </c>
      <c r="I627" s="3" t="s">
        <v>110</v>
      </c>
      <c r="J627" s="3">
        <v>409.0</v>
      </c>
      <c r="K627" s="3">
        <v>0.0</v>
      </c>
      <c r="L627" s="3">
        <v>26.2</v>
      </c>
      <c r="M627" s="4" t="str">
        <f>Raw_Data!X627</f>
        <v>mwc</v>
      </c>
      <c r="N627" s="3">
        <v>28.9</v>
      </c>
      <c r="O627" s="3">
        <v>-1.689</v>
      </c>
      <c r="P627" s="3">
        <v>99.668</v>
      </c>
      <c r="Q627" s="3" t="s">
        <v>1502</v>
      </c>
      <c r="R627" s="4"/>
      <c r="S627" s="3" t="s">
        <v>153</v>
      </c>
      <c r="T627" s="4" t="str">
        <f t="shared" si="2"/>
        <v>Valid</v>
      </c>
      <c r="U627" s="4">
        <f t="shared" si="3"/>
        <v>1</v>
      </c>
      <c r="V627" s="4" t="str">
        <f t="shared" si="4"/>
        <v>Unique</v>
      </c>
      <c r="W627" s="4" t="str">
        <f t="shared" si="5"/>
        <v>Unknown</v>
      </c>
      <c r="X627" s="4" t="str">
        <f t="shared" ref="X627:Z627" si="631">IF(Q627="","Unknown",Q627)</f>
        <v>Kepulauan Mentawai region, Indonesia</v>
      </c>
      <c r="Y627" s="4" t="str">
        <f t="shared" si="631"/>
        <v>Unknown</v>
      </c>
      <c r="Z627" s="4" t="str">
        <f t="shared" si="631"/>
        <v>Indonesia</v>
      </c>
      <c r="AA627" s="4" t="str">
        <f t="shared" si="7"/>
        <v>mwc</v>
      </c>
    </row>
    <row r="628">
      <c r="A628" s="3" t="s">
        <v>1503</v>
      </c>
      <c r="B628" s="3">
        <v>7.9</v>
      </c>
      <c r="C628" s="19">
        <f>Raw_Data!T628</f>
        <v>39337.99236</v>
      </c>
      <c r="D628" s="3">
        <v>8.0</v>
      </c>
      <c r="E628" s="3">
        <v>7.0</v>
      </c>
      <c r="F628" s="4"/>
      <c r="G628" s="3">
        <v>0.0</v>
      </c>
      <c r="H628" s="3">
        <v>1133.0</v>
      </c>
      <c r="I628" s="3" t="s">
        <v>110</v>
      </c>
      <c r="J628" s="3">
        <v>446.0</v>
      </c>
      <c r="K628" s="3">
        <v>0.0</v>
      </c>
      <c r="L628" s="3">
        <v>29.1</v>
      </c>
      <c r="M628" s="4" t="str">
        <f>Raw_Data!X628</f>
        <v>mwc</v>
      </c>
      <c r="N628" s="3">
        <v>35.0</v>
      </c>
      <c r="O628" s="3">
        <v>-2.625</v>
      </c>
      <c r="P628" s="3">
        <v>100.841</v>
      </c>
      <c r="Q628" s="3" t="s">
        <v>791</v>
      </c>
      <c r="R628" s="4"/>
      <c r="S628" s="3" t="s">
        <v>153</v>
      </c>
      <c r="T628" s="4" t="str">
        <f t="shared" si="2"/>
        <v>Valid</v>
      </c>
      <c r="U628" s="4">
        <f t="shared" si="3"/>
        <v>1</v>
      </c>
      <c r="V628" s="4" t="str">
        <f t="shared" si="4"/>
        <v>Unique</v>
      </c>
      <c r="W628" s="4" t="str">
        <f t="shared" si="5"/>
        <v>Unknown</v>
      </c>
      <c r="X628" s="4" t="str">
        <f t="shared" ref="X628:Z628" si="632">IF(Q628="","Unknown",Q628)</f>
        <v>Sungai Penuh, Indonesia</v>
      </c>
      <c r="Y628" s="4" t="str">
        <f t="shared" si="632"/>
        <v>Unknown</v>
      </c>
      <c r="Z628" s="4" t="str">
        <f t="shared" si="632"/>
        <v>Indonesia</v>
      </c>
      <c r="AA628" s="4" t="str">
        <f t="shared" si="7"/>
        <v>mwc</v>
      </c>
    </row>
    <row r="629">
      <c r="A629" s="3" t="s">
        <v>1504</v>
      </c>
      <c r="B629" s="3">
        <v>7.8</v>
      </c>
      <c r="C629" s="19">
        <f>Raw_Data!T629</f>
        <v>39337.99236</v>
      </c>
      <c r="D629" s="3">
        <v>7.0</v>
      </c>
      <c r="E629" s="3">
        <v>8.0</v>
      </c>
      <c r="F629" s="4"/>
      <c r="G629" s="3">
        <v>0.0</v>
      </c>
      <c r="H629" s="3">
        <v>1152.0</v>
      </c>
      <c r="I629" s="3" t="s">
        <v>1432</v>
      </c>
      <c r="J629" s="3">
        <v>0.0</v>
      </c>
      <c r="K629" s="3">
        <v>0.0</v>
      </c>
      <c r="L629" s="3">
        <v>0.0</v>
      </c>
      <c r="M629" s="4" t="str">
        <f>Raw_Data!X629</f>
        <v>mww</v>
      </c>
      <c r="N629" s="3">
        <v>40.5</v>
      </c>
      <c r="O629" s="3">
        <v>-2.52</v>
      </c>
      <c r="P629" s="3">
        <v>100.139</v>
      </c>
      <c r="Q629" s="3" t="s">
        <v>791</v>
      </c>
      <c r="R629" s="3" t="s">
        <v>164</v>
      </c>
      <c r="S629" s="3" t="s">
        <v>153</v>
      </c>
      <c r="T629" s="4" t="str">
        <f t="shared" si="2"/>
        <v>Valid</v>
      </c>
      <c r="U629" s="4">
        <f t="shared" si="3"/>
        <v>1</v>
      </c>
      <c r="V629" s="4" t="str">
        <f t="shared" si="4"/>
        <v>Unique</v>
      </c>
      <c r="W629" s="4" t="str">
        <f t="shared" si="5"/>
        <v>Unknown</v>
      </c>
      <c r="X629" s="4" t="str">
        <f t="shared" ref="X629:Z629" si="633">IF(Q629="","Unknown",Q629)</f>
        <v>Sungai Penuh, Indonesia</v>
      </c>
      <c r="Y629" s="4" t="str">
        <f t="shared" si="633"/>
        <v>Asia</v>
      </c>
      <c r="Z629" s="4" t="str">
        <f t="shared" si="633"/>
        <v>Indonesia</v>
      </c>
      <c r="AA629" s="4" t="str">
        <f t="shared" si="7"/>
        <v>mww</v>
      </c>
    </row>
    <row r="630">
      <c r="A630" s="3" t="s">
        <v>1505</v>
      </c>
      <c r="B630" s="3">
        <v>8.4</v>
      </c>
      <c r="C630" s="19">
        <f>Raw_Data!T630</f>
        <v>39337.46528</v>
      </c>
      <c r="D630" s="3">
        <v>0.0</v>
      </c>
      <c r="E630" s="3">
        <v>6.0</v>
      </c>
      <c r="F630" s="4"/>
      <c r="G630" s="3">
        <v>0.0</v>
      </c>
      <c r="H630" s="3">
        <v>1086.0</v>
      </c>
      <c r="I630" s="3" t="s">
        <v>1196</v>
      </c>
      <c r="J630" s="3">
        <v>411.0</v>
      </c>
      <c r="K630" s="3">
        <v>0.0</v>
      </c>
      <c r="L630" s="3">
        <v>32.3</v>
      </c>
      <c r="M630" s="4" t="str">
        <f>Raw_Data!X630</f>
        <v>mww</v>
      </c>
      <c r="N630" s="3">
        <v>34.0</v>
      </c>
      <c r="O630" s="3">
        <v>-4.438</v>
      </c>
      <c r="P630" s="3">
        <v>101.367</v>
      </c>
      <c r="Q630" s="3" t="s">
        <v>217</v>
      </c>
      <c r="R630" s="4"/>
      <c r="S630" s="3" t="s">
        <v>153</v>
      </c>
      <c r="T630" s="4" t="str">
        <f t="shared" si="2"/>
        <v>Valid</v>
      </c>
      <c r="U630" s="4">
        <f t="shared" si="3"/>
        <v>1</v>
      </c>
      <c r="V630" s="4" t="str">
        <f t="shared" si="4"/>
        <v>Unique</v>
      </c>
      <c r="W630" s="4" t="str">
        <f t="shared" si="5"/>
        <v>Unknown</v>
      </c>
      <c r="X630" s="4" t="str">
        <f t="shared" ref="X630:Z630" si="634">IF(Q630="","Unknown",Q630)</f>
        <v>Bengkulu, Indonesia</v>
      </c>
      <c r="Y630" s="4" t="str">
        <f t="shared" si="634"/>
        <v>Unknown</v>
      </c>
      <c r="Z630" s="4" t="str">
        <f t="shared" si="634"/>
        <v>Indonesia</v>
      </c>
      <c r="AA630" s="4" t="str">
        <f t="shared" si="7"/>
        <v>mww</v>
      </c>
    </row>
    <row r="631">
      <c r="A631" s="3" t="s">
        <v>1506</v>
      </c>
      <c r="B631" s="3">
        <v>6.8</v>
      </c>
      <c r="C631" s="19">
        <f>Raw_Data!T631</f>
        <v>39335.07569</v>
      </c>
      <c r="D631" s="3">
        <v>5.0</v>
      </c>
      <c r="E631" s="3">
        <v>6.0</v>
      </c>
      <c r="F631" s="4"/>
      <c r="G631" s="3">
        <v>0.0</v>
      </c>
      <c r="H631" s="3">
        <v>747.0</v>
      </c>
      <c r="I631" s="3" t="s">
        <v>110</v>
      </c>
      <c r="J631" s="3">
        <v>653.0</v>
      </c>
      <c r="K631" s="3">
        <v>0.0</v>
      </c>
      <c r="L631" s="3">
        <v>17.6</v>
      </c>
      <c r="M631" s="4" t="str">
        <f>Raw_Data!X631</f>
        <v>mwc</v>
      </c>
      <c r="N631" s="3">
        <v>15.0</v>
      </c>
      <c r="O631" s="3">
        <v>2.966</v>
      </c>
      <c r="P631" s="3">
        <v>-77.963</v>
      </c>
      <c r="Q631" s="3" t="s">
        <v>1507</v>
      </c>
      <c r="R631" s="4"/>
      <c r="S631" s="3" t="s">
        <v>140</v>
      </c>
      <c r="T631" s="4" t="str">
        <f t="shared" si="2"/>
        <v>Valid</v>
      </c>
      <c r="U631" s="4">
        <f t="shared" si="3"/>
        <v>1</v>
      </c>
      <c r="V631" s="4" t="str">
        <f t="shared" si="4"/>
        <v>Unique</v>
      </c>
      <c r="W631" s="4" t="str">
        <f t="shared" si="5"/>
        <v>Unknown</v>
      </c>
      <c r="X631" s="4" t="str">
        <f t="shared" ref="X631:Z631" si="635">IF(Q631="","Unknown",Q631)</f>
        <v>Timbiquí, Colombia</v>
      </c>
      <c r="Y631" s="4" t="str">
        <f t="shared" si="635"/>
        <v>Unknown</v>
      </c>
      <c r="Z631" s="4" t="str">
        <f t="shared" si="635"/>
        <v>Colombia</v>
      </c>
      <c r="AA631" s="4" t="str">
        <f t="shared" si="7"/>
        <v>mwc</v>
      </c>
    </row>
    <row r="632">
      <c r="A632" s="3" t="s">
        <v>1508</v>
      </c>
      <c r="B632" s="3">
        <v>7.2</v>
      </c>
      <c r="C632" s="19">
        <f>Raw_Data!T632</f>
        <v>39327.04514</v>
      </c>
      <c r="D632" s="3">
        <v>0.0</v>
      </c>
      <c r="E632" s="3">
        <v>5.0</v>
      </c>
      <c r="F632" s="4"/>
      <c r="G632" s="3">
        <v>0.0</v>
      </c>
      <c r="H632" s="3">
        <v>798.0</v>
      </c>
      <c r="I632" s="3" t="s">
        <v>110</v>
      </c>
      <c r="J632" s="3">
        <v>312.0</v>
      </c>
      <c r="K632" s="3">
        <v>0.0</v>
      </c>
      <c r="L632" s="3">
        <v>21.3</v>
      </c>
      <c r="M632" s="4" t="str">
        <f>Raw_Data!X632</f>
        <v>mwc</v>
      </c>
      <c r="N632" s="3">
        <v>35.0</v>
      </c>
      <c r="O632" s="3">
        <v>-11.61</v>
      </c>
      <c r="P632" s="3">
        <v>165.762</v>
      </c>
      <c r="Q632" s="3" t="s">
        <v>450</v>
      </c>
      <c r="R632" s="4"/>
      <c r="S632" s="4"/>
      <c r="T632" s="4" t="str">
        <f t="shared" si="2"/>
        <v>Valid</v>
      </c>
      <c r="U632" s="4">
        <f t="shared" si="3"/>
        <v>1</v>
      </c>
      <c r="V632" s="4" t="str">
        <f t="shared" si="4"/>
        <v>Unique</v>
      </c>
      <c r="W632" s="4" t="str">
        <f t="shared" si="5"/>
        <v>Unknown</v>
      </c>
      <c r="X632" s="4" t="str">
        <f t="shared" ref="X632:Z632" si="636">IF(Q632="","Unknown",Q632)</f>
        <v>Lata, Solomon Islands</v>
      </c>
      <c r="Y632" s="4" t="str">
        <f t="shared" si="636"/>
        <v>Unknown</v>
      </c>
      <c r="Z632" s="4" t="str">
        <f t="shared" si="636"/>
        <v>Unknown</v>
      </c>
      <c r="AA632" s="4" t="str">
        <f t="shared" si="7"/>
        <v>mwc</v>
      </c>
    </row>
    <row r="633">
      <c r="A633" s="3" t="s">
        <v>1509</v>
      </c>
      <c r="B633" s="3">
        <v>6.5</v>
      </c>
      <c r="C633" s="19">
        <f>Raw_Data!T633</f>
        <v>39310.36042</v>
      </c>
      <c r="D633" s="3">
        <v>5.0</v>
      </c>
      <c r="E633" s="3">
        <v>6.0</v>
      </c>
      <c r="F633" s="4"/>
      <c r="G633" s="3">
        <v>0.0</v>
      </c>
      <c r="H633" s="3">
        <v>675.0</v>
      </c>
      <c r="I633" s="3" t="s">
        <v>110</v>
      </c>
      <c r="J633" s="3">
        <v>382.0</v>
      </c>
      <c r="K633" s="3">
        <v>0.0</v>
      </c>
      <c r="L633" s="3">
        <v>12.8</v>
      </c>
      <c r="M633" s="4" t="str">
        <f>Raw_Data!X633</f>
        <v>mwc</v>
      </c>
      <c r="N633" s="3">
        <v>15.0</v>
      </c>
      <c r="O633" s="3">
        <v>-9.834</v>
      </c>
      <c r="P633" s="3">
        <v>159.465</v>
      </c>
      <c r="Q633" s="3" t="s">
        <v>212</v>
      </c>
      <c r="R633" s="4"/>
      <c r="S633" s="4"/>
      <c r="T633" s="4" t="str">
        <f t="shared" si="2"/>
        <v>Valid</v>
      </c>
      <c r="U633" s="4">
        <f t="shared" si="3"/>
        <v>1</v>
      </c>
      <c r="V633" s="4" t="str">
        <f t="shared" si="4"/>
        <v>Unique</v>
      </c>
      <c r="W633" s="4" t="str">
        <f t="shared" si="5"/>
        <v>Unknown</v>
      </c>
      <c r="X633" s="4" t="str">
        <f t="shared" ref="X633:Z633" si="637">IF(Q633="","Unknown",Q633)</f>
        <v>Malango, Solomon Islands</v>
      </c>
      <c r="Y633" s="4" t="str">
        <f t="shared" si="637"/>
        <v>Unknown</v>
      </c>
      <c r="Z633" s="4" t="str">
        <f t="shared" si="637"/>
        <v>Unknown</v>
      </c>
      <c r="AA633" s="4" t="str">
        <f t="shared" si="7"/>
        <v>mwc</v>
      </c>
    </row>
    <row r="634">
      <c r="A634" s="3" t="s">
        <v>1511</v>
      </c>
      <c r="B634" s="3">
        <v>8.0</v>
      </c>
      <c r="C634" s="19">
        <f>Raw_Data!T634</f>
        <v>39309.98611</v>
      </c>
      <c r="D634" s="3">
        <v>9.0</v>
      </c>
      <c r="E634" s="3">
        <v>8.0</v>
      </c>
      <c r="F634" s="4"/>
      <c r="G634" s="3">
        <v>0.0</v>
      </c>
      <c r="H634" s="3">
        <v>1385.0</v>
      </c>
      <c r="I634" s="3" t="s">
        <v>110</v>
      </c>
      <c r="J634" s="3">
        <v>625.0</v>
      </c>
      <c r="K634" s="3">
        <v>0.0</v>
      </c>
      <c r="L634" s="3">
        <v>25.7</v>
      </c>
      <c r="M634" s="4" t="str">
        <f>Raw_Data!X634</f>
        <v>mwc</v>
      </c>
      <c r="N634" s="3">
        <v>39.0</v>
      </c>
      <c r="O634" s="3">
        <v>-13.386</v>
      </c>
      <c r="P634" s="3">
        <v>-76.603</v>
      </c>
      <c r="Q634" s="3" t="s">
        <v>1513</v>
      </c>
      <c r="R634" s="4"/>
      <c r="S634" s="3" t="s">
        <v>265</v>
      </c>
      <c r="T634" s="4" t="str">
        <f t="shared" si="2"/>
        <v>Valid</v>
      </c>
      <c r="U634" s="4">
        <f t="shared" si="3"/>
        <v>1</v>
      </c>
      <c r="V634" s="4" t="str">
        <f t="shared" si="4"/>
        <v>Unique</v>
      </c>
      <c r="W634" s="4" t="str">
        <f t="shared" si="5"/>
        <v>Unknown</v>
      </c>
      <c r="X634" s="4" t="str">
        <f t="shared" ref="X634:Z634" si="638">IF(Q634="","Unknown",Q634)</f>
        <v>San Vicente de Cañete, Peru</v>
      </c>
      <c r="Y634" s="4" t="str">
        <f t="shared" si="638"/>
        <v>Unknown</v>
      </c>
      <c r="Z634" s="4" t="str">
        <f t="shared" si="638"/>
        <v>Peru</v>
      </c>
      <c r="AA634" s="4" t="str">
        <f t="shared" si="7"/>
        <v>mwc</v>
      </c>
    </row>
    <row r="635">
      <c r="A635" s="3" t="s">
        <v>1514</v>
      </c>
      <c r="B635" s="3">
        <v>7.5</v>
      </c>
      <c r="C635" s="19">
        <f>Raw_Data!T635</f>
        <v>39302.71181</v>
      </c>
      <c r="D635" s="3">
        <v>0.0</v>
      </c>
      <c r="E635" s="3">
        <v>5.0</v>
      </c>
      <c r="F635" s="4"/>
      <c r="G635" s="3">
        <v>0.0</v>
      </c>
      <c r="H635" s="3">
        <v>865.0</v>
      </c>
      <c r="I635" s="3" t="s">
        <v>110</v>
      </c>
      <c r="J635" s="3">
        <v>228.0</v>
      </c>
      <c r="K635" s="3">
        <v>0.0</v>
      </c>
      <c r="L635" s="3">
        <v>30.7</v>
      </c>
      <c r="M635" s="4" t="str">
        <f>Raw_Data!X635</f>
        <v>mwc</v>
      </c>
      <c r="N635" s="3">
        <v>280.0</v>
      </c>
      <c r="O635" s="3">
        <v>-5.859</v>
      </c>
      <c r="P635" s="3">
        <v>107.419</v>
      </c>
      <c r="Q635" s="3" t="s">
        <v>1515</v>
      </c>
      <c r="R635" s="4"/>
      <c r="S635" s="3" t="s">
        <v>153</v>
      </c>
      <c r="T635" s="4" t="str">
        <f t="shared" si="2"/>
        <v>Valid</v>
      </c>
      <c r="U635" s="4">
        <f t="shared" si="3"/>
        <v>1</v>
      </c>
      <c r="V635" s="4" t="str">
        <f t="shared" si="4"/>
        <v>Unique</v>
      </c>
      <c r="W635" s="4" t="str">
        <f t="shared" si="5"/>
        <v>Unknown</v>
      </c>
      <c r="X635" s="4" t="str">
        <f t="shared" ref="X635:Z635" si="639">IF(Q635="","Unknown",Q635)</f>
        <v>Rengasdengklok, Indonesia</v>
      </c>
      <c r="Y635" s="4" t="str">
        <f t="shared" si="639"/>
        <v>Unknown</v>
      </c>
      <c r="Z635" s="4" t="str">
        <f t="shared" si="639"/>
        <v>Indonesia</v>
      </c>
      <c r="AA635" s="4" t="str">
        <f t="shared" si="7"/>
        <v>mwc</v>
      </c>
    </row>
    <row r="636">
      <c r="A636" s="3" t="s">
        <v>1516</v>
      </c>
      <c r="B636" s="3">
        <v>7.2</v>
      </c>
      <c r="C636" s="19">
        <f>Raw_Data!T636</f>
        <v>39295.71389</v>
      </c>
      <c r="D636" s="3">
        <v>7.0</v>
      </c>
      <c r="E636" s="3">
        <v>7.0</v>
      </c>
      <c r="F636" s="4"/>
      <c r="G636" s="3">
        <v>0.0</v>
      </c>
      <c r="H636" s="3">
        <v>803.0</v>
      </c>
      <c r="I636" s="3" t="s">
        <v>110</v>
      </c>
      <c r="J636" s="3">
        <v>494.0</v>
      </c>
      <c r="K636" s="3">
        <v>0.0</v>
      </c>
      <c r="L636" s="3">
        <v>20.4</v>
      </c>
      <c r="M636" s="4" t="str">
        <f>Raw_Data!X636</f>
        <v>mwb</v>
      </c>
      <c r="N636" s="3">
        <v>120.0</v>
      </c>
      <c r="O636" s="3">
        <v>-15.595</v>
      </c>
      <c r="P636" s="3">
        <v>167.68</v>
      </c>
      <c r="Q636" s="3" t="s">
        <v>1517</v>
      </c>
      <c r="R636" s="4"/>
      <c r="S636" s="3" t="s">
        <v>113</v>
      </c>
      <c r="T636" s="4" t="str">
        <f t="shared" si="2"/>
        <v>Valid</v>
      </c>
      <c r="U636" s="4">
        <f t="shared" si="3"/>
        <v>1</v>
      </c>
      <c r="V636" s="4" t="str">
        <f t="shared" si="4"/>
        <v>Unique</v>
      </c>
      <c r="W636" s="4" t="str">
        <f t="shared" si="5"/>
        <v>Unknown</v>
      </c>
      <c r="X636" s="4" t="str">
        <f t="shared" ref="X636:Z636" si="640">IF(Q636="","Unknown",Q636)</f>
        <v>Luganville, Vanuatu</v>
      </c>
      <c r="Y636" s="4" t="str">
        <f t="shared" si="640"/>
        <v>Unknown</v>
      </c>
      <c r="Z636" s="4" t="str">
        <f t="shared" si="640"/>
        <v>Vanuatu</v>
      </c>
      <c r="AA636" s="4" t="str">
        <f t="shared" si="7"/>
        <v>mwb</v>
      </c>
    </row>
    <row r="637">
      <c r="A637" s="3" t="s">
        <v>1518</v>
      </c>
      <c r="B637" s="3">
        <v>6.9</v>
      </c>
      <c r="C637" s="19">
        <f>Raw_Data!T637</f>
        <v>39289.23611</v>
      </c>
      <c r="D637" s="3">
        <v>3.0</v>
      </c>
      <c r="E637" s="3">
        <v>5.0</v>
      </c>
      <c r="F637" s="4"/>
      <c r="G637" s="3">
        <v>0.0</v>
      </c>
      <c r="H637" s="3">
        <v>734.0</v>
      </c>
      <c r="I637" s="3" t="s">
        <v>110</v>
      </c>
      <c r="J637" s="3">
        <v>374.0</v>
      </c>
      <c r="K637" s="3">
        <v>0.0</v>
      </c>
      <c r="L637" s="3">
        <v>24.1</v>
      </c>
      <c r="M637" s="4" t="str">
        <f>Raw_Data!X637</f>
        <v>mwb</v>
      </c>
      <c r="N637" s="3">
        <v>25.0</v>
      </c>
      <c r="O637" s="3">
        <v>2.872</v>
      </c>
      <c r="P637" s="3">
        <v>127.464</v>
      </c>
      <c r="Q637" s="3" t="s">
        <v>205</v>
      </c>
      <c r="R637" s="4"/>
      <c r="S637" s="3" t="s">
        <v>153</v>
      </c>
      <c r="T637" s="4" t="str">
        <f t="shared" si="2"/>
        <v>Valid</v>
      </c>
      <c r="U637" s="4">
        <f t="shared" si="3"/>
        <v>1</v>
      </c>
      <c r="V637" s="4" t="str">
        <f t="shared" si="4"/>
        <v>Unique</v>
      </c>
      <c r="W637" s="4" t="str">
        <f t="shared" si="5"/>
        <v>Unknown</v>
      </c>
      <c r="X637" s="4" t="str">
        <f t="shared" ref="X637:Z637" si="641">IF(Q637="","Unknown",Q637)</f>
        <v>Tobelo, Indonesia</v>
      </c>
      <c r="Y637" s="4" t="str">
        <f t="shared" si="641"/>
        <v>Unknown</v>
      </c>
      <c r="Z637" s="4" t="str">
        <f t="shared" si="641"/>
        <v>Indonesia</v>
      </c>
      <c r="AA637" s="4" t="str">
        <f t="shared" si="7"/>
        <v>mwb</v>
      </c>
    </row>
    <row r="638">
      <c r="A638" s="3" t="s">
        <v>1520</v>
      </c>
      <c r="B638" s="3">
        <v>6.8</v>
      </c>
      <c r="C638" s="19">
        <f>Raw_Data!T638</f>
        <v>39279.59514</v>
      </c>
      <c r="D638" s="3">
        <v>5.0</v>
      </c>
      <c r="E638" s="3">
        <v>4.0</v>
      </c>
      <c r="F638" s="4"/>
      <c r="G638" s="3">
        <v>0.0</v>
      </c>
      <c r="H638" s="3">
        <v>779.0</v>
      </c>
      <c r="I638" s="3" t="s">
        <v>110</v>
      </c>
      <c r="J638" s="3">
        <v>664.0</v>
      </c>
      <c r="K638" s="3">
        <v>0.0</v>
      </c>
      <c r="L638" s="3">
        <v>18.2</v>
      </c>
      <c r="M638" s="4" t="str">
        <f>Raw_Data!X638</f>
        <v>mwb</v>
      </c>
      <c r="N638" s="3">
        <v>350.4</v>
      </c>
      <c r="O638" s="3">
        <v>36.808</v>
      </c>
      <c r="P638" s="3">
        <v>134.85</v>
      </c>
      <c r="Q638" s="3" t="s">
        <v>1522</v>
      </c>
      <c r="R638" s="4"/>
      <c r="S638" s="4"/>
      <c r="T638" s="4" t="str">
        <f t="shared" si="2"/>
        <v>Valid</v>
      </c>
      <c r="U638" s="4">
        <f t="shared" si="3"/>
        <v>1</v>
      </c>
      <c r="V638" s="4" t="str">
        <f t="shared" si="4"/>
        <v>Unique</v>
      </c>
      <c r="W638" s="4" t="str">
        <f t="shared" si="5"/>
        <v>Unknown</v>
      </c>
      <c r="X638" s="4" t="str">
        <f t="shared" ref="X638:Z638" si="642">IF(Q638="","Unknown",Q638)</f>
        <v>Mikuni, Japan</v>
      </c>
      <c r="Y638" s="4" t="str">
        <f t="shared" si="642"/>
        <v>Unknown</v>
      </c>
      <c r="Z638" s="4" t="str">
        <f t="shared" si="642"/>
        <v>Unknown</v>
      </c>
      <c r="AA638" s="4" t="str">
        <f t="shared" si="7"/>
        <v>mwb</v>
      </c>
    </row>
    <row r="639">
      <c r="A639" s="3" t="s">
        <v>1523</v>
      </c>
      <c r="B639" s="3">
        <v>6.6</v>
      </c>
      <c r="C639" s="19">
        <f>Raw_Data!T639</f>
        <v>39279.05069</v>
      </c>
      <c r="D639" s="3">
        <v>8.0</v>
      </c>
      <c r="E639" s="3">
        <v>8.0</v>
      </c>
      <c r="F639" s="4"/>
      <c r="G639" s="3">
        <v>0.0</v>
      </c>
      <c r="H639" s="3">
        <v>831.0</v>
      </c>
      <c r="I639" s="3" t="s">
        <v>110</v>
      </c>
      <c r="J639" s="3">
        <v>782.0</v>
      </c>
      <c r="K639" s="3">
        <v>0.0</v>
      </c>
      <c r="L639" s="3">
        <v>16.7</v>
      </c>
      <c r="M639" s="4" t="str">
        <f>Raw_Data!X639</f>
        <v>mwc</v>
      </c>
      <c r="N639" s="3">
        <v>12.0</v>
      </c>
      <c r="O639" s="3">
        <v>37.535</v>
      </c>
      <c r="P639" s="3">
        <v>138.446</v>
      </c>
      <c r="Q639" s="3" t="s">
        <v>1525</v>
      </c>
      <c r="R639" s="3" t="s">
        <v>164</v>
      </c>
      <c r="S639" s="3" t="s">
        <v>371</v>
      </c>
      <c r="T639" s="4" t="str">
        <f t="shared" si="2"/>
        <v>Valid</v>
      </c>
      <c r="U639" s="4">
        <f t="shared" si="3"/>
        <v>1</v>
      </c>
      <c r="V639" s="4" t="str">
        <f t="shared" si="4"/>
        <v>Unique</v>
      </c>
      <c r="W639" s="4" t="str">
        <f t="shared" si="5"/>
        <v>Unknown</v>
      </c>
      <c r="X639" s="4" t="str">
        <f t="shared" ref="X639:Z639" si="643">IF(Q639="","Unknown",Q639)</f>
        <v>Kashiwazaki, Japan</v>
      </c>
      <c r="Y639" s="4" t="str">
        <f t="shared" si="643"/>
        <v>Asia</v>
      </c>
      <c r="Z639" s="4" t="str">
        <f t="shared" si="643"/>
        <v>Japan</v>
      </c>
      <c r="AA639" s="4" t="str">
        <f t="shared" si="7"/>
        <v>mwc</v>
      </c>
    </row>
    <row r="640">
      <c r="A640" s="3" t="s">
        <v>1526</v>
      </c>
      <c r="B640" s="3">
        <v>6.7</v>
      </c>
      <c r="C640" s="19">
        <f>Raw_Data!T640</f>
        <v>39246.81181</v>
      </c>
      <c r="D640" s="3">
        <v>6.0</v>
      </c>
      <c r="E640" s="3">
        <v>6.0</v>
      </c>
      <c r="F640" s="4"/>
      <c r="G640" s="3">
        <v>0.0</v>
      </c>
      <c r="H640" s="3">
        <v>972.0</v>
      </c>
      <c r="I640" s="3" t="s">
        <v>110</v>
      </c>
      <c r="J640" s="3">
        <v>468.0</v>
      </c>
      <c r="K640" s="3">
        <v>0.0</v>
      </c>
      <c r="L640" s="3">
        <v>37.7</v>
      </c>
      <c r="M640" s="4" t="str">
        <f>Raw_Data!X640</f>
        <v>mwc</v>
      </c>
      <c r="N640" s="3">
        <v>23.0</v>
      </c>
      <c r="O640" s="3">
        <v>13.554</v>
      </c>
      <c r="P640" s="3">
        <v>-90.618</v>
      </c>
      <c r="Q640" s="3" t="s">
        <v>1528</v>
      </c>
      <c r="R640" s="4"/>
      <c r="S640" s="4"/>
      <c r="T640" s="4" t="str">
        <f t="shared" si="2"/>
        <v>Valid</v>
      </c>
      <c r="U640" s="4">
        <f t="shared" si="3"/>
        <v>1</v>
      </c>
      <c r="V640" s="4" t="str">
        <f t="shared" si="4"/>
        <v>Unique</v>
      </c>
      <c r="W640" s="4" t="str">
        <f t="shared" si="5"/>
        <v>Unknown</v>
      </c>
      <c r="X640" s="4" t="str">
        <f t="shared" ref="X640:Z640" si="644">IF(Q640="","Unknown",Q640)</f>
        <v>Iztapa, Guatemala</v>
      </c>
      <c r="Y640" s="4" t="str">
        <f t="shared" si="644"/>
        <v>Unknown</v>
      </c>
      <c r="Z640" s="4" t="str">
        <f t="shared" si="644"/>
        <v>Unknown</v>
      </c>
      <c r="AA640" s="4" t="str">
        <f t="shared" si="7"/>
        <v>mwc</v>
      </c>
    </row>
    <row r="641">
      <c r="A641" s="3" t="s">
        <v>1529</v>
      </c>
      <c r="B641" s="3">
        <v>6.9</v>
      </c>
      <c r="C641" s="19">
        <f>Raw_Data!T641</f>
        <v>39173.88264</v>
      </c>
      <c r="D641" s="3">
        <v>0.0</v>
      </c>
      <c r="E641" s="3">
        <v>7.0</v>
      </c>
      <c r="F641" s="4"/>
      <c r="G641" s="3">
        <v>0.0</v>
      </c>
      <c r="H641" s="3">
        <v>732.0</v>
      </c>
      <c r="I641" s="3" t="s">
        <v>110</v>
      </c>
      <c r="J641" s="3">
        <v>305.0</v>
      </c>
      <c r="K641" s="3">
        <v>0.0</v>
      </c>
      <c r="L641" s="3">
        <v>15.3</v>
      </c>
      <c r="M641" s="4" t="str">
        <f>Raw_Data!X641</f>
        <v>mwc</v>
      </c>
      <c r="N641" s="3">
        <v>10.0</v>
      </c>
      <c r="O641" s="3">
        <v>-7.306</v>
      </c>
      <c r="P641" s="3">
        <v>155.741</v>
      </c>
      <c r="Q641" s="3" t="s">
        <v>728</v>
      </c>
      <c r="R641" s="4"/>
      <c r="S641" s="3" t="s">
        <v>214</v>
      </c>
      <c r="T641" s="4" t="str">
        <f t="shared" si="2"/>
        <v>Valid</v>
      </c>
      <c r="U641" s="4">
        <f t="shared" si="3"/>
        <v>1</v>
      </c>
      <c r="V641" s="4" t="str">
        <f t="shared" si="4"/>
        <v>Unique</v>
      </c>
      <c r="W641" s="4" t="str">
        <f t="shared" si="5"/>
        <v>Unknown</v>
      </c>
      <c r="X641" s="4" t="str">
        <f t="shared" ref="X641:Z641" si="645">IF(Q641="","Unknown",Q641)</f>
        <v>Panguna, Papua New Guinea</v>
      </c>
      <c r="Y641" s="4" t="str">
        <f t="shared" si="645"/>
        <v>Unknown</v>
      </c>
      <c r="Z641" s="4" t="str">
        <f t="shared" si="645"/>
        <v>Solomon Islands</v>
      </c>
      <c r="AA641" s="4" t="str">
        <f t="shared" si="7"/>
        <v>mwc</v>
      </c>
    </row>
    <row r="642">
      <c r="A642" s="3" t="s">
        <v>1530</v>
      </c>
      <c r="B642" s="3">
        <v>6.6</v>
      </c>
      <c r="C642" s="19">
        <f>Raw_Data!T642</f>
        <v>39173.86597</v>
      </c>
      <c r="D642" s="3">
        <v>0.0</v>
      </c>
      <c r="E642" s="3">
        <v>7.0</v>
      </c>
      <c r="F642" s="4"/>
      <c r="G642" s="3">
        <v>0.0</v>
      </c>
      <c r="H642" s="3">
        <v>670.0</v>
      </c>
      <c r="I642" s="3" t="s">
        <v>110</v>
      </c>
      <c r="J642" s="3">
        <v>251.0</v>
      </c>
      <c r="K642" s="3">
        <v>0.0</v>
      </c>
      <c r="L642" s="3">
        <v>16.0</v>
      </c>
      <c r="M642" s="4" t="str">
        <f>Raw_Data!X642</f>
        <v>mb</v>
      </c>
      <c r="N642" s="3">
        <v>10.0</v>
      </c>
      <c r="O642" s="3">
        <v>-7.169</v>
      </c>
      <c r="P642" s="3">
        <v>155.777</v>
      </c>
      <c r="Q642" s="3" t="s">
        <v>728</v>
      </c>
      <c r="R642" s="4"/>
      <c r="S642" s="3" t="s">
        <v>214</v>
      </c>
      <c r="T642" s="4" t="str">
        <f t="shared" si="2"/>
        <v>Valid</v>
      </c>
      <c r="U642" s="4">
        <f t="shared" si="3"/>
        <v>1</v>
      </c>
      <c r="V642" s="4" t="str">
        <f t="shared" si="4"/>
        <v>Unique</v>
      </c>
      <c r="W642" s="4" t="str">
        <f t="shared" si="5"/>
        <v>Unknown</v>
      </c>
      <c r="X642" s="4" t="str">
        <f t="shared" ref="X642:Z642" si="646">IF(Q642="","Unknown",Q642)</f>
        <v>Panguna, Papua New Guinea</v>
      </c>
      <c r="Y642" s="4" t="str">
        <f t="shared" si="646"/>
        <v>Unknown</v>
      </c>
      <c r="Z642" s="4" t="str">
        <f t="shared" si="646"/>
        <v>Solomon Islands</v>
      </c>
      <c r="AA642" s="4" t="str">
        <f t="shared" si="7"/>
        <v>mb</v>
      </c>
    </row>
    <row r="643">
      <c r="A643" s="3" t="s">
        <v>1531</v>
      </c>
      <c r="B643" s="3">
        <v>8.1</v>
      </c>
      <c r="C643" s="19">
        <f>Raw_Data!T643</f>
        <v>39173.86042</v>
      </c>
      <c r="D643" s="3">
        <v>9.0</v>
      </c>
      <c r="E643" s="3">
        <v>8.0</v>
      </c>
      <c r="F643" s="4"/>
      <c r="G643" s="3">
        <v>0.0</v>
      </c>
      <c r="H643" s="3">
        <v>1025.0</v>
      </c>
      <c r="I643" s="3" t="s">
        <v>110</v>
      </c>
      <c r="J643" s="3">
        <v>439.0</v>
      </c>
      <c r="K643" s="3">
        <v>0.0</v>
      </c>
      <c r="L643" s="3">
        <v>14.7</v>
      </c>
      <c r="M643" s="4" t="str">
        <f>Raw_Data!X643</f>
        <v>mwc</v>
      </c>
      <c r="N643" s="3">
        <v>24.0</v>
      </c>
      <c r="O643" s="3">
        <v>-8.466</v>
      </c>
      <c r="P643" s="3">
        <v>157.043</v>
      </c>
      <c r="Q643" s="3" t="s">
        <v>888</v>
      </c>
      <c r="R643" s="4"/>
      <c r="S643" s="3" t="s">
        <v>214</v>
      </c>
      <c r="T643" s="4" t="str">
        <f t="shared" si="2"/>
        <v>Valid</v>
      </c>
      <c r="U643" s="4">
        <f t="shared" si="3"/>
        <v>1</v>
      </c>
      <c r="V643" s="4" t="str">
        <f t="shared" si="4"/>
        <v>Unique</v>
      </c>
      <c r="W643" s="4" t="str">
        <f t="shared" si="5"/>
        <v>Unknown</v>
      </c>
      <c r="X643" s="4" t="str">
        <f t="shared" ref="X643:Z643" si="647">IF(Q643="","Unknown",Q643)</f>
        <v>Gizo, Solomon Islands</v>
      </c>
      <c r="Y643" s="4" t="str">
        <f t="shared" si="647"/>
        <v>Unknown</v>
      </c>
      <c r="Z643" s="4" t="str">
        <f t="shared" si="647"/>
        <v>Solomon Islands</v>
      </c>
      <c r="AA643" s="4" t="str">
        <f t="shared" si="7"/>
        <v>mwc</v>
      </c>
    </row>
    <row r="644">
      <c r="A644" s="3" t="s">
        <v>1532</v>
      </c>
      <c r="B644" s="3">
        <v>6.7</v>
      </c>
      <c r="C644" s="19">
        <f>Raw_Data!T644</f>
        <v>39166.02847</v>
      </c>
      <c r="D644" s="3">
        <v>7.0</v>
      </c>
      <c r="E644" s="3">
        <v>8.0</v>
      </c>
      <c r="F644" s="4"/>
      <c r="G644" s="3">
        <v>0.0</v>
      </c>
      <c r="H644" s="3">
        <v>782.0</v>
      </c>
      <c r="I644" s="3" t="s">
        <v>110</v>
      </c>
      <c r="J644" s="3">
        <v>493.0</v>
      </c>
      <c r="K644" s="3">
        <v>0.0</v>
      </c>
      <c r="L644" s="3">
        <v>23.9</v>
      </c>
      <c r="M644" s="4" t="str">
        <f>Raw_Data!X644</f>
        <v>mwc</v>
      </c>
      <c r="N644" s="3">
        <v>8.0</v>
      </c>
      <c r="O644" s="3">
        <v>37.336</v>
      </c>
      <c r="P644" s="3">
        <v>136.588</v>
      </c>
      <c r="Q644" s="3" t="s">
        <v>1534</v>
      </c>
      <c r="R644" s="3" t="s">
        <v>164</v>
      </c>
      <c r="S644" s="3" t="s">
        <v>371</v>
      </c>
      <c r="T644" s="4" t="str">
        <f t="shared" si="2"/>
        <v>Valid</v>
      </c>
      <c r="U644" s="4">
        <f t="shared" si="3"/>
        <v>1</v>
      </c>
      <c r="V644" s="4" t="str">
        <f t="shared" si="4"/>
        <v>Unique</v>
      </c>
      <c r="W644" s="4" t="str">
        <f t="shared" si="5"/>
        <v>Unknown</v>
      </c>
      <c r="X644" s="4" t="str">
        <f t="shared" ref="X644:Z644" si="648">IF(Q644="","Unknown",Q644)</f>
        <v>Nanao, Japan</v>
      </c>
      <c r="Y644" s="4" t="str">
        <f t="shared" si="648"/>
        <v>Asia</v>
      </c>
      <c r="Z644" s="4" t="str">
        <f t="shared" si="648"/>
        <v>Japan</v>
      </c>
      <c r="AA644" s="4" t="str">
        <f t="shared" si="7"/>
        <v>mwc</v>
      </c>
    </row>
    <row r="645">
      <c r="A645" s="3" t="s">
        <v>1535</v>
      </c>
      <c r="B645" s="3">
        <v>7.1</v>
      </c>
      <c r="C645" s="19">
        <f>Raw_Data!T645</f>
        <v>39166.02778</v>
      </c>
      <c r="D645" s="3">
        <v>3.0</v>
      </c>
      <c r="E645" s="3">
        <v>6.0</v>
      </c>
      <c r="F645" s="4"/>
      <c r="G645" s="3">
        <v>0.0</v>
      </c>
      <c r="H645" s="3">
        <v>779.0</v>
      </c>
      <c r="I645" s="3" t="s">
        <v>110</v>
      </c>
      <c r="J645" s="3">
        <v>426.0</v>
      </c>
      <c r="K645" s="3">
        <v>0.0</v>
      </c>
      <c r="L645" s="3">
        <v>25.3</v>
      </c>
      <c r="M645" s="4" t="str">
        <f>Raw_Data!X645</f>
        <v>mwb</v>
      </c>
      <c r="N645" s="3">
        <v>34.0</v>
      </c>
      <c r="O645" s="3">
        <v>-20.617</v>
      </c>
      <c r="P645" s="3">
        <v>169.357</v>
      </c>
      <c r="Q645" s="3" t="s">
        <v>246</v>
      </c>
      <c r="R645" s="4"/>
      <c r="S645" s="4"/>
      <c r="T645" s="4" t="str">
        <f t="shared" si="2"/>
        <v>Valid</v>
      </c>
      <c r="U645" s="4">
        <f t="shared" si="3"/>
        <v>1</v>
      </c>
      <c r="V645" s="4" t="str">
        <f t="shared" si="4"/>
        <v>Unique</v>
      </c>
      <c r="W645" s="4" t="str">
        <f t="shared" si="5"/>
        <v>Unknown</v>
      </c>
      <c r="X645" s="4" t="str">
        <f t="shared" ref="X645:Z645" si="649">IF(Q645="","Unknown",Q645)</f>
        <v>Isangel, Vanuatu</v>
      </c>
      <c r="Y645" s="4" t="str">
        <f t="shared" si="649"/>
        <v>Unknown</v>
      </c>
      <c r="Z645" s="4" t="str">
        <f t="shared" si="649"/>
        <v>Unknown</v>
      </c>
      <c r="AA645" s="4" t="str">
        <f t="shared" si="7"/>
        <v>mwb</v>
      </c>
    </row>
    <row r="646">
      <c r="A646" s="3" t="s">
        <v>1537</v>
      </c>
      <c r="B646" s="3">
        <v>6.7</v>
      </c>
      <c r="C646" s="19">
        <f>Raw_Data!T646</f>
        <v>39133.33611</v>
      </c>
      <c r="D646" s="3">
        <v>0.0</v>
      </c>
      <c r="E646" s="3">
        <v>6.0</v>
      </c>
      <c r="F646" s="4"/>
      <c r="G646" s="3">
        <v>0.0</v>
      </c>
      <c r="H646" s="3">
        <v>691.0</v>
      </c>
      <c r="I646" s="3" t="s">
        <v>110</v>
      </c>
      <c r="J646" s="3">
        <v>253.0</v>
      </c>
      <c r="K646" s="3">
        <v>0.0</v>
      </c>
      <c r="L646" s="3">
        <v>40.3</v>
      </c>
      <c r="M646" s="4" t="str">
        <f>Raw_Data!X646</f>
        <v>mwc</v>
      </c>
      <c r="N646" s="3">
        <v>12.0</v>
      </c>
      <c r="O646" s="3">
        <v>-1.034</v>
      </c>
      <c r="P646" s="3">
        <v>126.976</v>
      </c>
      <c r="Q646" s="3" t="s">
        <v>1539</v>
      </c>
      <c r="R646" s="4"/>
      <c r="S646" s="3" t="s">
        <v>153</v>
      </c>
      <c r="T646" s="4" t="str">
        <f t="shared" si="2"/>
        <v>Valid</v>
      </c>
      <c r="U646" s="4">
        <f t="shared" si="3"/>
        <v>1</v>
      </c>
      <c r="V646" s="4" t="str">
        <f t="shared" si="4"/>
        <v>Unique</v>
      </c>
      <c r="W646" s="4" t="str">
        <f t="shared" si="5"/>
        <v>Unknown</v>
      </c>
      <c r="X646" s="4" t="str">
        <f t="shared" ref="X646:Z646" si="650">IF(Q646="","Unknown",Q646)</f>
        <v>S</v>
      </c>
      <c r="Y646" s="4" t="str">
        <f t="shared" si="650"/>
        <v>Unknown</v>
      </c>
      <c r="Z646" s="4" t="str">
        <f t="shared" si="650"/>
        <v>Indonesia</v>
      </c>
      <c r="AA646" s="4" t="str">
        <f t="shared" si="7"/>
        <v>mwc</v>
      </c>
    </row>
    <row r="647">
      <c r="A647" s="3" t="s">
        <v>1540</v>
      </c>
      <c r="B647" s="3">
        <v>7.5</v>
      </c>
      <c r="C647" s="19">
        <f>Raw_Data!T647</f>
        <v>39103.47708</v>
      </c>
      <c r="D647" s="3">
        <v>6.0</v>
      </c>
      <c r="E647" s="3">
        <v>5.0</v>
      </c>
      <c r="F647" s="4"/>
      <c r="G647" s="3">
        <v>0.0</v>
      </c>
      <c r="H647" s="3">
        <v>874.0</v>
      </c>
      <c r="I647" s="3" t="s">
        <v>110</v>
      </c>
      <c r="J647" s="3">
        <v>570.0</v>
      </c>
      <c r="K647" s="3">
        <v>0.0</v>
      </c>
      <c r="L647" s="3">
        <v>21.6</v>
      </c>
      <c r="M647" s="4" t="str">
        <f>Raw_Data!X647</f>
        <v>mwc</v>
      </c>
      <c r="N647" s="3">
        <v>22.0</v>
      </c>
      <c r="O647" s="3">
        <v>1.065</v>
      </c>
      <c r="P647" s="3">
        <v>126.282</v>
      </c>
      <c r="Q647" s="3" t="s">
        <v>957</v>
      </c>
      <c r="R647" s="4"/>
      <c r="S647" s="3" t="s">
        <v>153</v>
      </c>
      <c r="T647" s="4" t="str">
        <f t="shared" si="2"/>
        <v>Valid</v>
      </c>
      <c r="U647" s="4">
        <f t="shared" si="3"/>
        <v>1</v>
      </c>
      <c r="V647" s="4" t="str">
        <f t="shared" si="4"/>
        <v>Unique</v>
      </c>
      <c r="W647" s="4" t="str">
        <f t="shared" si="5"/>
        <v>Unknown</v>
      </c>
      <c r="X647" s="4" t="str">
        <f t="shared" ref="X647:Z647" si="651">IF(Q647="","Unknown",Q647)</f>
        <v>Ternate, Indonesia</v>
      </c>
      <c r="Y647" s="4" t="str">
        <f t="shared" si="651"/>
        <v>Unknown</v>
      </c>
      <c r="Z647" s="4" t="str">
        <f t="shared" si="651"/>
        <v>Indonesia</v>
      </c>
      <c r="AA647" s="4" t="str">
        <f t="shared" si="7"/>
        <v>mwc</v>
      </c>
    </row>
    <row r="648">
      <c r="A648" s="3" t="s">
        <v>1542</v>
      </c>
      <c r="B648" s="3">
        <v>8.1</v>
      </c>
      <c r="C648" s="19">
        <f>Raw_Data!T648</f>
        <v>39095.18264</v>
      </c>
      <c r="D648" s="3">
        <v>4.0</v>
      </c>
      <c r="E648" s="3">
        <v>5.0</v>
      </c>
      <c r="F648" s="4"/>
      <c r="G648" s="3">
        <v>0.0</v>
      </c>
      <c r="H648" s="3">
        <v>1034.0</v>
      </c>
      <c r="I648" s="3" t="s">
        <v>110</v>
      </c>
      <c r="J648" s="3">
        <v>606.0</v>
      </c>
      <c r="K648" s="3">
        <v>0.0</v>
      </c>
      <c r="L648" s="3">
        <v>14.0</v>
      </c>
      <c r="M648" s="4" t="str">
        <f>Raw_Data!X648</f>
        <v>mwc</v>
      </c>
      <c r="N648" s="3">
        <v>10.0</v>
      </c>
      <c r="O648" s="3">
        <v>46.243</v>
      </c>
      <c r="P648" s="3">
        <v>154.524</v>
      </c>
      <c r="Q648" s="3" t="s">
        <v>1544</v>
      </c>
      <c r="R648" s="4"/>
      <c r="S648" s="4"/>
      <c r="T648" s="4" t="str">
        <f t="shared" si="2"/>
        <v>Valid</v>
      </c>
      <c r="U648" s="4">
        <f t="shared" si="3"/>
        <v>1</v>
      </c>
      <c r="V648" s="4" t="str">
        <f t="shared" si="4"/>
        <v>Unique</v>
      </c>
      <c r="W648" s="4" t="str">
        <f t="shared" si="5"/>
        <v>Unknown</v>
      </c>
      <c r="X648" s="4" t="str">
        <f t="shared" ref="X648:Z648" si="652">IF(Q648="","Unknown",Q648)</f>
        <v>the Kuril Islands</v>
      </c>
      <c r="Y648" s="4" t="str">
        <f t="shared" si="652"/>
        <v>Unknown</v>
      </c>
      <c r="Z648" s="4" t="str">
        <f t="shared" si="652"/>
        <v>Unknown</v>
      </c>
      <c r="AA648" s="4" t="str">
        <f t="shared" si="7"/>
        <v>mwc</v>
      </c>
    </row>
    <row r="649">
      <c r="A649" s="3" t="s">
        <v>1545</v>
      </c>
      <c r="B649" s="3">
        <v>6.9</v>
      </c>
      <c r="C649" s="19">
        <f>Raw_Data!T649</f>
        <v>39077.52361</v>
      </c>
      <c r="D649" s="3">
        <v>6.0</v>
      </c>
      <c r="E649" s="3">
        <v>7.0</v>
      </c>
      <c r="F649" s="4"/>
      <c r="G649" s="3">
        <v>0.0</v>
      </c>
      <c r="H649" s="3">
        <v>798.0</v>
      </c>
      <c r="I649" s="3" t="s">
        <v>110</v>
      </c>
      <c r="J649" s="3">
        <v>466.0</v>
      </c>
      <c r="K649" s="3">
        <v>0.0</v>
      </c>
      <c r="L649" s="3">
        <v>31.6</v>
      </c>
      <c r="M649" s="4" t="str">
        <f>Raw_Data!X649</f>
        <v>mwc</v>
      </c>
      <c r="N649" s="3">
        <v>10.0</v>
      </c>
      <c r="O649" s="3">
        <v>21.974</v>
      </c>
      <c r="P649" s="3">
        <v>120.493</v>
      </c>
      <c r="Q649" s="3" t="s">
        <v>1547</v>
      </c>
      <c r="R649" s="3" t="s">
        <v>164</v>
      </c>
      <c r="S649" s="3" t="s">
        <v>240</v>
      </c>
      <c r="T649" s="4" t="str">
        <f t="shared" si="2"/>
        <v>Valid</v>
      </c>
      <c r="U649" s="4">
        <f t="shared" si="3"/>
        <v>1</v>
      </c>
      <c r="V649" s="4" t="str">
        <f t="shared" si="4"/>
        <v>Unique</v>
      </c>
      <c r="W649" s="4" t="str">
        <f t="shared" si="5"/>
        <v>Unknown</v>
      </c>
      <c r="X649" s="4" t="str">
        <f t="shared" ref="X649:Z649" si="653">IF(Q649="","Unknown",Q649)</f>
        <v>Hengchun, Taiwan</v>
      </c>
      <c r="Y649" s="4" t="str">
        <f t="shared" si="653"/>
        <v>Asia</v>
      </c>
      <c r="Z649" s="4" t="str">
        <f t="shared" si="653"/>
        <v>Taiwan</v>
      </c>
      <c r="AA649" s="4" t="str">
        <f t="shared" si="7"/>
        <v>mwc</v>
      </c>
    </row>
    <row r="650">
      <c r="A650" s="3" t="s">
        <v>1548</v>
      </c>
      <c r="B650" s="3">
        <v>7.1</v>
      </c>
      <c r="C650" s="19">
        <f>Raw_Data!T650</f>
        <v>39077.51806</v>
      </c>
      <c r="D650" s="3">
        <v>8.0</v>
      </c>
      <c r="E650" s="3">
        <v>7.0</v>
      </c>
      <c r="F650" s="4"/>
      <c r="G650" s="3">
        <v>0.0</v>
      </c>
      <c r="H650" s="3">
        <v>1023.0</v>
      </c>
      <c r="I650" s="3" t="s">
        <v>110</v>
      </c>
      <c r="J650" s="3">
        <v>744.0</v>
      </c>
      <c r="K650" s="3">
        <v>0.0</v>
      </c>
      <c r="L650" s="3">
        <v>29.1</v>
      </c>
      <c r="M650" s="4" t="str">
        <f>Raw_Data!X650</f>
        <v>mwb</v>
      </c>
      <c r="N650" s="3">
        <v>10.0</v>
      </c>
      <c r="O650" s="3">
        <v>21.799</v>
      </c>
      <c r="P650" s="3">
        <v>120.547</v>
      </c>
      <c r="Q650" s="3" t="s">
        <v>1547</v>
      </c>
      <c r="R650" s="3" t="s">
        <v>164</v>
      </c>
      <c r="S650" s="3" t="s">
        <v>240</v>
      </c>
      <c r="T650" s="4" t="str">
        <f t="shared" si="2"/>
        <v>Valid</v>
      </c>
      <c r="U650" s="4">
        <f t="shared" si="3"/>
        <v>1</v>
      </c>
      <c r="V650" s="4" t="str">
        <f t="shared" si="4"/>
        <v>Unique</v>
      </c>
      <c r="W650" s="4" t="str">
        <f t="shared" si="5"/>
        <v>Unknown</v>
      </c>
      <c r="X650" s="4" t="str">
        <f t="shared" ref="X650:Z650" si="654">IF(Q650="","Unknown",Q650)</f>
        <v>Hengchun, Taiwan</v>
      </c>
      <c r="Y650" s="4" t="str">
        <f t="shared" si="654"/>
        <v>Asia</v>
      </c>
      <c r="Z650" s="4" t="str">
        <f t="shared" si="654"/>
        <v>Taiwan</v>
      </c>
      <c r="AA650" s="4" t="str">
        <f t="shared" si="7"/>
        <v>mwb</v>
      </c>
    </row>
    <row r="651">
      <c r="A651" s="3" t="s">
        <v>1550</v>
      </c>
      <c r="B651" s="3">
        <v>8.3</v>
      </c>
      <c r="C651" s="19">
        <f>Raw_Data!T651</f>
        <v>39036.46806</v>
      </c>
      <c r="D651" s="3">
        <v>4.0</v>
      </c>
      <c r="E651" s="3">
        <v>7.0</v>
      </c>
      <c r="F651" s="4"/>
      <c r="G651" s="3">
        <v>0.0</v>
      </c>
      <c r="H651" s="3">
        <v>1064.0</v>
      </c>
      <c r="I651" s="3" t="s">
        <v>110</v>
      </c>
      <c r="J651" s="3">
        <v>576.0</v>
      </c>
      <c r="K651" s="3">
        <v>0.0</v>
      </c>
      <c r="L651" s="3">
        <v>20.9</v>
      </c>
      <c r="M651" s="4" t="str">
        <f>Raw_Data!X651</f>
        <v>mwc</v>
      </c>
      <c r="N651" s="3">
        <v>10.0</v>
      </c>
      <c r="O651" s="3">
        <v>46.592</v>
      </c>
      <c r="P651" s="3">
        <v>153.266</v>
      </c>
      <c r="Q651" s="3" t="s">
        <v>1552</v>
      </c>
      <c r="R651" s="4"/>
      <c r="S651" s="4"/>
      <c r="T651" s="4" t="str">
        <f t="shared" si="2"/>
        <v>Valid</v>
      </c>
      <c r="U651" s="4">
        <f t="shared" si="3"/>
        <v>1</v>
      </c>
      <c r="V651" s="4" t="str">
        <f t="shared" si="4"/>
        <v>Unique</v>
      </c>
      <c r="W651" s="4" t="str">
        <f t="shared" si="5"/>
        <v>Unknown</v>
      </c>
      <c r="X651" s="4" t="str">
        <f t="shared" ref="X651:Z651" si="655">IF(Q651="","Unknown",Q651)</f>
        <v>Kuril Islands</v>
      </c>
      <c r="Y651" s="4" t="str">
        <f t="shared" si="655"/>
        <v>Unknown</v>
      </c>
      <c r="Z651" s="4" t="str">
        <f t="shared" si="655"/>
        <v>Unknown</v>
      </c>
      <c r="AA651" s="4" t="str">
        <f t="shared" si="7"/>
        <v>mwc</v>
      </c>
    </row>
    <row r="652">
      <c r="A652" s="3" t="s">
        <v>1553</v>
      </c>
      <c r="B652" s="3">
        <v>6.6</v>
      </c>
      <c r="C652" s="19">
        <f>Raw_Data!T652</f>
        <v>39028.73472</v>
      </c>
      <c r="D652" s="3">
        <v>0.0</v>
      </c>
      <c r="E652" s="3">
        <v>6.0</v>
      </c>
      <c r="F652" s="4"/>
      <c r="G652" s="3">
        <v>0.0</v>
      </c>
      <c r="H652" s="3">
        <v>670.0</v>
      </c>
      <c r="I652" s="3" t="s">
        <v>110</v>
      </c>
      <c r="J652" s="3">
        <v>352.0</v>
      </c>
      <c r="K652" s="3">
        <v>0.0</v>
      </c>
      <c r="L652" s="3">
        <v>18.6</v>
      </c>
      <c r="M652" s="4" t="str">
        <f>Raw_Data!X652</f>
        <v>mwc</v>
      </c>
      <c r="N652" s="3">
        <v>11.0</v>
      </c>
      <c r="O652" s="3">
        <v>-6.482</v>
      </c>
      <c r="P652" s="3">
        <v>151.195</v>
      </c>
      <c r="Q652" s="3" t="s">
        <v>187</v>
      </c>
      <c r="R652" s="4"/>
      <c r="S652" s="4"/>
      <c r="T652" s="4" t="str">
        <f t="shared" si="2"/>
        <v>Valid</v>
      </c>
      <c r="U652" s="4">
        <f t="shared" si="3"/>
        <v>1</v>
      </c>
      <c r="V652" s="4" t="str">
        <f t="shared" si="4"/>
        <v>Unique</v>
      </c>
      <c r="W652" s="4" t="str">
        <f t="shared" si="5"/>
        <v>Unknown</v>
      </c>
      <c r="X652" s="4" t="str">
        <f t="shared" ref="X652:Z652" si="656">IF(Q652="","Unknown",Q652)</f>
        <v>Kimbe, Papua New Guinea</v>
      </c>
      <c r="Y652" s="4" t="str">
        <f t="shared" si="656"/>
        <v>Unknown</v>
      </c>
      <c r="Z652" s="4" t="str">
        <f t="shared" si="656"/>
        <v>Unknown</v>
      </c>
      <c r="AA652" s="4" t="str">
        <f t="shared" si="7"/>
        <v>mwc</v>
      </c>
    </row>
    <row r="653">
      <c r="A653" s="3" t="s">
        <v>1554</v>
      </c>
      <c r="B653" s="3">
        <v>6.7</v>
      </c>
      <c r="C653" s="19">
        <f>Raw_Data!T653</f>
        <v>39010.45</v>
      </c>
      <c r="D653" s="3">
        <v>5.0</v>
      </c>
      <c r="E653" s="3">
        <v>6.0</v>
      </c>
      <c r="F653" s="4"/>
      <c r="G653" s="3">
        <v>0.0</v>
      </c>
      <c r="H653" s="3">
        <v>732.0</v>
      </c>
      <c r="I653" s="3" t="s">
        <v>110</v>
      </c>
      <c r="J653" s="3">
        <v>444.0</v>
      </c>
      <c r="K653" s="3">
        <v>0.0</v>
      </c>
      <c r="L653" s="3">
        <v>53.4</v>
      </c>
      <c r="M653" s="4" t="str">
        <f>Raw_Data!X653</f>
        <v>mwc</v>
      </c>
      <c r="N653" s="3">
        <v>23.0</v>
      </c>
      <c r="O653" s="3">
        <v>-13.457</v>
      </c>
      <c r="P653" s="3">
        <v>-76.677</v>
      </c>
      <c r="Q653" s="3" t="s">
        <v>1513</v>
      </c>
      <c r="R653" s="4"/>
      <c r="S653" s="3" t="s">
        <v>265</v>
      </c>
      <c r="T653" s="4" t="str">
        <f t="shared" si="2"/>
        <v>Valid</v>
      </c>
      <c r="U653" s="4">
        <f t="shared" si="3"/>
        <v>1</v>
      </c>
      <c r="V653" s="4" t="str">
        <f t="shared" si="4"/>
        <v>Unique</v>
      </c>
      <c r="W653" s="4" t="str">
        <f t="shared" si="5"/>
        <v>Unknown</v>
      </c>
      <c r="X653" s="4" t="str">
        <f t="shared" ref="X653:Z653" si="657">IF(Q653="","Unknown",Q653)</f>
        <v>San Vicente de Cañete, Peru</v>
      </c>
      <c r="Y653" s="4" t="str">
        <f t="shared" si="657"/>
        <v>Unknown</v>
      </c>
      <c r="Z653" s="4" t="str">
        <f t="shared" si="657"/>
        <v>Peru</v>
      </c>
      <c r="AA653" s="4" t="str">
        <f t="shared" si="7"/>
        <v>mwc</v>
      </c>
    </row>
    <row r="654">
      <c r="A654" s="3" t="s">
        <v>1556</v>
      </c>
      <c r="B654" s="3">
        <v>6.7</v>
      </c>
      <c r="C654" s="19">
        <f>Raw_Data!T654</f>
        <v>39007.05903</v>
      </c>
      <c r="D654" s="3">
        <v>5.0</v>
      </c>
      <c r="E654" s="3">
        <v>6.0</v>
      </c>
      <c r="F654" s="4"/>
      <c r="G654" s="3">
        <v>0.0</v>
      </c>
      <c r="H654" s="3">
        <v>692.0</v>
      </c>
      <c r="I654" s="3" t="s">
        <v>110</v>
      </c>
      <c r="J654" s="3">
        <v>533.0</v>
      </c>
      <c r="K654" s="3">
        <v>0.0</v>
      </c>
      <c r="L654" s="3">
        <v>15.6</v>
      </c>
      <c r="M654" s="4" t="str">
        <f>Raw_Data!X654</f>
        <v>mwc</v>
      </c>
      <c r="N654" s="3">
        <v>32.0</v>
      </c>
      <c r="O654" s="3">
        <v>-5.881</v>
      </c>
      <c r="P654" s="3">
        <v>150.982</v>
      </c>
      <c r="Q654" s="3" t="s">
        <v>187</v>
      </c>
      <c r="R654" s="4"/>
      <c r="S654" s="3" t="s">
        <v>168</v>
      </c>
      <c r="T654" s="4" t="str">
        <f t="shared" si="2"/>
        <v>Valid</v>
      </c>
      <c r="U654" s="4">
        <f t="shared" si="3"/>
        <v>1</v>
      </c>
      <c r="V654" s="4" t="str">
        <f t="shared" si="4"/>
        <v>Unique</v>
      </c>
      <c r="W654" s="4" t="str">
        <f t="shared" si="5"/>
        <v>Unknown</v>
      </c>
      <c r="X654" s="4" t="str">
        <f t="shared" ref="X654:Z654" si="658">IF(Q654="","Unknown",Q654)</f>
        <v>Kimbe, Papua New Guinea</v>
      </c>
      <c r="Y654" s="4" t="str">
        <f t="shared" si="658"/>
        <v>Unknown</v>
      </c>
      <c r="Z654" s="4" t="str">
        <f t="shared" si="658"/>
        <v>Papua New Guinea</v>
      </c>
      <c r="AA654" s="4" t="str">
        <f t="shared" si="7"/>
        <v>mwc</v>
      </c>
    </row>
    <row r="655">
      <c r="A655" s="3" t="s">
        <v>1558</v>
      </c>
      <c r="B655" s="3">
        <v>6.7</v>
      </c>
      <c r="C655" s="19">
        <f>Raw_Data!T655</f>
        <v>39005.71319</v>
      </c>
      <c r="D655" s="3">
        <v>8.0</v>
      </c>
      <c r="E655" s="3">
        <v>9.0</v>
      </c>
      <c r="F655" s="4"/>
      <c r="G655" s="3">
        <v>0.0</v>
      </c>
      <c r="H655" s="3">
        <v>1481.0</v>
      </c>
      <c r="I655" s="3" t="s">
        <v>623</v>
      </c>
      <c r="J655" s="3">
        <v>43.0</v>
      </c>
      <c r="K655" s="3">
        <v>0.0</v>
      </c>
      <c r="L655" s="3">
        <v>124.0</v>
      </c>
      <c r="M655" s="4" t="str">
        <f>Raw_Data!X655</f>
        <v>md</v>
      </c>
      <c r="N655" s="3">
        <v>38.182</v>
      </c>
      <c r="O655" s="3">
        <v>19.877</v>
      </c>
      <c r="P655" s="3">
        <v>-155.935</v>
      </c>
      <c r="Q655" s="3" t="s">
        <v>1561</v>
      </c>
      <c r="R655" s="4"/>
      <c r="S655" s="3" t="s">
        <v>318</v>
      </c>
      <c r="T655" s="4" t="str">
        <f t="shared" si="2"/>
        <v>Valid</v>
      </c>
      <c r="U655" s="4">
        <f t="shared" si="3"/>
        <v>1</v>
      </c>
      <c r="V655" s="4" t="str">
        <f t="shared" si="4"/>
        <v>Unique</v>
      </c>
      <c r="W655" s="4" t="str">
        <f t="shared" si="5"/>
        <v>Unknown</v>
      </c>
      <c r="X655" s="4" t="str">
        <f t="shared" ref="X655:Z655" si="659">IF(Q655="","Unknown",Q655)</f>
        <v>Puako, Hawaii</v>
      </c>
      <c r="Y655" s="4" t="str">
        <f t="shared" si="659"/>
        <v>Unknown</v>
      </c>
      <c r="Z655" s="4" t="str">
        <f t="shared" si="659"/>
        <v>United States of America</v>
      </c>
      <c r="AA655" s="4" t="str">
        <f t="shared" si="7"/>
        <v>md</v>
      </c>
    </row>
    <row r="656">
      <c r="A656" s="3" t="s">
        <v>1562</v>
      </c>
      <c r="B656" s="3">
        <v>6.9</v>
      </c>
      <c r="C656" s="19">
        <f>Raw_Data!T656</f>
        <v>38988.26528</v>
      </c>
      <c r="D656" s="3">
        <v>3.0</v>
      </c>
      <c r="E656" s="3">
        <v>3.0</v>
      </c>
      <c r="F656" s="4"/>
      <c r="G656" s="3">
        <v>0.0</v>
      </c>
      <c r="H656" s="3">
        <v>737.0</v>
      </c>
      <c r="I656" s="3" t="s">
        <v>110</v>
      </c>
      <c r="J656" s="3">
        <v>702.0</v>
      </c>
      <c r="K656" s="3">
        <v>0.0</v>
      </c>
      <c r="L656" s="3">
        <v>20.9</v>
      </c>
      <c r="M656" s="4" t="str">
        <f>Raw_Data!X656</f>
        <v>mwc</v>
      </c>
      <c r="N656" s="3">
        <v>28.0</v>
      </c>
      <c r="O656" s="3">
        <v>-16.592</v>
      </c>
      <c r="P656" s="3">
        <v>-172.033</v>
      </c>
      <c r="Q656" s="3" t="s">
        <v>147</v>
      </c>
      <c r="R656" s="4"/>
      <c r="S656" s="4"/>
      <c r="T656" s="4" t="str">
        <f t="shared" si="2"/>
        <v>Valid</v>
      </c>
      <c r="U656" s="4">
        <f t="shared" si="3"/>
        <v>1</v>
      </c>
      <c r="V656" s="4" t="str">
        <f t="shared" si="4"/>
        <v>Unique</v>
      </c>
      <c r="W656" s="4" t="str">
        <f t="shared" si="5"/>
        <v>Unknown</v>
      </c>
      <c r="X656" s="4" t="str">
        <f t="shared" ref="X656:Z656" si="660">IF(Q656="","Unknown",Q656)</f>
        <v>Hihifo, Tonga</v>
      </c>
      <c r="Y656" s="4" t="str">
        <f t="shared" si="660"/>
        <v>Unknown</v>
      </c>
      <c r="Z656" s="4" t="str">
        <f t="shared" si="660"/>
        <v>Unknown</v>
      </c>
      <c r="AA656" s="4" t="str">
        <f t="shared" si="7"/>
        <v>mwc</v>
      </c>
    </row>
    <row r="657">
      <c r="A657" s="3" t="s">
        <v>1564</v>
      </c>
      <c r="B657" s="3">
        <v>6.8</v>
      </c>
      <c r="C657" s="19">
        <f>Raw_Data!T657</f>
        <v>38961.42917</v>
      </c>
      <c r="D657" s="3">
        <v>0.0</v>
      </c>
      <c r="E657" s="3">
        <v>6.0</v>
      </c>
      <c r="F657" s="4"/>
      <c r="G657" s="3">
        <v>0.0</v>
      </c>
      <c r="H657" s="3">
        <v>711.0</v>
      </c>
      <c r="I657" s="3" t="s">
        <v>110</v>
      </c>
      <c r="J657" s="3">
        <v>459.0</v>
      </c>
      <c r="K657" s="3">
        <v>0.0</v>
      </c>
      <c r="L657" s="3">
        <v>28.4</v>
      </c>
      <c r="M657" s="4" t="str">
        <f>Raw_Data!X657</f>
        <v>mwb</v>
      </c>
      <c r="N657" s="3">
        <v>38.0</v>
      </c>
      <c r="O657" s="3">
        <v>-6.759</v>
      </c>
      <c r="P657" s="3">
        <v>155.512</v>
      </c>
      <c r="Q657" s="3" t="s">
        <v>728</v>
      </c>
      <c r="R657" s="4"/>
      <c r="S657" s="3" t="s">
        <v>168</v>
      </c>
      <c r="T657" s="4" t="str">
        <f t="shared" si="2"/>
        <v>Valid</v>
      </c>
      <c r="U657" s="4">
        <f t="shared" si="3"/>
        <v>1</v>
      </c>
      <c r="V657" s="4" t="str">
        <f t="shared" si="4"/>
        <v>Unique</v>
      </c>
      <c r="W657" s="4" t="str">
        <f t="shared" si="5"/>
        <v>Unknown</v>
      </c>
      <c r="X657" s="4" t="str">
        <f t="shared" ref="X657:Z657" si="661">IF(Q657="","Unknown",Q657)</f>
        <v>Panguna, Papua New Guinea</v>
      </c>
      <c r="Y657" s="4" t="str">
        <f t="shared" si="661"/>
        <v>Unknown</v>
      </c>
      <c r="Z657" s="4" t="str">
        <f t="shared" si="661"/>
        <v>Papua New Guinea</v>
      </c>
      <c r="AA657" s="4" t="str">
        <f t="shared" si="7"/>
        <v>mwb</v>
      </c>
    </row>
    <row r="658">
      <c r="A658" s="3" t="s">
        <v>1565</v>
      </c>
      <c r="B658" s="3">
        <v>6.5</v>
      </c>
      <c r="C658" s="19">
        <f>Raw_Data!T658</f>
        <v>38953.90972</v>
      </c>
      <c r="D658" s="3">
        <v>0.0</v>
      </c>
      <c r="E658" s="3">
        <v>6.0</v>
      </c>
      <c r="F658" s="4"/>
      <c r="G658" s="3">
        <v>0.0</v>
      </c>
      <c r="H658" s="3">
        <v>650.0</v>
      </c>
      <c r="I658" s="3" t="s">
        <v>110</v>
      </c>
      <c r="J658" s="3">
        <v>700.0</v>
      </c>
      <c r="K658" s="3">
        <v>0.0</v>
      </c>
      <c r="L658" s="3">
        <v>47.4</v>
      </c>
      <c r="M658" s="4" t="str">
        <f>Raw_Data!X658</f>
        <v>mwb</v>
      </c>
      <c r="N658" s="3">
        <v>43.0</v>
      </c>
      <c r="O658" s="3">
        <v>51.148</v>
      </c>
      <c r="P658" s="3">
        <v>157.522</v>
      </c>
      <c r="Q658" s="3" t="s">
        <v>583</v>
      </c>
      <c r="R658" s="3" t="s">
        <v>164</v>
      </c>
      <c r="S658" s="3" t="s">
        <v>464</v>
      </c>
      <c r="T658" s="4" t="str">
        <f t="shared" si="2"/>
        <v>Valid</v>
      </c>
      <c r="U658" s="4">
        <f t="shared" si="3"/>
        <v>1</v>
      </c>
      <c r="V658" s="4" t="str">
        <f t="shared" si="4"/>
        <v>Unique</v>
      </c>
      <c r="W658" s="4" t="str">
        <f t="shared" si="5"/>
        <v>Unknown</v>
      </c>
      <c r="X658" s="4" t="str">
        <f t="shared" ref="X658:Z658" si="662">IF(Q658="","Unknown",Q658)</f>
        <v>Ozernovskiy, Russia</v>
      </c>
      <c r="Y658" s="4" t="str">
        <f t="shared" si="662"/>
        <v>Asia</v>
      </c>
      <c r="Z658" s="4" t="str">
        <f t="shared" si="662"/>
        <v>Russia</v>
      </c>
      <c r="AA658" s="4" t="str">
        <f t="shared" si="7"/>
        <v>mwb</v>
      </c>
    </row>
    <row r="659">
      <c r="A659" s="3" t="s">
        <v>1567</v>
      </c>
      <c r="B659" s="3">
        <v>6.8</v>
      </c>
      <c r="C659" s="19">
        <f>Raw_Data!T659</f>
        <v>38936.92917</v>
      </c>
      <c r="D659" s="3">
        <v>5.0</v>
      </c>
      <c r="E659" s="3">
        <v>5.0</v>
      </c>
      <c r="F659" s="4"/>
      <c r="G659" s="3">
        <v>0.0</v>
      </c>
      <c r="H659" s="3">
        <v>713.0</v>
      </c>
      <c r="I659" s="3" t="s">
        <v>110</v>
      </c>
      <c r="J659" s="3">
        <v>551.0</v>
      </c>
      <c r="K659" s="3">
        <v>0.0</v>
      </c>
      <c r="L659" s="3">
        <v>26.2</v>
      </c>
      <c r="M659" s="4" t="str">
        <f>Raw_Data!X659</f>
        <v>mwb</v>
      </c>
      <c r="N659" s="3">
        <v>150.0</v>
      </c>
      <c r="O659" s="3">
        <v>-15.798</v>
      </c>
      <c r="P659" s="3">
        <v>167.789</v>
      </c>
      <c r="Q659" s="3" t="s">
        <v>803</v>
      </c>
      <c r="R659" s="4"/>
      <c r="S659" s="3" t="s">
        <v>113</v>
      </c>
      <c r="T659" s="4" t="str">
        <f t="shared" si="2"/>
        <v>Valid</v>
      </c>
      <c r="U659" s="4">
        <f t="shared" si="3"/>
        <v>1</v>
      </c>
      <c r="V659" s="4" t="str">
        <f t="shared" si="4"/>
        <v>Unique</v>
      </c>
      <c r="W659" s="4" t="str">
        <f t="shared" si="5"/>
        <v>Unknown</v>
      </c>
      <c r="X659" s="4" t="str">
        <f t="shared" ref="X659:Z659" si="663">IF(Q659="","Unknown",Q659)</f>
        <v>Norsup, Vanuatu</v>
      </c>
      <c r="Y659" s="4" t="str">
        <f t="shared" si="663"/>
        <v>Unknown</v>
      </c>
      <c r="Z659" s="4" t="str">
        <f t="shared" si="663"/>
        <v>Vanuatu</v>
      </c>
      <c r="AA659" s="4" t="str">
        <f t="shared" si="7"/>
        <v>mwb</v>
      </c>
    </row>
    <row r="660">
      <c r="A660" s="3" t="s">
        <v>1568</v>
      </c>
      <c r="B660" s="3">
        <v>7.7</v>
      </c>
      <c r="C660" s="19">
        <f>Raw_Data!T660</f>
        <v>38915.34653</v>
      </c>
      <c r="D660" s="3">
        <v>7.0</v>
      </c>
      <c r="E660" s="3">
        <v>5.0</v>
      </c>
      <c r="F660" s="4"/>
      <c r="G660" s="3">
        <v>0.0</v>
      </c>
      <c r="H660" s="3">
        <v>947.0</v>
      </c>
      <c r="I660" s="3" t="s">
        <v>110</v>
      </c>
      <c r="J660" s="3">
        <v>357.0</v>
      </c>
      <c r="K660" s="3">
        <v>0.0</v>
      </c>
      <c r="L660" s="3">
        <v>36.8</v>
      </c>
      <c r="M660" s="4" t="str">
        <f>Raw_Data!X660</f>
        <v>mwc</v>
      </c>
      <c r="N660" s="3">
        <v>20.0</v>
      </c>
      <c r="O660" s="3">
        <v>-9.284</v>
      </c>
      <c r="P660" s="3">
        <v>107.419</v>
      </c>
      <c r="Q660" s="3" t="s">
        <v>1570</v>
      </c>
      <c r="R660" s="4"/>
      <c r="S660" s="4"/>
      <c r="T660" s="4" t="str">
        <f t="shared" si="2"/>
        <v>Valid</v>
      </c>
      <c r="U660" s="4">
        <f t="shared" si="3"/>
        <v>1</v>
      </c>
      <c r="V660" s="4" t="str">
        <f t="shared" si="4"/>
        <v>Unique</v>
      </c>
      <c r="W660" s="4" t="str">
        <f t="shared" si="5"/>
        <v>Unknown</v>
      </c>
      <c r="X660" s="4" t="str">
        <f t="shared" ref="X660:Z660" si="664">IF(Q660="","Unknown",Q660)</f>
        <v>Singaparna, Indonesia</v>
      </c>
      <c r="Y660" s="4" t="str">
        <f t="shared" si="664"/>
        <v>Unknown</v>
      </c>
      <c r="Z660" s="4" t="str">
        <f t="shared" si="664"/>
        <v>Unknown</v>
      </c>
      <c r="AA660" s="4" t="str">
        <f t="shared" si="7"/>
        <v>mwc</v>
      </c>
    </row>
    <row r="661">
      <c r="A661" s="3" t="s">
        <v>1571</v>
      </c>
      <c r="B661" s="3">
        <v>6.5</v>
      </c>
      <c r="C661" s="19">
        <f>Raw_Data!T661</f>
        <v>38865.13333</v>
      </c>
      <c r="D661" s="3">
        <v>0.0</v>
      </c>
      <c r="E661" s="3">
        <v>6.0</v>
      </c>
      <c r="F661" s="4"/>
      <c r="G661" s="3">
        <v>0.0</v>
      </c>
      <c r="H661" s="3">
        <v>650.0</v>
      </c>
      <c r="I661" s="3" t="s">
        <v>110</v>
      </c>
      <c r="J661" s="3">
        <v>477.0</v>
      </c>
      <c r="K661" s="3">
        <v>0.0</v>
      </c>
      <c r="L661" s="3">
        <v>20.3</v>
      </c>
      <c r="M661" s="4" t="str">
        <f>Raw_Data!X661</f>
        <v>mwc</v>
      </c>
      <c r="N661" s="3">
        <v>34.0</v>
      </c>
      <c r="O661" s="3">
        <v>-5.724</v>
      </c>
      <c r="P661" s="3">
        <v>151.133</v>
      </c>
      <c r="Q661" s="3" t="s">
        <v>187</v>
      </c>
      <c r="R661" s="4"/>
      <c r="S661" s="3" t="s">
        <v>168</v>
      </c>
      <c r="T661" s="4" t="str">
        <f t="shared" si="2"/>
        <v>Valid</v>
      </c>
      <c r="U661" s="4">
        <f t="shared" si="3"/>
        <v>1</v>
      </c>
      <c r="V661" s="4" t="str">
        <f t="shared" si="4"/>
        <v>Unique</v>
      </c>
      <c r="W661" s="4" t="str">
        <f t="shared" si="5"/>
        <v>Unknown</v>
      </c>
      <c r="X661" s="4" t="str">
        <f t="shared" ref="X661:Z661" si="665">IF(Q661="","Unknown",Q661)</f>
        <v>Kimbe, Papua New Guinea</v>
      </c>
      <c r="Y661" s="4" t="str">
        <f t="shared" si="665"/>
        <v>Unknown</v>
      </c>
      <c r="Z661" s="4" t="str">
        <f t="shared" si="665"/>
        <v>Papua New Guinea</v>
      </c>
      <c r="AA661" s="4" t="str">
        <f t="shared" si="7"/>
        <v>mwc</v>
      </c>
    </row>
    <row r="662">
      <c r="A662" s="3" t="s">
        <v>1573</v>
      </c>
      <c r="B662" s="3">
        <v>6.6</v>
      </c>
      <c r="C662" s="19">
        <f>Raw_Data!T662</f>
        <v>38859.46667</v>
      </c>
      <c r="D662" s="3">
        <v>0.0</v>
      </c>
      <c r="E662" s="3">
        <v>7.0</v>
      </c>
      <c r="F662" s="4"/>
      <c r="G662" s="3">
        <v>0.0</v>
      </c>
      <c r="H662" s="3">
        <v>670.0</v>
      </c>
      <c r="I662" s="3" t="s">
        <v>110</v>
      </c>
      <c r="J662" s="3">
        <v>548.0</v>
      </c>
      <c r="K662" s="3">
        <v>0.0</v>
      </c>
      <c r="L662" s="3">
        <v>28.0</v>
      </c>
      <c r="M662" s="4" t="str">
        <f>Raw_Data!X662</f>
        <v>mwc</v>
      </c>
      <c r="N662" s="3">
        <v>19.0</v>
      </c>
      <c r="O662" s="3">
        <v>60.772</v>
      </c>
      <c r="P662" s="3">
        <v>165.743</v>
      </c>
      <c r="Q662" s="3" t="s">
        <v>1575</v>
      </c>
      <c r="R662" s="3" t="s">
        <v>164</v>
      </c>
      <c r="S662" s="3" t="s">
        <v>464</v>
      </c>
      <c r="T662" s="4" t="str">
        <f t="shared" si="2"/>
        <v>Valid</v>
      </c>
      <c r="U662" s="4">
        <f t="shared" si="3"/>
        <v>1</v>
      </c>
      <c r="V662" s="4" t="str">
        <f t="shared" si="4"/>
        <v>Unique</v>
      </c>
      <c r="W662" s="4" t="str">
        <f t="shared" si="5"/>
        <v>Unknown</v>
      </c>
      <c r="X662" s="4" t="str">
        <f t="shared" ref="X662:Z662" si="666">IF(Q662="","Unknown",Q662)</f>
        <v>Tilichiki, Russia</v>
      </c>
      <c r="Y662" s="4" t="str">
        <f t="shared" si="666"/>
        <v>Asia</v>
      </c>
      <c r="Z662" s="4" t="str">
        <f t="shared" si="666"/>
        <v>Russia</v>
      </c>
      <c r="AA662" s="4" t="str">
        <f t="shared" si="7"/>
        <v>mwc</v>
      </c>
    </row>
    <row r="663">
      <c r="A663" s="3" t="s">
        <v>1576</v>
      </c>
      <c r="B663" s="3">
        <v>6.8</v>
      </c>
      <c r="C663" s="19">
        <f>Raw_Data!T663</f>
        <v>38853.64444</v>
      </c>
      <c r="D663" s="3">
        <v>4.0</v>
      </c>
      <c r="E663" s="3">
        <v>5.0</v>
      </c>
      <c r="F663" s="4"/>
      <c r="G663" s="3">
        <v>0.0</v>
      </c>
      <c r="H663" s="3">
        <v>719.0</v>
      </c>
      <c r="I663" s="3" t="s">
        <v>110</v>
      </c>
      <c r="J663" s="3">
        <v>701.0</v>
      </c>
      <c r="K663" s="3">
        <v>0.0</v>
      </c>
      <c r="L663" s="3">
        <v>16.3</v>
      </c>
      <c r="M663" s="4" t="str">
        <f>Raw_Data!X663</f>
        <v>mwb</v>
      </c>
      <c r="N663" s="3">
        <v>12.0</v>
      </c>
      <c r="O663" s="3">
        <v>0.093</v>
      </c>
      <c r="P663" s="3">
        <v>97.05</v>
      </c>
      <c r="Q663" s="3" t="s">
        <v>1578</v>
      </c>
      <c r="R663" s="4"/>
      <c r="S663" s="4"/>
      <c r="T663" s="4" t="str">
        <f t="shared" si="2"/>
        <v>Valid</v>
      </c>
      <c r="U663" s="4">
        <f t="shared" si="3"/>
        <v>1</v>
      </c>
      <c r="V663" s="4" t="str">
        <f t="shared" si="4"/>
        <v>Unique</v>
      </c>
      <c r="W663" s="4" t="str">
        <f t="shared" si="5"/>
        <v>Unknown</v>
      </c>
      <c r="X663" s="4" t="str">
        <f t="shared" ref="X663:Z663" si="667">IF(Q663="","Unknown",Q663)</f>
        <v>Singkil, Indonesia</v>
      </c>
      <c r="Y663" s="4" t="str">
        <f t="shared" si="667"/>
        <v>Unknown</v>
      </c>
      <c r="Z663" s="4" t="str">
        <f t="shared" si="667"/>
        <v>Unknown</v>
      </c>
      <c r="AA663" s="4" t="str">
        <f t="shared" si="7"/>
        <v>mwb</v>
      </c>
    </row>
    <row r="664">
      <c r="A664" s="3" t="s">
        <v>1579</v>
      </c>
      <c r="B664" s="3">
        <v>8.0</v>
      </c>
      <c r="C664" s="19">
        <f>Raw_Data!T664</f>
        <v>38840.64306</v>
      </c>
      <c r="D664" s="3">
        <v>7.0</v>
      </c>
      <c r="E664" s="3">
        <v>7.0</v>
      </c>
      <c r="F664" s="4"/>
      <c r="G664" s="3">
        <v>0.0</v>
      </c>
      <c r="H664" s="3">
        <v>1013.0</v>
      </c>
      <c r="I664" s="3" t="s">
        <v>110</v>
      </c>
      <c r="J664" s="3">
        <v>626.0</v>
      </c>
      <c r="K664" s="3">
        <v>0.0</v>
      </c>
      <c r="L664" s="3">
        <v>20.7</v>
      </c>
      <c r="M664" s="4" t="str">
        <f>Raw_Data!X664</f>
        <v>mwc</v>
      </c>
      <c r="N664" s="3">
        <v>55.0</v>
      </c>
      <c r="O664" s="3">
        <v>-20.187</v>
      </c>
      <c r="P664" s="3">
        <v>-174.123</v>
      </c>
      <c r="Q664" s="3" t="s">
        <v>377</v>
      </c>
      <c r="R664" s="4"/>
      <c r="S664" s="4"/>
      <c r="T664" s="4" t="str">
        <f t="shared" si="2"/>
        <v>Valid</v>
      </c>
      <c r="U664" s="4">
        <f t="shared" si="3"/>
        <v>1</v>
      </c>
      <c r="V664" s="4" t="str">
        <f t="shared" si="4"/>
        <v>Unique</v>
      </c>
      <c r="W664" s="4" t="str">
        <f t="shared" si="5"/>
        <v>Unknown</v>
      </c>
      <c r="X664" s="4" t="str">
        <f t="shared" ref="X664:Z664" si="668">IF(Q664="","Unknown",Q664)</f>
        <v>Pangai, Tonga</v>
      </c>
      <c r="Y664" s="4" t="str">
        <f t="shared" si="668"/>
        <v>Unknown</v>
      </c>
      <c r="Z664" s="4" t="str">
        <f t="shared" si="668"/>
        <v>Unknown</v>
      </c>
      <c r="AA664" s="4" t="str">
        <f t="shared" si="7"/>
        <v>mwc</v>
      </c>
    </row>
    <row r="665">
      <c r="A665" s="3" t="s">
        <v>1580</v>
      </c>
      <c r="B665" s="3">
        <v>8.0</v>
      </c>
      <c r="C665" s="19">
        <f>Raw_Data!T665</f>
        <v>38840.64306</v>
      </c>
      <c r="D665" s="3">
        <v>8.0</v>
      </c>
      <c r="E665" s="3">
        <v>9.0</v>
      </c>
      <c r="F665" s="4"/>
      <c r="G665" s="3">
        <v>0.0</v>
      </c>
      <c r="H665" s="3">
        <v>1026.0</v>
      </c>
      <c r="I665" s="3" t="s">
        <v>1432</v>
      </c>
      <c r="J665" s="3">
        <v>0.0</v>
      </c>
      <c r="K665" s="3">
        <v>0.0</v>
      </c>
      <c r="L665" s="3">
        <v>0.0</v>
      </c>
      <c r="M665" s="4" t="str">
        <f>Raw_Data!X665</f>
        <v>mww</v>
      </c>
      <c r="N665" s="3">
        <v>60.5</v>
      </c>
      <c r="O665" s="3">
        <v>-19.99</v>
      </c>
      <c r="P665" s="3">
        <v>-173.907</v>
      </c>
      <c r="Q665" s="3" t="s">
        <v>377</v>
      </c>
      <c r="R665" s="4"/>
      <c r="S665" s="4"/>
      <c r="T665" s="4" t="str">
        <f t="shared" si="2"/>
        <v>Valid</v>
      </c>
      <c r="U665" s="4">
        <f t="shared" si="3"/>
        <v>1</v>
      </c>
      <c r="V665" s="4" t="str">
        <f t="shared" si="4"/>
        <v>Unique</v>
      </c>
      <c r="W665" s="4" t="str">
        <f t="shared" si="5"/>
        <v>Unknown</v>
      </c>
      <c r="X665" s="4" t="str">
        <f t="shared" ref="X665:Z665" si="669">IF(Q665="","Unknown",Q665)</f>
        <v>Pangai, Tonga</v>
      </c>
      <c r="Y665" s="4" t="str">
        <f t="shared" si="669"/>
        <v>Unknown</v>
      </c>
      <c r="Z665" s="4" t="str">
        <f t="shared" si="669"/>
        <v>Unknown</v>
      </c>
      <c r="AA665" s="4" t="str">
        <f t="shared" si="7"/>
        <v>mww</v>
      </c>
    </row>
    <row r="666">
      <c r="A666" s="3" t="s">
        <v>1581</v>
      </c>
      <c r="B666" s="3">
        <v>6.5</v>
      </c>
      <c r="C666" s="19">
        <f>Raw_Data!T666</f>
        <v>38837.90278</v>
      </c>
      <c r="D666" s="3">
        <v>7.0</v>
      </c>
      <c r="E666" s="3">
        <v>7.0</v>
      </c>
      <c r="F666" s="4"/>
      <c r="G666" s="3">
        <v>0.0</v>
      </c>
      <c r="H666" s="3">
        <v>653.0</v>
      </c>
      <c r="I666" s="3" t="s">
        <v>110</v>
      </c>
      <c r="J666" s="3">
        <v>282.0</v>
      </c>
      <c r="K666" s="3">
        <v>0.0</v>
      </c>
      <c r="L666" s="3">
        <v>46.3</v>
      </c>
      <c r="M666" s="4" t="str">
        <f>Raw_Data!X666</f>
        <v>mwc</v>
      </c>
      <c r="N666" s="3">
        <v>12.0</v>
      </c>
      <c r="O666" s="3">
        <v>-27.211</v>
      </c>
      <c r="P666" s="3">
        <v>-71.056</v>
      </c>
      <c r="Q666" s="3" t="s">
        <v>1583</v>
      </c>
      <c r="R666" s="4"/>
      <c r="S666" s="3" t="s">
        <v>414</v>
      </c>
      <c r="T666" s="4" t="str">
        <f t="shared" si="2"/>
        <v>Valid</v>
      </c>
      <c r="U666" s="4">
        <f t="shared" si="3"/>
        <v>1</v>
      </c>
      <c r="V666" s="4" t="str">
        <f t="shared" si="4"/>
        <v>Unique</v>
      </c>
      <c r="W666" s="4" t="str">
        <f t="shared" si="5"/>
        <v>Unknown</v>
      </c>
      <c r="X666" s="4" t="str">
        <f t="shared" ref="X666:Z666" si="670">IF(Q666="","Unknown",Q666)</f>
        <v>Copiapó, Chile</v>
      </c>
      <c r="Y666" s="4" t="str">
        <f t="shared" si="670"/>
        <v>Unknown</v>
      </c>
      <c r="Z666" s="4" t="str">
        <f t="shared" si="670"/>
        <v>Chile</v>
      </c>
      <c r="AA666" s="4" t="str">
        <f t="shared" si="7"/>
        <v>mwc</v>
      </c>
    </row>
    <row r="667">
      <c r="A667" s="3" t="s">
        <v>1584</v>
      </c>
      <c r="B667" s="3">
        <v>6.7</v>
      </c>
      <c r="C667" s="19">
        <f>Raw_Data!T667</f>
        <v>38837.80347</v>
      </c>
      <c r="D667" s="3">
        <v>6.0</v>
      </c>
      <c r="E667" s="3">
        <v>7.0</v>
      </c>
      <c r="F667" s="4"/>
      <c r="G667" s="3">
        <v>0.0</v>
      </c>
      <c r="H667" s="3">
        <v>696.0</v>
      </c>
      <c r="I667" s="3" t="s">
        <v>110</v>
      </c>
      <c r="J667" s="3">
        <v>277.0</v>
      </c>
      <c r="K667" s="3">
        <v>0.0</v>
      </c>
      <c r="L667" s="3">
        <v>25.6</v>
      </c>
      <c r="M667" s="4" t="str">
        <f>Raw_Data!X667</f>
        <v>mwb</v>
      </c>
      <c r="N667" s="3">
        <v>12.0</v>
      </c>
      <c r="O667" s="3">
        <v>-27.017</v>
      </c>
      <c r="P667" s="3">
        <v>-71.022</v>
      </c>
      <c r="Q667" s="3" t="s">
        <v>1583</v>
      </c>
      <c r="R667" s="4"/>
      <c r="S667" s="3" t="s">
        <v>414</v>
      </c>
      <c r="T667" s="4" t="str">
        <f t="shared" si="2"/>
        <v>Valid</v>
      </c>
      <c r="U667" s="4">
        <f t="shared" si="3"/>
        <v>1</v>
      </c>
      <c r="V667" s="4" t="str">
        <f t="shared" si="4"/>
        <v>Unique</v>
      </c>
      <c r="W667" s="4" t="str">
        <f t="shared" si="5"/>
        <v>Unknown</v>
      </c>
      <c r="X667" s="4" t="str">
        <f t="shared" ref="X667:Z667" si="671">IF(Q667="","Unknown",Q667)</f>
        <v>Copiapó, Chile</v>
      </c>
      <c r="Y667" s="4" t="str">
        <f t="shared" si="671"/>
        <v>Unknown</v>
      </c>
      <c r="Z667" s="4" t="str">
        <f t="shared" si="671"/>
        <v>Chile</v>
      </c>
      <c r="AA667" s="4" t="str">
        <f t="shared" si="7"/>
        <v>mwb</v>
      </c>
    </row>
    <row r="668">
      <c r="A668" s="3" t="s">
        <v>1586</v>
      </c>
      <c r="B668" s="3">
        <v>6.6</v>
      </c>
      <c r="C668" s="19">
        <f>Raw_Data!T668</f>
        <v>38836.70694</v>
      </c>
      <c r="D668" s="3">
        <v>0.0</v>
      </c>
      <c r="E668" s="3">
        <v>8.0</v>
      </c>
      <c r="F668" s="4"/>
      <c r="G668" s="3">
        <v>0.0</v>
      </c>
      <c r="H668" s="3">
        <v>670.0</v>
      </c>
      <c r="I668" s="3" t="s">
        <v>110</v>
      </c>
      <c r="J668" s="3">
        <v>645.0</v>
      </c>
      <c r="K668" s="3">
        <v>0.0</v>
      </c>
      <c r="L668" s="3">
        <v>28.4</v>
      </c>
      <c r="M668" s="4" t="str">
        <f>Raw_Data!X668</f>
        <v>mwc</v>
      </c>
      <c r="N668" s="3">
        <v>11.0</v>
      </c>
      <c r="O668" s="3">
        <v>60.491</v>
      </c>
      <c r="P668" s="3">
        <v>167.516</v>
      </c>
      <c r="Q668" s="3" t="s">
        <v>1575</v>
      </c>
      <c r="R668" s="3" t="s">
        <v>164</v>
      </c>
      <c r="S668" s="3" t="s">
        <v>464</v>
      </c>
      <c r="T668" s="4" t="str">
        <f t="shared" si="2"/>
        <v>Valid</v>
      </c>
      <c r="U668" s="4">
        <f t="shared" si="3"/>
        <v>1</v>
      </c>
      <c r="V668" s="4" t="str">
        <f t="shared" si="4"/>
        <v>Unique</v>
      </c>
      <c r="W668" s="4" t="str">
        <f t="shared" si="5"/>
        <v>Unknown</v>
      </c>
      <c r="X668" s="4" t="str">
        <f t="shared" ref="X668:Z668" si="672">IF(Q668="","Unknown",Q668)</f>
        <v>Tilichiki, Russia</v>
      </c>
      <c r="Y668" s="4" t="str">
        <f t="shared" si="672"/>
        <v>Asia</v>
      </c>
      <c r="Z668" s="4" t="str">
        <f t="shared" si="672"/>
        <v>Russia</v>
      </c>
      <c r="AA668" s="4" t="str">
        <f t="shared" si="7"/>
        <v>mwc</v>
      </c>
    </row>
    <row r="669">
      <c r="A669" s="3" t="s">
        <v>1588</v>
      </c>
      <c r="B669" s="3">
        <v>7.6</v>
      </c>
      <c r="C669" s="19">
        <f>Raw_Data!T669</f>
        <v>38827.97569</v>
      </c>
      <c r="D669" s="3">
        <v>0.0</v>
      </c>
      <c r="E669" s="3">
        <v>8.0</v>
      </c>
      <c r="F669" s="4"/>
      <c r="G669" s="3">
        <v>0.0</v>
      </c>
      <c r="H669" s="3">
        <v>889.0</v>
      </c>
      <c r="I669" s="3" t="s">
        <v>110</v>
      </c>
      <c r="J669" s="3">
        <v>579.0</v>
      </c>
      <c r="K669" s="3">
        <v>0.0</v>
      </c>
      <c r="L669" s="3">
        <v>18.5</v>
      </c>
      <c r="M669" s="4" t="str">
        <f>Raw_Data!X669</f>
        <v>mwc</v>
      </c>
      <c r="N669" s="3">
        <v>22.0</v>
      </c>
      <c r="O669" s="3">
        <v>60.949</v>
      </c>
      <c r="P669" s="3">
        <v>167.089</v>
      </c>
      <c r="Q669" s="3" t="s">
        <v>1575</v>
      </c>
      <c r="R669" s="3" t="s">
        <v>164</v>
      </c>
      <c r="S669" s="3" t="s">
        <v>464</v>
      </c>
      <c r="T669" s="4" t="str">
        <f t="shared" si="2"/>
        <v>Valid</v>
      </c>
      <c r="U669" s="4">
        <f t="shared" si="3"/>
        <v>1</v>
      </c>
      <c r="V669" s="4" t="str">
        <f t="shared" si="4"/>
        <v>Unique</v>
      </c>
      <c r="W669" s="4" t="str">
        <f t="shared" si="5"/>
        <v>Unknown</v>
      </c>
      <c r="X669" s="4" t="str">
        <f t="shared" ref="X669:Z669" si="673">IF(Q669="","Unknown",Q669)</f>
        <v>Tilichiki, Russia</v>
      </c>
      <c r="Y669" s="4" t="str">
        <f t="shared" si="673"/>
        <v>Asia</v>
      </c>
      <c r="Z669" s="4" t="str">
        <f t="shared" si="673"/>
        <v>Russia</v>
      </c>
      <c r="AA669" s="4" t="str">
        <f t="shared" si="7"/>
        <v>mwc</v>
      </c>
    </row>
    <row r="670">
      <c r="A670" s="3" t="s">
        <v>1590</v>
      </c>
      <c r="B670" s="3">
        <v>6.5</v>
      </c>
      <c r="C670" s="19">
        <f>Raw_Data!T670</f>
        <v>38814.35417</v>
      </c>
      <c r="D670" s="3">
        <v>3.0</v>
      </c>
      <c r="E670" s="3">
        <v>5.0</v>
      </c>
      <c r="F670" s="4"/>
      <c r="G670" s="3">
        <v>0.0</v>
      </c>
      <c r="H670" s="3">
        <v>654.0</v>
      </c>
      <c r="I670" s="3" t="s">
        <v>110</v>
      </c>
      <c r="J670" s="3">
        <v>247.0</v>
      </c>
      <c r="K670" s="3">
        <v>0.0</v>
      </c>
      <c r="L670" s="3">
        <v>25.5</v>
      </c>
      <c r="M670" s="4" t="str">
        <f>Raw_Data!X670</f>
        <v>mwc</v>
      </c>
      <c r="N670" s="3">
        <v>14.0</v>
      </c>
      <c r="O670" s="3">
        <v>-16.527</v>
      </c>
      <c r="P670" s="3">
        <v>176.989</v>
      </c>
      <c r="Q670" s="3" t="s">
        <v>1591</v>
      </c>
      <c r="R670" s="4"/>
      <c r="S670" s="4"/>
      <c r="T670" s="4" t="str">
        <f t="shared" si="2"/>
        <v>Valid</v>
      </c>
      <c r="U670" s="4">
        <f t="shared" si="3"/>
        <v>1</v>
      </c>
      <c r="V670" s="4" t="str">
        <f t="shared" si="4"/>
        <v>Unique</v>
      </c>
      <c r="W670" s="4" t="str">
        <f t="shared" si="5"/>
        <v>Unknown</v>
      </c>
      <c r="X670" s="4" t="str">
        <f t="shared" ref="X670:Z670" si="674">IF(Q670="","Unknown",Q670)</f>
        <v>Lautoka, Fiji</v>
      </c>
      <c r="Y670" s="4" t="str">
        <f t="shared" si="674"/>
        <v>Unknown</v>
      </c>
      <c r="Z670" s="4" t="str">
        <f t="shared" si="674"/>
        <v>Unknown</v>
      </c>
      <c r="AA670" s="4" t="str">
        <f t="shared" si="7"/>
        <v>mwc</v>
      </c>
    </row>
    <row r="671">
      <c r="A671" s="3" t="s">
        <v>1592</v>
      </c>
      <c r="B671" s="3">
        <v>6.7</v>
      </c>
      <c r="C671" s="19">
        <f>Raw_Data!T671</f>
        <v>38790.28958</v>
      </c>
      <c r="D671" s="3">
        <v>0.0</v>
      </c>
      <c r="E671" s="3">
        <v>7.0</v>
      </c>
      <c r="F671" s="4"/>
      <c r="G671" s="3">
        <v>0.0</v>
      </c>
      <c r="H671" s="3">
        <v>691.0</v>
      </c>
      <c r="I671" s="3" t="s">
        <v>110</v>
      </c>
      <c r="J671" s="3">
        <v>306.0</v>
      </c>
      <c r="K671" s="3">
        <v>0.0</v>
      </c>
      <c r="L671" s="3">
        <v>21.3</v>
      </c>
      <c r="M671" s="4" t="str">
        <f>Raw_Data!X671</f>
        <v>mwb</v>
      </c>
      <c r="N671" s="3">
        <v>30.1</v>
      </c>
      <c r="O671" s="3">
        <v>-3.595</v>
      </c>
      <c r="P671" s="3">
        <v>127.214</v>
      </c>
      <c r="Q671" s="3" t="s">
        <v>1594</v>
      </c>
      <c r="R671" s="4"/>
      <c r="S671" s="3" t="s">
        <v>153</v>
      </c>
      <c r="T671" s="4" t="str">
        <f t="shared" si="2"/>
        <v>Valid</v>
      </c>
      <c r="U671" s="4">
        <f t="shared" si="3"/>
        <v>1</v>
      </c>
      <c r="V671" s="4" t="str">
        <f t="shared" si="4"/>
        <v>Unique</v>
      </c>
      <c r="W671" s="4" t="str">
        <f t="shared" si="5"/>
        <v>Unknown</v>
      </c>
      <c r="X671" s="4" t="str">
        <f t="shared" ref="X671:Z671" si="675">IF(Q671="","Unknown",Q671)</f>
        <v>Ambon, Indonesia</v>
      </c>
      <c r="Y671" s="4" t="str">
        <f t="shared" si="675"/>
        <v>Unknown</v>
      </c>
      <c r="Z671" s="4" t="str">
        <f t="shared" si="675"/>
        <v>Indonesia</v>
      </c>
      <c r="AA671" s="4" t="str">
        <f t="shared" si="7"/>
        <v>mwb</v>
      </c>
    </row>
    <row r="672">
      <c r="A672" s="3" t="s">
        <v>1595</v>
      </c>
      <c r="B672" s="3">
        <v>7.0</v>
      </c>
      <c r="C672" s="19">
        <f>Raw_Data!T672</f>
        <v>38770.92986</v>
      </c>
      <c r="D672" s="3">
        <v>5.0</v>
      </c>
      <c r="E672" s="3">
        <v>9.0</v>
      </c>
      <c r="F672" s="4"/>
      <c r="G672" s="3">
        <v>0.0</v>
      </c>
      <c r="H672" s="3">
        <v>891.0</v>
      </c>
      <c r="I672" s="3" t="s">
        <v>110</v>
      </c>
      <c r="J672" s="3">
        <v>412.0</v>
      </c>
      <c r="K672" s="3">
        <v>0.0</v>
      </c>
      <c r="L672" s="3">
        <v>23.2</v>
      </c>
      <c r="M672" s="4" t="str">
        <f>Raw_Data!X672</f>
        <v>mwb</v>
      </c>
      <c r="N672" s="3">
        <v>11.0</v>
      </c>
      <c r="O672" s="3">
        <v>-21.324</v>
      </c>
      <c r="P672" s="3">
        <v>33.583</v>
      </c>
      <c r="Q672" s="3" t="s">
        <v>1597</v>
      </c>
      <c r="R672" s="3" t="s">
        <v>715</v>
      </c>
      <c r="S672" s="3" t="s">
        <v>1598</v>
      </c>
      <c r="T672" s="4" t="str">
        <f t="shared" si="2"/>
        <v>Valid</v>
      </c>
      <c r="U672" s="4">
        <f t="shared" si="3"/>
        <v>1</v>
      </c>
      <c r="V672" s="4" t="str">
        <f t="shared" si="4"/>
        <v>Unique</v>
      </c>
      <c r="W672" s="4" t="str">
        <f t="shared" si="5"/>
        <v>Unknown</v>
      </c>
      <c r="X672" s="4" t="str">
        <f t="shared" ref="X672:Z672" si="676">IF(Q672="","Unknown",Q672)</f>
        <v>Chipinge, Zimbabwe</v>
      </c>
      <c r="Y672" s="4" t="str">
        <f t="shared" si="676"/>
        <v>Africa</v>
      </c>
      <c r="Z672" s="4" t="str">
        <f t="shared" si="676"/>
        <v>Mozambique</v>
      </c>
      <c r="AA672" s="4" t="str">
        <f t="shared" si="7"/>
        <v>mwb</v>
      </c>
    </row>
    <row r="673">
      <c r="A673" s="3" t="s">
        <v>1599</v>
      </c>
      <c r="B673" s="3">
        <v>6.7</v>
      </c>
      <c r="C673" s="19">
        <f>Raw_Data!T673</f>
        <v>38725.48194</v>
      </c>
      <c r="D673" s="3">
        <v>7.0</v>
      </c>
      <c r="E673" s="3">
        <v>6.0</v>
      </c>
      <c r="F673" s="4"/>
      <c r="G673" s="3">
        <v>0.0</v>
      </c>
      <c r="H673" s="3">
        <v>934.0</v>
      </c>
      <c r="I673" s="3" t="s">
        <v>110</v>
      </c>
      <c r="J673" s="3">
        <v>769.0</v>
      </c>
      <c r="K673" s="3">
        <v>0.0</v>
      </c>
      <c r="L673" s="3">
        <v>19.7</v>
      </c>
      <c r="M673" s="4" t="str">
        <f>Raw_Data!X673</f>
        <v>mwb</v>
      </c>
      <c r="N673" s="3">
        <v>66.0</v>
      </c>
      <c r="O673" s="3">
        <v>36.311</v>
      </c>
      <c r="P673" s="3">
        <v>23.212</v>
      </c>
      <c r="Q673" s="3" t="s">
        <v>1600</v>
      </c>
      <c r="R673" s="3" t="s">
        <v>404</v>
      </c>
      <c r="S673" s="3" t="s">
        <v>405</v>
      </c>
      <c r="T673" s="4" t="str">
        <f t="shared" si="2"/>
        <v>Valid</v>
      </c>
      <c r="U673" s="4">
        <f t="shared" si="3"/>
        <v>1</v>
      </c>
      <c r="V673" s="4" t="str">
        <f t="shared" si="4"/>
        <v>Unique</v>
      </c>
      <c r="W673" s="4" t="str">
        <f t="shared" si="5"/>
        <v>Unknown</v>
      </c>
      <c r="X673" s="4" t="str">
        <f t="shared" ref="X673:Z673" si="677">IF(Q673="","Unknown",Q673)</f>
        <v>Kýthira, Greece</v>
      </c>
      <c r="Y673" s="4" t="str">
        <f t="shared" si="677"/>
        <v>Europe</v>
      </c>
      <c r="Z673" s="4" t="str">
        <f t="shared" si="677"/>
        <v>Greece</v>
      </c>
      <c r="AA673" s="4" t="str">
        <f t="shared" si="7"/>
        <v>mwb</v>
      </c>
    </row>
    <row r="674">
      <c r="A674" s="3" t="s">
        <v>1601</v>
      </c>
      <c r="B674" s="3">
        <v>6.6</v>
      </c>
      <c r="C674" s="19">
        <f>Raw_Data!T674</f>
        <v>38721.35556</v>
      </c>
      <c r="D674" s="3">
        <v>7.0</v>
      </c>
      <c r="E674" s="3">
        <v>6.0</v>
      </c>
      <c r="F674" s="4"/>
      <c r="G674" s="3">
        <v>0.0</v>
      </c>
      <c r="H674" s="3">
        <v>703.0</v>
      </c>
      <c r="I674" s="3" t="s">
        <v>110</v>
      </c>
      <c r="J674" s="3">
        <v>323.0</v>
      </c>
      <c r="K674" s="3">
        <v>0.0</v>
      </c>
      <c r="L674" s="3">
        <v>48.2</v>
      </c>
      <c r="M674" s="4" t="str">
        <f>Raw_Data!X674</f>
        <v>mwc</v>
      </c>
      <c r="N674" s="3">
        <v>14.0</v>
      </c>
      <c r="O674" s="3">
        <v>28.164</v>
      </c>
      <c r="P674" s="3">
        <v>-112.117</v>
      </c>
      <c r="Q674" s="3" t="s">
        <v>1395</v>
      </c>
      <c r="R674" s="4"/>
      <c r="S674" s="4"/>
      <c r="T674" s="4" t="str">
        <f t="shared" si="2"/>
        <v>Valid</v>
      </c>
      <c r="U674" s="4">
        <f t="shared" si="3"/>
        <v>1</v>
      </c>
      <c r="V674" s="4" t="str">
        <f t="shared" si="4"/>
        <v>Unique</v>
      </c>
      <c r="W674" s="4" t="str">
        <f t="shared" si="5"/>
        <v>Unknown</v>
      </c>
      <c r="X674" s="4" t="str">
        <f t="shared" ref="X674:Z674" si="678">IF(Q674="","Unknown",Q674)</f>
        <v>Bahía de Kino, Mexico</v>
      </c>
      <c r="Y674" s="4" t="str">
        <f t="shared" si="678"/>
        <v>Unknown</v>
      </c>
      <c r="Z674" s="4" t="str">
        <f t="shared" si="678"/>
        <v>Unknown</v>
      </c>
      <c r="AA674" s="4" t="str">
        <f t="shared" si="7"/>
        <v>mwc</v>
      </c>
    </row>
    <row r="675">
      <c r="A675" s="3" t="s">
        <v>1602</v>
      </c>
      <c r="B675" s="3">
        <v>6.5</v>
      </c>
      <c r="C675" s="19">
        <f>Raw_Data!T675</f>
        <v>38698.90764</v>
      </c>
      <c r="D675" s="3">
        <v>6.0</v>
      </c>
      <c r="E675" s="3">
        <v>5.0</v>
      </c>
      <c r="F675" s="4"/>
      <c r="G675" s="3">
        <v>0.0</v>
      </c>
      <c r="H675" s="3">
        <v>721.0</v>
      </c>
      <c r="I675" s="3" t="s">
        <v>110</v>
      </c>
      <c r="J675" s="3">
        <v>529.0</v>
      </c>
      <c r="K675" s="3">
        <v>0.0</v>
      </c>
      <c r="L675" s="3">
        <v>20.5</v>
      </c>
      <c r="M675" s="4" t="str">
        <f>Raw_Data!X675</f>
        <v>mwb</v>
      </c>
      <c r="N675" s="3">
        <v>224.6</v>
      </c>
      <c r="O675" s="3">
        <v>36.357</v>
      </c>
      <c r="P675" s="3">
        <v>71.093</v>
      </c>
      <c r="Q675" s="3" t="s">
        <v>813</v>
      </c>
      <c r="R675" s="3" t="s">
        <v>164</v>
      </c>
      <c r="S675" s="3" t="s">
        <v>175</v>
      </c>
      <c r="T675" s="4" t="str">
        <f t="shared" si="2"/>
        <v>Valid</v>
      </c>
      <c r="U675" s="4">
        <f t="shared" si="3"/>
        <v>1</v>
      </c>
      <c r="V675" s="4" t="str">
        <f t="shared" si="4"/>
        <v>Unique</v>
      </c>
      <c r="W675" s="4" t="str">
        <f t="shared" si="5"/>
        <v>Unknown</v>
      </c>
      <c r="X675" s="4" t="str">
        <f t="shared" ref="X675:Z675" si="679">IF(Q675="","Unknown",Q675)</f>
        <v>Ashk?sham, Afghanistan</v>
      </c>
      <c r="Y675" s="4" t="str">
        <f t="shared" si="679"/>
        <v>Asia</v>
      </c>
      <c r="Z675" s="4" t="str">
        <f t="shared" si="679"/>
        <v>Afghanistan</v>
      </c>
      <c r="AA675" s="4" t="str">
        <f t="shared" si="7"/>
        <v>mwb</v>
      </c>
    </row>
    <row r="676">
      <c r="A676" s="3" t="s">
        <v>1603</v>
      </c>
      <c r="B676" s="3">
        <v>6.8</v>
      </c>
      <c r="C676" s="19">
        <f>Raw_Data!T676</f>
        <v>38691.51319</v>
      </c>
      <c r="D676" s="3">
        <v>5.0</v>
      </c>
      <c r="E676" s="3">
        <v>7.0</v>
      </c>
      <c r="F676" s="4"/>
      <c r="G676" s="3">
        <v>0.0</v>
      </c>
      <c r="H676" s="3">
        <v>744.0</v>
      </c>
      <c r="I676" s="3" t="s">
        <v>110</v>
      </c>
      <c r="J676" s="3">
        <v>561.0</v>
      </c>
      <c r="K676" s="3">
        <v>0.0</v>
      </c>
      <c r="L676" s="3">
        <v>20.0</v>
      </c>
      <c r="M676" s="4" t="str">
        <f>Raw_Data!X676</f>
        <v>mwc</v>
      </c>
      <c r="N676" s="3">
        <v>22.0</v>
      </c>
      <c r="O676" s="3">
        <v>-6.224</v>
      </c>
      <c r="P676" s="3">
        <v>29.83</v>
      </c>
      <c r="Q676" s="3" t="s">
        <v>1604</v>
      </c>
      <c r="R676" s="3" t="s">
        <v>715</v>
      </c>
      <c r="S676" s="3" t="s">
        <v>1605</v>
      </c>
      <c r="T676" s="4" t="str">
        <f t="shared" si="2"/>
        <v>Valid</v>
      </c>
      <c r="U676" s="4">
        <f t="shared" si="3"/>
        <v>1</v>
      </c>
      <c r="V676" s="4" t="str">
        <f t="shared" si="4"/>
        <v>Unique</v>
      </c>
      <c r="W676" s="4" t="str">
        <f t="shared" si="5"/>
        <v>Unknown</v>
      </c>
      <c r="X676" s="4" t="str">
        <f t="shared" ref="X676:Z676" si="680">IF(Q676="","Unknown",Q676)</f>
        <v>Kalemie, Democratic Republic</v>
      </c>
      <c r="Y676" s="4" t="str">
        <f t="shared" si="680"/>
        <v>Africa</v>
      </c>
      <c r="Z676" s="4" t="str">
        <f t="shared" si="680"/>
        <v>Tanzania</v>
      </c>
      <c r="AA676" s="4" t="str">
        <f t="shared" si="7"/>
        <v>mwc</v>
      </c>
    </row>
    <row r="677">
      <c r="A677" s="3" t="s">
        <v>1606</v>
      </c>
      <c r="B677" s="3">
        <v>6.5</v>
      </c>
      <c r="C677" s="19">
        <f>Raw_Data!T677</f>
        <v>38688.55069</v>
      </c>
      <c r="D677" s="3">
        <v>4.0</v>
      </c>
      <c r="E677" s="3">
        <v>5.0</v>
      </c>
      <c r="F677" s="4"/>
      <c r="G677" s="3">
        <v>0.0</v>
      </c>
      <c r="H677" s="3">
        <v>683.0</v>
      </c>
      <c r="I677" s="3" t="s">
        <v>110</v>
      </c>
      <c r="J677" s="3">
        <v>464.0</v>
      </c>
      <c r="K677" s="3">
        <v>0.0</v>
      </c>
      <c r="L677" s="3">
        <v>48.8</v>
      </c>
      <c r="M677" s="4" t="str">
        <f>Raw_Data!X677</f>
        <v>mwc</v>
      </c>
      <c r="N677" s="3">
        <v>29.0</v>
      </c>
      <c r="O677" s="3">
        <v>38.089</v>
      </c>
      <c r="P677" s="3">
        <v>142.122</v>
      </c>
      <c r="Q677" s="3" t="s">
        <v>380</v>
      </c>
      <c r="R677" s="4"/>
      <c r="S677" s="4"/>
      <c r="T677" s="4" t="str">
        <f t="shared" si="2"/>
        <v>Valid</v>
      </c>
      <c r="U677" s="4">
        <f t="shared" si="3"/>
        <v>1</v>
      </c>
      <c r="V677" s="4" t="str">
        <f t="shared" si="4"/>
        <v>Unique</v>
      </c>
      <c r="W677" s="4" t="str">
        <f t="shared" si="5"/>
        <v>Unknown</v>
      </c>
      <c r="X677" s="4" t="str">
        <f t="shared" ref="X677:Z677" si="681">IF(Q677="","Unknown",Q677)</f>
        <v>Ishinomaki, Japan</v>
      </c>
      <c r="Y677" s="4" t="str">
        <f t="shared" si="681"/>
        <v>Unknown</v>
      </c>
      <c r="Z677" s="4" t="str">
        <f t="shared" si="681"/>
        <v>Unknown</v>
      </c>
      <c r="AA677" s="4" t="str">
        <f t="shared" si="7"/>
        <v>mwc</v>
      </c>
    </row>
    <row r="678">
      <c r="A678" s="3" t="s">
        <v>1607</v>
      </c>
      <c r="B678" s="3">
        <v>6.5</v>
      </c>
      <c r="C678" s="19">
        <f>Raw_Data!T678</f>
        <v>38675.59028</v>
      </c>
      <c r="D678" s="3">
        <v>3.0</v>
      </c>
      <c r="E678" s="3">
        <v>6.0</v>
      </c>
      <c r="F678" s="4"/>
      <c r="G678" s="3">
        <v>0.0</v>
      </c>
      <c r="H678" s="3">
        <v>651.0</v>
      </c>
      <c r="I678" s="3" t="s">
        <v>110</v>
      </c>
      <c r="J678" s="3">
        <v>358.0</v>
      </c>
      <c r="K678" s="3">
        <v>0.0</v>
      </c>
      <c r="L678" s="3">
        <v>20.7</v>
      </c>
      <c r="M678" s="4" t="str">
        <f>Raw_Data!X678</f>
        <v>mwb</v>
      </c>
      <c r="N678" s="3">
        <v>21.0</v>
      </c>
      <c r="O678" s="3">
        <v>2.164</v>
      </c>
      <c r="P678" s="3">
        <v>96.786</v>
      </c>
      <c r="Q678" s="3" t="s">
        <v>368</v>
      </c>
      <c r="R678" s="4"/>
      <c r="S678" s="3" t="s">
        <v>153</v>
      </c>
      <c r="T678" s="4" t="str">
        <f t="shared" si="2"/>
        <v>Valid</v>
      </c>
      <c r="U678" s="4">
        <f t="shared" si="3"/>
        <v>1</v>
      </c>
      <c r="V678" s="4" t="str">
        <f t="shared" si="4"/>
        <v>Unique</v>
      </c>
      <c r="W678" s="4" t="str">
        <f t="shared" si="5"/>
        <v>Unknown</v>
      </c>
      <c r="X678" s="4" t="str">
        <f t="shared" ref="X678:Z678" si="682">IF(Q678="","Unknown",Q678)</f>
        <v>Sinabang, Indonesia</v>
      </c>
      <c r="Y678" s="4" t="str">
        <f t="shared" si="682"/>
        <v>Unknown</v>
      </c>
      <c r="Z678" s="4" t="str">
        <f t="shared" si="682"/>
        <v>Indonesia</v>
      </c>
      <c r="AA678" s="4" t="str">
        <f t="shared" si="7"/>
        <v>mwb</v>
      </c>
    </row>
    <row r="679">
      <c r="A679" s="3" t="s">
        <v>1609</v>
      </c>
      <c r="B679" s="3">
        <v>6.8</v>
      </c>
      <c r="C679" s="19">
        <f>Raw_Data!T679</f>
        <v>38673.80972</v>
      </c>
      <c r="D679" s="3">
        <v>0.0</v>
      </c>
      <c r="E679" s="3">
        <v>6.0</v>
      </c>
      <c r="F679" s="4"/>
      <c r="G679" s="3">
        <v>0.0</v>
      </c>
      <c r="H679" s="3">
        <v>711.0</v>
      </c>
      <c r="I679" s="3" t="s">
        <v>110</v>
      </c>
      <c r="J679" s="3">
        <v>509.0</v>
      </c>
      <c r="K679" s="3">
        <v>0.0</v>
      </c>
      <c r="L679" s="3">
        <v>30.1</v>
      </c>
      <c r="M679" s="4" t="str">
        <f>Raw_Data!X679</f>
        <v>mwb</v>
      </c>
      <c r="N679" s="3">
        <v>147.0</v>
      </c>
      <c r="O679" s="3">
        <v>-22.361</v>
      </c>
      <c r="P679" s="3">
        <v>-67.895</v>
      </c>
      <c r="Q679" s="3" t="s">
        <v>443</v>
      </c>
      <c r="R679" s="3" t="s">
        <v>121</v>
      </c>
      <c r="S679" s="3" t="s">
        <v>627</v>
      </c>
      <c r="T679" s="4" t="str">
        <f t="shared" si="2"/>
        <v>Valid</v>
      </c>
      <c r="U679" s="4">
        <f t="shared" si="3"/>
        <v>1</v>
      </c>
      <c r="V679" s="4" t="str">
        <f t="shared" si="4"/>
        <v>Unique</v>
      </c>
      <c r="W679" s="4" t="str">
        <f t="shared" si="5"/>
        <v>Unknown</v>
      </c>
      <c r="X679" s="4" t="str">
        <f t="shared" ref="X679:Z679" si="683">IF(Q679="","Unknown",Q679)</f>
        <v>San Pedro de Atacama, Chile</v>
      </c>
      <c r="Y679" s="4" t="str">
        <f t="shared" si="683"/>
        <v>South America</v>
      </c>
      <c r="Z679" s="4" t="str">
        <f t="shared" si="683"/>
        <v>Bolivia</v>
      </c>
      <c r="AA679" s="4" t="str">
        <f t="shared" si="7"/>
        <v>mwb</v>
      </c>
    </row>
    <row r="680">
      <c r="A680" s="3" t="s">
        <v>1611</v>
      </c>
      <c r="B680" s="3">
        <v>7.6</v>
      </c>
      <c r="C680" s="19">
        <f>Raw_Data!T680</f>
        <v>38633.15972</v>
      </c>
      <c r="D680" s="3">
        <v>9.0</v>
      </c>
      <c r="E680" s="3">
        <v>9.0</v>
      </c>
      <c r="F680" s="4"/>
      <c r="G680" s="3">
        <v>0.0</v>
      </c>
      <c r="H680" s="3">
        <v>1267.0</v>
      </c>
      <c r="I680" s="3" t="s">
        <v>110</v>
      </c>
      <c r="J680" s="3">
        <v>724.0</v>
      </c>
      <c r="K680" s="3">
        <v>0.0</v>
      </c>
      <c r="L680" s="3">
        <v>21.1</v>
      </c>
      <c r="M680" s="4" t="str">
        <f>Raw_Data!X680</f>
        <v>mwc</v>
      </c>
      <c r="N680" s="3">
        <v>26.0</v>
      </c>
      <c r="O680" s="3">
        <v>34.539</v>
      </c>
      <c r="P680" s="3">
        <v>73.588</v>
      </c>
      <c r="Q680" s="3" t="s">
        <v>1612</v>
      </c>
      <c r="R680" s="3" t="s">
        <v>164</v>
      </c>
      <c r="S680" s="3" t="s">
        <v>1066</v>
      </c>
      <c r="T680" s="4" t="str">
        <f t="shared" si="2"/>
        <v>Valid</v>
      </c>
      <c r="U680" s="4">
        <f t="shared" si="3"/>
        <v>1</v>
      </c>
      <c r="V680" s="4" t="str">
        <f t="shared" si="4"/>
        <v>Unique</v>
      </c>
      <c r="W680" s="4" t="str">
        <f t="shared" si="5"/>
        <v>Unknown</v>
      </c>
      <c r="X680" s="4" t="str">
        <f t="shared" ref="X680:Z680" si="684">IF(Q680="","Unknown",Q680)</f>
        <v>Muzaffar?b?d, Pakistan</v>
      </c>
      <c r="Y680" s="4" t="str">
        <f t="shared" si="684"/>
        <v>Asia</v>
      </c>
      <c r="Z680" s="4" t="str">
        <f t="shared" si="684"/>
        <v>Pakistan</v>
      </c>
      <c r="AA680" s="4" t="str">
        <f t="shared" si="7"/>
        <v>mwc</v>
      </c>
    </row>
    <row r="681">
      <c r="A681" s="3" t="s">
        <v>1613</v>
      </c>
      <c r="B681" s="3">
        <v>6.6</v>
      </c>
      <c r="C681" s="19">
        <f>Raw_Data!T681</f>
        <v>38624.65972</v>
      </c>
      <c r="D681" s="3">
        <v>0.0</v>
      </c>
      <c r="E681" s="3">
        <v>6.0</v>
      </c>
      <c r="F681" s="4"/>
      <c r="G681" s="3">
        <v>0.0</v>
      </c>
      <c r="H681" s="3">
        <v>670.0</v>
      </c>
      <c r="I681" s="3" t="s">
        <v>110</v>
      </c>
      <c r="J681" s="3">
        <v>402.0</v>
      </c>
      <c r="K681" s="3">
        <v>0.0</v>
      </c>
      <c r="L681" s="3">
        <v>17.7</v>
      </c>
      <c r="M681" s="4" t="str">
        <f>Raw_Data!X681</f>
        <v>mwc</v>
      </c>
      <c r="N681" s="3">
        <v>25.0</v>
      </c>
      <c r="O681" s="3">
        <v>-5.437</v>
      </c>
      <c r="P681" s="3">
        <v>151.84</v>
      </c>
      <c r="Q681" s="3" t="s">
        <v>633</v>
      </c>
      <c r="R681" s="4"/>
      <c r="S681" s="3" t="s">
        <v>168</v>
      </c>
      <c r="T681" s="4" t="str">
        <f t="shared" si="2"/>
        <v>Valid</v>
      </c>
      <c r="U681" s="4">
        <f t="shared" si="3"/>
        <v>1</v>
      </c>
      <c r="V681" s="4" t="str">
        <f t="shared" si="4"/>
        <v>Unique</v>
      </c>
      <c r="W681" s="4" t="str">
        <f t="shared" si="5"/>
        <v>Unknown</v>
      </c>
      <c r="X681" s="4" t="str">
        <f t="shared" ref="X681:Z681" si="685">IF(Q681="","Unknown",Q681)</f>
        <v>Kokopo, Papua New Guinea</v>
      </c>
      <c r="Y681" s="4" t="str">
        <f t="shared" si="685"/>
        <v>Unknown</v>
      </c>
      <c r="Z681" s="4" t="str">
        <f t="shared" si="685"/>
        <v>Papua New Guinea</v>
      </c>
      <c r="AA681" s="4" t="str">
        <f t="shared" si="7"/>
        <v>mwc</v>
      </c>
    </row>
    <row r="682">
      <c r="A682" s="3" t="s">
        <v>1615</v>
      </c>
      <c r="B682" s="3">
        <v>7.5</v>
      </c>
      <c r="C682" s="19">
        <f>Raw_Data!T682</f>
        <v>38621.07986</v>
      </c>
      <c r="D682" s="3">
        <v>8.0</v>
      </c>
      <c r="E682" s="3">
        <v>7.0</v>
      </c>
      <c r="F682" s="4"/>
      <c r="G682" s="3">
        <v>0.0</v>
      </c>
      <c r="H682" s="3">
        <v>1018.0</v>
      </c>
      <c r="I682" s="3" t="s">
        <v>110</v>
      </c>
      <c r="J682" s="3">
        <v>696.0</v>
      </c>
      <c r="K682" s="3">
        <v>0.0</v>
      </c>
      <c r="L682" s="3">
        <v>26.2</v>
      </c>
      <c r="M682" s="4" t="str">
        <f>Raw_Data!X682</f>
        <v>mwb</v>
      </c>
      <c r="N682" s="3">
        <v>115.0</v>
      </c>
      <c r="O682" s="3">
        <v>-5.678</v>
      </c>
      <c r="P682" s="3">
        <v>-76.398</v>
      </c>
      <c r="Q682" s="3" t="s">
        <v>1617</v>
      </c>
      <c r="R682" s="3" t="s">
        <v>121</v>
      </c>
      <c r="S682" s="3" t="s">
        <v>265</v>
      </c>
      <c r="T682" s="4" t="str">
        <f t="shared" si="2"/>
        <v>Valid</v>
      </c>
      <c r="U682" s="4">
        <f t="shared" si="3"/>
        <v>1</v>
      </c>
      <c r="V682" s="4" t="str">
        <f t="shared" si="4"/>
        <v>Unique</v>
      </c>
      <c r="W682" s="4" t="str">
        <f t="shared" si="5"/>
        <v>Unknown</v>
      </c>
      <c r="X682" s="4" t="str">
        <f t="shared" ref="X682:Z682" si="686">IF(Q682="","Unknown",Q682)</f>
        <v>Yurimaguas, Peru</v>
      </c>
      <c r="Y682" s="4" t="str">
        <f t="shared" si="686"/>
        <v>South America</v>
      </c>
      <c r="Z682" s="4" t="str">
        <f t="shared" si="686"/>
        <v>Peru</v>
      </c>
      <c r="AA682" s="4" t="str">
        <f t="shared" si="7"/>
        <v>mwb</v>
      </c>
    </row>
    <row r="683">
      <c r="A683" s="3" t="s">
        <v>1618</v>
      </c>
      <c r="B683" s="3">
        <v>7.6</v>
      </c>
      <c r="C683" s="19">
        <f>Raw_Data!T683</f>
        <v>38604.30972</v>
      </c>
      <c r="D683" s="3">
        <v>5.0</v>
      </c>
      <c r="E683" s="3">
        <v>7.0</v>
      </c>
      <c r="F683" s="4"/>
      <c r="G683" s="3">
        <v>0.0</v>
      </c>
      <c r="H683" s="3">
        <v>891.0</v>
      </c>
      <c r="I683" s="3" t="s">
        <v>110</v>
      </c>
      <c r="J683" s="3">
        <v>502.0</v>
      </c>
      <c r="K683" s="3">
        <v>0.0</v>
      </c>
      <c r="L683" s="3">
        <v>20.0</v>
      </c>
      <c r="M683" s="4" t="str">
        <f>Raw_Data!X683</f>
        <v>mwc</v>
      </c>
      <c r="N683" s="3">
        <v>90.0</v>
      </c>
      <c r="O683" s="3">
        <v>-4.539</v>
      </c>
      <c r="P683" s="3">
        <v>153.474</v>
      </c>
      <c r="Q683" s="3" t="s">
        <v>633</v>
      </c>
      <c r="R683" s="4"/>
      <c r="S683" s="3" t="s">
        <v>168</v>
      </c>
      <c r="T683" s="4" t="str">
        <f t="shared" si="2"/>
        <v>Valid</v>
      </c>
      <c r="U683" s="4">
        <f t="shared" si="3"/>
        <v>1</v>
      </c>
      <c r="V683" s="4" t="str">
        <f t="shared" si="4"/>
        <v>Unique</v>
      </c>
      <c r="W683" s="4" t="str">
        <f t="shared" si="5"/>
        <v>Unknown</v>
      </c>
      <c r="X683" s="4" t="str">
        <f t="shared" ref="X683:Z683" si="687">IF(Q683="","Unknown",Q683)</f>
        <v>Kokopo, Papua New Guinea</v>
      </c>
      <c r="Y683" s="4" t="str">
        <f t="shared" si="687"/>
        <v>Unknown</v>
      </c>
      <c r="Z683" s="4" t="str">
        <f t="shared" si="687"/>
        <v>Papua New Guinea</v>
      </c>
      <c r="AA683" s="4" t="str">
        <f t="shared" si="7"/>
        <v>mwc</v>
      </c>
    </row>
    <row r="684">
      <c r="A684" s="3" t="s">
        <v>1619</v>
      </c>
      <c r="B684" s="3">
        <v>7.2</v>
      </c>
      <c r="C684" s="19">
        <f>Raw_Data!T684</f>
        <v>38580.11528</v>
      </c>
      <c r="D684" s="3">
        <v>7.0</v>
      </c>
      <c r="E684" s="3">
        <v>7.0</v>
      </c>
      <c r="F684" s="4"/>
      <c r="G684" s="3">
        <v>0.0</v>
      </c>
      <c r="H684" s="3">
        <v>1104.0</v>
      </c>
      <c r="I684" s="3" t="s">
        <v>110</v>
      </c>
      <c r="J684" s="3">
        <v>698.0</v>
      </c>
      <c r="K684" s="3">
        <v>0.0</v>
      </c>
      <c r="L684" s="3">
        <v>19.6</v>
      </c>
      <c r="M684" s="4" t="str">
        <f>Raw_Data!X684</f>
        <v>mwc</v>
      </c>
      <c r="N684" s="3">
        <v>36.0</v>
      </c>
      <c r="O684" s="3">
        <v>38.276</v>
      </c>
      <c r="P684" s="3">
        <v>142.039</v>
      </c>
      <c r="Q684" s="3" t="s">
        <v>380</v>
      </c>
      <c r="R684" s="4"/>
      <c r="S684" s="4"/>
      <c r="T684" s="4" t="str">
        <f t="shared" si="2"/>
        <v>Valid</v>
      </c>
      <c r="U684" s="4">
        <f t="shared" si="3"/>
        <v>1</v>
      </c>
      <c r="V684" s="4" t="str">
        <f t="shared" si="4"/>
        <v>Unique</v>
      </c>
      <c r="W684" s="4" t="str">
        <f t="shared" si="5"/>
        <v>Unknown</v>
      </c>
      <c r="X684" s="4" t="str">
        <f t="shared" ref="X684:Z684" si="688">IF(Q684="","Unknown",Q684)</f>
        <v>Ishinomaki, Japan</v>
      </c>
      <c r="Y684" s="4" t="str">
        <f t="shared" si="688"/>
        <v>Unknown</v>
      </c>
      <c r="Z684" s="4" t="str">
        <f t="shared" si="688"/>
        <v>Unknown</v>
      </c>
      <c r="AA684" s="4" t="str">
        <f t="shared" si="7"/>
        <v>mwc</v>
      </c>
    </row>
    <row r="685">
      <c r="A685" s="3" t="s">
        <v>1621</v>
      </c>
      <c r="B685" s="3">
        <v>7.2</v>
      </c>
      <c r="C685" s="19">
        <f>Raw_Data!T685</f>
        <v>38557.65417</v>
      </c>
      <c r="D685" s="3">
        <v>4.0</v>
      </c>
      <c r="E685" s="3">
        <v>5.0</v>
      </c>
      <c r="F685" s="4"/>
      <c r="G685" s="3">
        <v>0.0</v>
      </c>
      <c r="H685" s="3">
        <v>808.0</v>
      </c>
      <c r="I685" s="3" t="s">
        <v>110</v>
      </c>
      <c r="J685" s="3">
        <v>636.0</v>
      </c>
      <c r="K685" s="3">
        <v>0.0</v>
      </c>
      <c r="L685" s="3">
        <v>26.4</v>
      </c>
      <c r="M685" s="4" t="str">
        <f>Raw_Data!X685</f>
        <v>mwc</v>
      </c>
      <c r="N685" s="3">
        <v>16.0</v>
      </c>
      <c r="O685" s="3">
        <v>7.92</v>
      </c>
      <c r="P685" s="3">
        <v>92.19</v>
      </c>
      <c r="Q685" s="3" t="s">
        <v>860</v>
      </c>
      <c r="R685" s="4"/>
      <c r="S685" s="4"/>
      <c r="T685" s="4" t="str">
        <f t="shared" si="2"/>
        <v>Valid</v>
      </c>
      <c r="U685" s="4">
        <f t="shared" si="3"/>
        <v>1</v>
      </c>
      <c r="V685" s="4" t="str">
        <f t="shared" si="4"/>
        <v>Unique</v>
      </c>
      <c r="W685" s="4" t="str">
        <f t="shared" si="5"/>
        <v>Unknown</v>
      </c>
      <c r="X685" s="4" t="str">
        <f t="shared" ref="X685:Z685" si="689">IF(Q685="","Unknown",Q685)</f>
        <v>Nicobar Islands, India region</v>
      </c>
      <c r="Y685" s="4" t="str">
        <f t="shared" si="689"/>
        <v>Unknown</v>
      </c>
      <c r="Z685" s="4" t="str">
        <f t="shared" si="689"/>
        <v>Unknown</v>
      </c>
      <c r="AA685" s="4" t="str">
        <f t="shared" si="7"/>
        <v>mwc</v>
      </c>
    </row>
    <row r="686">
      <c r="A686" s="3" t="s">
        <v>1623</v>
      </c>
      <c r="B686" s="3">
        <v>6.7</v>
      </c>
      <c r="C686" s="19">
        <f>Raw_Data!T686</f>
        <v>38538.07778</v>
      </c>
      <c r="D686" s="3">
        <v>3.0</v>
      </c>
      <c r="E686" s="3">
        <v>6.0</v>
      </c>
      <c r="F686" s="4"/>
      <c r="G686" s="3">
        <v>0.0</v>
      </c>
      <c r="H686" s="3">
        <v>693.0</v>
      </c>
      <c r="I686" s="3" t="s">
        <v>110</v>
      </c>
      <c r="J686" s="3">
        <v>398.0</v>
      </c>
      <c r="K686" s="3">
        <v>0.0</v>
      </c>
      <c r="L686" s="3">
        <v>22.3</v>
      </c>
      <c r="M686" s="4" t="str">
        <f>Raw_Data!X686</f>
        <v>mwc</v>
      </c>
      <c r="N686" s="3">
        <v>21.0</v>
      </c>
      <c r="O686" s="3">
        <v>1.819</v>
      </c>
      <c r="P686" s="3">
        <v>97.082</v>
      </c>
      <c r="Q686" s="3" t="s">
        <v>1578</v>
      </c>
      <c r="R686" s="4"/>
      <c r="S686" s="3" t="s">
        <v>153</v>
      </c>
      <c r="T686" s="4" t="str">
        <f t="shared" si="2"/>
        <v>Valid</v>
      </c>
      <c r="U686" s="4">
        <f t="shared" si="3"/>
        <v>1</v>
      </c>
      <c r="V686" s="4" t="str">
        <f t="shared" si="4"/>
        <v>Unique</v>
      </c>
      <c r="W686" s="4" t="str">
        <f t="shared" si="5"/>
        <v>Unknown</v>
      </c>
      <c r="X686" s="4" t="str">
        <f t="shared" ref="X686:Z686" si="690">IF(Q686="","Unknown",Q686)</f>
        <v>Singkil, Indonesia</v>
      </c>
      <c r="Y686" s="4" t="str">
        <f t="shared" si="690"/>
        <v>Unknown</v>
      </c>
      <c r="Z686" s="4" t="str">
        <f t="shared" si="690"/>
        <v>Indonesia</v>
      </c>
      <c r="AA686" s="4" t="str">
        <f t="shared" si="7"/>
        <v>mwc</v>
      </c>
    </row>
    <row r="687">
      <c r="A687" s="3" t="s">
        <v>1624</v>
      </c>
      <c r="B687" s="3">
        <v>6.6</v>
      </c>
      <c r="C687" s="19">
        <f>Raw_Data!T687</f>
        <v>38535.09444</v>
      </c>
      <c r="D687" s="3">
        <v>6.0</v>
      </c>
      <c r="E687" s="3">
        <v>5.0</v>
      </c>
      <c r="F687" s="4"/>
      <c r="G687" s="3">
        <v>0.0</v>
      </c>
      <c r="H687" s="3">
        <v>719.0</v>
      </c>
      <c r="I687" s="3" t="s">
        <v>110</v>
      </c>
      <c r="J687" s="3">
        <v>446.0</v>
      </c>
      <c r="K687" s="3">
        <v>0.0</v>
      </c>
      <c r="L687" s="3">
        <v>21.1</v>
      </c>
      <c r="M687" s="4" t="str">
        <f>Raw_Data!X687</f>
        <v>mwc</v>
      </c>
      <c r="N687" s="3">
        <v>27.0</v>
      </c>
      <c r="O687" s="3">
        <v>11.245</v>
      </c>
      <c r="P687" s="3">
        <v>-86.172</v>
      </c>
      <c r="Q687" s="3" t="s">
        <v>1625</v>
      </c>
      <c r="R687" s="4"/>
      <c r="S687" s="4"/>
      <c r="T687" s="4" t="str">
        <f t="shared" si="2"/>
        <v>Valid</v>
      </c>
      <c r="U687" s="4">
        <f t="shared" si="3"/>
        <v>1</v>
      </c>
      <c r="V687" s="4" t="str">
        <f t="shared" si="4"/>
        <v>Unique</v>
      </c>
      <c r="W687" s="4" t="str">
        <f t="shared" si="5"/>
        <v>Unknown</v>
      </c>
      <c r="X687" s="4" t="str">
        <f t="shared" ref="X687:Z687" si="691">IF(Q687="","Unknown",Q687)</f>
        <v>San Juan del Sur, Nicaragua</v>
      </c>
      <c r="Y687" s="4" t="str">
        <f t="shared" si="691"/>
        <v>Unknown</v>
      </c>
      <c r="Z687" s="4" t="str">
        <f t="shared" si="691"/>
        <v>Unknown</v>
      </c>
      <c r="AA687" s="4" t="str">
        <f t="shared" si="7"/>
        <v>mwc</v>
      </c>
    </row>
    <row r="688">
      <c r="A688" s="3" t="s">
        <v>1626</v>
      </c>
      <c r="B688" s="3">
        <v>7.2</v>
      </c>
      <c r="C688" s="19">
        <f>Raw_Data!T688</f>
        <v>38518.11806</v>
      </c>
      <c r="D688" s="3">
        <v>5.0</v>
      </c>
      <c r="E688" s="3">
        <v>4.0</v>
      </c>
      <c r="F688" s="4"/>
      <c r="G688" s="3">
        <v>0.0</v>
      </c>
      <c r="H688" s="3">
        <v>1318.0</v>
      </c>
      <c r="I688" s="3" t="s">
        <v>110</v>
      </c>
      <c r="J688" s="3">
        <v>420.0</v>
      </c>
      <c r="K688" s="3">
        <v>0.0</v>
      </c>
      <c r="L688" s="3">
        <v>31.4</v>
      </c>
      <c r="M688" s="4" t="str">
        <f>Raw_Data!X688</f>
        <v>mwc</v>
      </c>
      <c r="N688" s="3">
        <v>16.0</v>
      </c>
      <c r="O688" s="3">
        <v>41.292</v>
      </c>
      <c r="P688" s="3">
        <v>-125.953</v>
      </c>
      <c r="Q688" s="3" t="s">
        <v>1628</v>
      </c>
      <c r="R688" s="4"/>
      <c r="S688" s="4"/>
      <c r="T688" s="4" t="str">
        <f t="shared" si="2"/>
        <v>Valid</v>
      </c>
      <c r="U688" s="4">
        <f t="shared" si="3"/>
        <v>1</v>
      </c>
      <c r="V688" s="4" t="str">
        <f t="shared" si="4"/>
        <v>Unique</v>
      </c>
      <c r="W688" s="4" t="str">
        <f t="shared" si="5"/>
        <v>Unknown</v>
      </c>
      <c r="X688" s="4" t="str">
        <f t="shared" ref="X688:Z688" si="692">IF(Q688="","Unknown",Q688)</f>
        <v>Big Lagoon, California</v>
      </c>
      <c r="Y688" s="4" t="str">
        <f t="shared" si="692"/>
        <v>Unknown</v>
      </c>
      <c r="Z688" s="4" t="str">
        <f t="shared" si="692"/>
        <v>Unknown</v>
      </c>
      <c r="AA688" s="4" t="str">
        <f t="shared" si="7"/>
        <v>mwc</v>
      </c>
    </row>
    <row r="689">
      <c r="A689" s="3" t="s">
        <v>1629</v>
      </c>
      <c r="B689" s="3">
        <v>7.8</v>
      </c>
      <c r="C689" s="19">
        <f>Raw_Data!T689</f>
        <v>38516.94722</v>
      </c>
      <c r="D689" s="3">
        <v>8.0</v>
      </c>
      <c r="E689" s="3">
        <v>7.0</v>
      </c>
      <c r="F689" s="4"/>
      <c r="G689" s="3">
        <v>0.0</v>
      </c>
      <c r="H689" s="3">
        <v>1020.0</v>
      </c>
      <c r="I689" s="3" t="s">
        <v>110</v>
      </c>
      <c r="J689" s="3">
        <v>714.0</v>
      </c>
      <c r="K689" s="3">
        <v>0.0</v>
      </c>
      <c r="L689" s="3">
        <v>16.1</v>
      </c>
      <c r="M689" s="4" t="str">
        <f>Raw_Data!X689</f>
        <v>mwb</v>
      </c>
      <c r="N689" s="3">
        <v>115.6</v>
      </c>
      <c r="O689" s="3">
        <v>-19.987</v>
      </c>
      <c r="P689" s="3">
        <v>-69.197</v>
      </c>
      <c r="Q689" s="3" t="s">
        <v>1019</v>
      </c>
      <c r="R689" s="3" t="s">
        <v>121</v>
      </c>
      <c r="S689" s="3" t="s">
        <v>414</v>
      </c>
      <c r="T689" s="4" t="str">
        <f t="shared" si="2"/>
        <v>Valid</v>
      </c>
      <c r="U689" s="4">
        <f t="shared" si="3"/>
        <v>1</v>
      </c>
      <c r="V689" s="4" t="str">
        <f t="shared" si="4"/>
        <v>Unique</v>
      </c>
      <c r="W689" s="4" t="str">
        <f t="shared" si="5"/>
        <v>Unknown</v>
      </c>
      <c r="X689" s="4" t="str">
        <f t="shared" ref="X689:Z689" si="693">IF(Q689="","Unknown",Q689)</f>
        <v>Iquique, Chile</v>
      </c>
      <c r="Y689" s="4" t="str">
        <f t="shared" si="693"/>
        <v>South America</v>
      </c>
      <c r="Z689" s="4" t="str">
        <f t="shared" si="693"/>
        <v>Chile</v>
      </c>
      <c r="AA689" s="4" t="str">
        <f t="shared" si="7"/>
        <v>mwb</v>
      </c>
    </row>
    <row r="690">
      <c r="A690" s="3" t="s">
        <v>1631</v>
      </c>
      <c r="B690" s="3">
        <v>6.9</v>
      </c>
      <c r="C690" s="19">
        <f>Raw_Data!T690</f>
        <v>38491.07917</v>
      </c>
      <c r="D690" s="3">
        <v>5.0</v>
      </c>
      <c r="E690" s="3">
        <v>7.0</v>
      </c>
      <c r="F690" s="4"/>
      <c r="G690" s="3">
        <v>0.0</v>
      </c>
      <c r="H690" s="3">
        <v>740.0</v>
      </c>
      <c r="I690" s="3" t="s">
        <v>110</v>
      </c>
      <c r="J690" s="3">
        <v>635.0</v>
      </c>
      <c r="K690" s="3">
        <v>0.0</v>
      </c>
      <c r="L690" s="3">
        <v>26.0</v>
      </c>
      <c r="M690" s="4" t="str">
        <f>Raw_Data!X690</f>
        <v>mwc</v>
      </c>
      <c r="N690" s="3">
        <v>30.0</v>
      </c>
      <c r="O690" s="3">
        <v>1.989</v>
      </c>
      <c r="P690" s="3">
        <v>97.041</v>
      </c>
      <c r="Q690" s="3" t="s">
        <v>1578</v>
      </c>
      <c r="R690" s="4"/>
      <c r="S690" s="3" t="s">
        <v>153</v>
      </c>
      <c r="T690" s="4" t="str">
        <f t="shared" si="2"/>
        <v>Valid</v>
      </c>
      <c r="U690" s="4">
        <f t="shared" si="3"/>
        <v>1</v>
      </c>
      <c r="V690" s="4" t="str">
        <f t="shared" si="4"/>
        <v>Unique</v>
      </c>
      <c r="W690" s="4" t="str">
        <f t="shared" si="5"/>
        <v>Unknown</v>
      </c>
      <c r="X690" s="4" t="str">
        <f t="shared" ref="X690:Z690" si="694">IF(Q690="","Unknown",Q690)</f>
        <v>Singkil, Indonesia</v>
      </c>
      <c r="Y690" s="4" t="str">
        <f t="shared" si="694"/>
        <v>Unknown</v>
      </c>
      <c r="Z690" s="4" t="str">
        <f t="shared" si="694"/>
        <v>Indonesia</v>
      </c>
      <c r="AA690" s="4" t="str">
        <f t="shared" si="7"/>
        <v>mwc</v>
      </c>
    </row>
    <row r="691">
      <c r="A691" s="3" t="s">
        <v>1633</v>
      </c>
      <c r="B691" s="3">
        <v>6.7</v>
      </c>
      <c r="C691" s="19">
        <f>Raw_Data!T691</f>
        <v>38486.21181</v>
      </c>
      <c r="D691" s="3">
        <v>6.0</v>
      </c>
      <c r="E691" s="3">
        <v>5.0</v>
      </c>
      <c r="F691" s="4"/>
      <c r="G691" s="3">
        <v>0.0</v>
      </c>
      <c r="H691" s="3">
        <v>731.0</v>
      </c>
      <c r="I691" s="3" t="s">
        <v>110</v>
      </c>
      <c r="J691" s="3">
        <v>695.0</v>
      </c>
      <c r="K691" s="3">
        <v>0.0</v>
      </c>
      <c r="L691" s="3">
        <v>20.9</v>
      </c>
      <c r="M691" s="4" t="str">
        <f>Raw_Data!X691</f>
        <v>mwb</v>
      </c>
      <c r="N691" s="3">
        <v>34.0</v>
      </c>
      <c r="O691" s="3">
        <v>0.587</v>
      </c>
      <c r="P691" s="3">
        <v>98.459</v>
      </c>
      <c r="Q691" s="3" t="s">
        <v>1635</v>
      </c>
      <c r="R691" s="4"/>
      <c r="S691" s="3" t="s">
        <v>153</v>
      </c>
      <c r="T691" s="4" t="str">
        <f t="shared" si="2"/>
        <v>Valid</v>
      </c>
      <c r="U691" s="4">
        <f t="shared" si="3"/>
        <v>1</v>
      </c>
      <c r="V691" s="4" t="str">
        <f t="shared" si="4"/>
        <v>Unique</v>
      </c>
      <c r="W691" s="4" t="str">
        <f t="shared" si="5"/>
        <v>Unknown</v>
      </c>
      <c r="X691" s="4" t="str">
        <f t="shared" ref="X691:Z691" si="695">IF(Q691="","Unknown",Q691)</f>
        <v>Padangsidempuan, Indonesia</v>
      </c>
      <c r="Y691" s="4" t="str">
        <f t="shared" si="695"/>
        <v>Unknown</v>
      </c>
      <c r="Z691" s="4" t="str">
        <f t="shared" si="695"/>
        <v>Indonesia</v>
      </c>
      <c r="AA691" s="4" t="str">
        <f t="shared" si="7"/>
        <v>mwb</v>
      </c>
    </row>
    <row r="692">
      <c r="A692" s="3" t="s">
        <v>1636</v>
      </c>
      <c r="B692" s="3">
        <v>6.5</v>
      </c>
      <c r="C692" s="19">
        <f>Raw_Data!T692</f>
        <v>38452.46806</v>
      </c>
      <c r="D692" s="3">
        <v>3.0</v>
      </c>
      <c r="E692" s="3">
        <v>6.0</v>
      </c>
      <c r="F692" s="4"/>
      <c r="G692" s="3">
        <v>0.0</v>
      </c>
      <c r="H692" s="3">
        <v>657.0</v>
      </c>
      <c r="I692" s="3" t="s">
        <v>110</v>
      </c>
      <c r="J692" s="3">
        <v>478.0</v>
      </c>
      <c r="K692" s="3">
        <v>0.0</v>
      </c>
      <c r="L692" s="3">
        <v>21.2</v>
      </c>
      <c r="M692" s="4" t="str">
        <f>Raw_Data!X692</f>
        <v>mwc</v>
      </c>
      <c r="N692" s="3">
        <v>30.0</v>
      </c>
      <c r="O692" s="3">
        <v>-1.714</v>
      </c>
      <c r="P692" s="3">
        <v>99.779</v>
      </c>
      <c r="Q692" s="3" t="s">
        <v>1388</v>
      </c>
      <c r="R692" s="4"/>
      <c r="S692" s="3" t="s">
        <v>153</v>
      </c>
      <c r="T692" s="4" t="str">
        <f t="shared" si="2"/>
        <v>Valid</v>
      </c>
      <c r="U692" s="4">
        <f t="shared" si="3"/>
        <v>1</v>
      </c>
      <c r="V692" s="4" t="str">
        <f t="shared" si="4"/>
        <v>Unique</v>
      </c>
      <c r="W692" s="4" t="str">
        <f t="shared" si="5"/>
        <v>Unknown</v>
      </c>
      <c r="X692" s="4" t="str">
        <f t="shared" ref="X692:Z692" si="696">IF(Q692="","Unknown",Q692)</f>
        <v>Padang, Indonesia</v>
      </c>
      <c r="Y692" s="4" t="str">
        <f t="shared" si="696"/>
        <v>Unknown</v>
      </c>
      <c r="Z692" s="4" t="str">
        <f t="shared" si="696"/>
        <v>Indonesia</v>
      </c>
      <c r="AA692" s="4" t="str">
        <f t="shared" si="7"/>
        <v>mwc</v>
      </c>
    </row>
    <row r="693">
      <c r="A693" s="3" t="s">
        <v>1637</v>
      </c>
      <c r="B693" s="3">
        <v>6.7</v>
      </c>
      <c r="C693" s="19">
        <f>Raw_Data!T693</f>
        <v>38452.43681</v>
      </c>
      <c r="D693" s="3">
        <v>5.0</v>
      </c>
      <c r="E693" s="3">
        <v>6.0</v>
      </c>
      <c r="F693" s="4"/>
      <c r="G693" s="3">
        <v>0.0</v>
      </c>
      <c r="H693" s="3">
        <v>717.0</v>
      </c>
      <c r="I693" s="3" t="s">
        <v>110</v>
      </c>
      <c r="J693" s="3">
        <v>656.0</v>
      </c>
      <c r="K693" s="3">
        <v>0.0</v>
      </c>
      <c r="L693" s="3">
        <v>21.2</v>
      </c>
      <c r="M693" s="4" t="str">
        <f>Raw_Data!X693</f>
        <v>mwc</v>
      </c>
      <c r="N693" s="3">
        <v>19.0</v>
      </c>
      <c r="O693" s="3">
        <v>-1.644</v>
      </c>
      <c r="P693" s="3">
        <v>99.607</v>
      </c>
      <c r="Q693" s="3" t="s">
        <v>1388</v>
      </c>
      <c r="R693" s="4"/>
      <c r="S693" s="3" t="s">
        <v>153</v>
      </c>
      <c r="T693" s="4" t="str">
        <f t="shared" si="2"/>
        <v>Valid</v>
      </c>
      <c r="U693" s="4">
        <f t="shared" si="3"/>
        <v>1</v>
      </c>
      <c r="V693" s="4" t="str">
        <f t="shared" si="4"/>
        <v>Unique</v>
      </c>
      <c r="W693" s="4" t="str">
        <f t="shared" si="5"/>
        <v>Unknown</v>
      </c>
      <c r="X693" s="4" t="str">
        <f t="shared" ref="X693:Z693" si="697">IF(Q693="","Unknown",Q693)</f>
        <v>Padang, Indonesia</v>
      </c>
      <c r="Y693" s="4" t="str">
        <f t="shared" si="697"/>
        <v>Unknown</v>
      </c>
      <c r="Z693" s="4" t="str">
        <f t="shared" si="697"/>
        <v>Indonesia</v>
      </c>
      <c r="AA693" s="4" t="str">
        <f t="shared" si="7"/>
        <v>mwc</v>
      </c>
    </row>
    <row r="694">
      <c r="A694" s="3" t="s">
        <v>1638</v>
      </c>
      <c r="B694" s="3">
        <v>8.6</v>
      </c>
      <c r="C694" s="19">
        <f>Raw_Data!T694</f>
        <v>38439.67292</v>
      </c>
      <c r="D694" s="3">
        <v>0.0</v>
      </c>
      <c r="E694" s="3">
        <v>8.0</v>
      </c>
      <c r="F694" s="4"/>
      <c r="G694" s="3">
        <v>0.0</v>
      </c>
      <c r="H694" s="3">
        <v>1138.0</v>
      </c>
      <c r="I694" s="3" t="s">
        <v>1196</v>
      </c>
      <c r="J694" s="3">
        <v>510.0</v>
      </c>
      <c r="K694" s="3">
        <v>0.0</v>
      </c>
      <c r="L694" s="3">
        <v>22.1</v>
      </c>
      <c r="M694" s="4" t="str">
        <f>Raw_Data!X694</f>
        <v>mww</v>
      </c>
      <c r="N694" s="3">
        <v>30.0</v>
      </c>
      <c r="O694" s="3">
        <v>2.085</v>
      </c>
      <c r="P694" s="3">
        <v>97.108</v>
      </c>
      <c r="Q694" s="3" t="s">
        <v>1578</v>
      </c>
      <c r="R694" s="4"/>
      <c r="S694" s="3" t="s">
        <v>153</v>
      </c>
      <c r="T694" s="4" t="str">
        <f t="shared" si="2"/>
        <v>Valid</v>
      </c>
      <c r="U694" s="4">
        <f t="shared" si="3"/>
        <v>1</v>
      </c>
      <c r="V694" s="4" t="str">
        <f t="shared" si="4"/>
        <v>Unique</v>
      </c>
      <c r="W694" s="4" t="str">
        <f t="shared" si="5"/>
        <v>Unknown</v>
      </c>
      <c r="X694" s="4" t="str">
        <f t="shared" ref="X694:Z694" si="698">IF(Q694="","Unknown",Q694)</f>
        <v>Singkil, Indonesia</v>
      </c>
      <c r="Y694" s="4" t="str">
        <f t="shared" si="698"/>
        <v>Unknown</v>
      </c>
      <c r="Z694" s="4" t="str">
        <f t="shared" si="698"/>
        <v>Indonesia</v>
      </c>
      <c r="AA694" s="4" t="str">
        <f t="shared" si="7"/>
        <v>mww</v>
      </c>
    </row>
    <row r="695">
      <c r="A695" s="3" t="s">
        <v>1640</v>
      </c>
      <c r="B695" s="3">
        <v>6.6</v>
      </c>
      <c r="C695" s="19">
        <f>Raw_Data!T695</f>
        <v>38431.07847</v>
      </c>
      <c r="D695" s="3">
        <v>8.0</v>
      </c>
      <c r="E695" s="3">
        <v>7.0</v>
      </c>
      <c r="F695" s="4"/>
      <c r="G695" s="3">
        <v>0.0</v>
      </c>
      <c r="H695" s="3">
        <v>805.0</v>
      </c>
      <c r="I695" s="3" t="s">
        <v>110</v>
      </c>
      <c r="J695" s="3">
        <v>401.0</v>
      </c>
      <c r="K695" s="3">
        <v>0.0</v>
      </c>
      <c r="L695" s="3">
        <v>22.9</v>
      </c>
      <c r="M695" s="4" t="str">
        <f>Raw_Data!X695</f>
        <v>mwc</v>
      </c>
      <c r="N695" s="3">
        <v>10.0</v>
      </c>
      <c r="O695" s="3">
        <v>33.807</v>
      </c>
      <c r="P695" s="3">
        <v>130.131</v>
      </c>
      <c r="Q695" s="3" t="s">
        <v>1642</v>
      </c>
      <c r="R695" s="3" t="s">
        <v>164</v>
      </c>
      <c r="S695" s="3" t="s">
        <v>371</v>
      </c>
      <c r="T695" s="4" t="str">
        <f t="shared" si="2"/>
        <v>Valid</v>
      </c>
      <c r="U695" s="4">
        <f t="shared" si="3"/>
        <v>1</v>
      </c>
      <c r="V695" s="4" t="str">
        <f t="shared" si="4"/>
        <v>Unique</v>
      </c>
      <c r="W695" s="4" t="str">
        <f t="shared" si="5"/>
        <v>Unknown</v>
      </c>
      <c r="X695" s="4" t="str">
        <f t="shared" ref="X695:Z695" si="699">IF(Q695="","Unknown",Q695)</f>
        <v>Maebaru-ch??, Japan</v>
      </c>
      <c r="Y695" s="4" t="str">
        <f t="shared" si="699"/>
        <v>Asia</v>
      </c>
      <c r="Z695" s="4" t="str">
        <f t="shared" si="699"/>
        <v>Japan</v>
      </c>
      <c r="AA695" s="4" t="str">
        <f t="shared" si="7"/>
        <v>mwc</v>
      </c>
    </row>
    <row r="696">
      <c r="A696" s="3" t="s">
        <v>1146</v>
      </c>
      <c r="B696" s="3">
        <v>7.1</v>
      </c>
      <c r="C696" s="19">
        <f>Raw_Data!T696</f>
        <v>38413.44583</v>
      </c>
      <c r="D696" s="3">
        <v>0.0</v>
      </c>
      <c r="E696" s="3">
        <v>5.0</v>
      </c>
      <c r="F696" s="4"/>
      <c r="G696" s="3">
        <v>0.0</v>
      </c>
      <c r="H696" s="3">
        <v>776.0</v>
      </c>
      <c r="I696" s="3" t="s">
        <v>110</v>
      </c>
      <c r="J696" s="3">
        <v>569.0</v>
      </c>
      <c r="K696" s="3">
        <v>0.0</v>
      </c>
      <c r="L696" s="3">
        <v>18.1</v>
      </c>
      <c r="M696" s="4" t="str">
        <f>Raw_Data!X696</f>
        <v>mwb</v>
      </c>
      <c r="N696" s="3">
        <v>201.7</v>
      </c>
      <c r="O696" s="3">
        <v>-6.527</v>
      </c>
      <c r="P696" s="3">
        <v>129.933</v>
      </c>
      <c r="Q696" s="3" t="s">
        <v>452</v>
      </c>
      <c r="R696" s="4"/>
      <c r="S696" s="3" t="s">
        <v>153</v>
      </c>
      <c r="T696" s="4" t="str">
        <f t="shared" si="2"/>
        <v>Valid</v>
      </c>
      <c r="U696" s="4">
        <f t="shared" si="3"/>
        <v>1</v>
      </c>
      <c r="V696" s="4" t="str">
        <f t="shared" si="4"/>
        <v>Unique</v>
      </c>
      <c r="W696" s="4" t="str">
        <f t="shared" si="5"/>
        <v>Unknown</v>
      </c>
      <c r="X696" s="4" t="str">
        <f t="shared" ref="X696:Z696" si="700">IF(Q696="","Unknown",Q696)</f>
        <v>Banda Sea</v>
      </c>
      <c r="Y696" s="4" t="str">
        <f t="shared" si="700"/>
        <v>Unknown</v>
      </c>
      <c r="Z696" s="4" t="str">
        <f t="shared" si="700"/>
        <v>Indonesia</v>
      </c>
      <c r="AA696" s="4" t="str">
        <f t="shared" si="7"/>
        <v>mwb</v>
      </c>
    </row>
    <row r="697">
      <c r="A697" s="3" t="s">
        <v>1643</v>
      </c>
      <c r="B697" s="3">
        <v>6.8</v>
      </c>
      <c r="C697" s="19">
        <f>Raw_Data!T697</f>
        <v>38409.53889</v>
      </c>
      <c r="D697" s="3">
        <v>0.0</v>
      </c>
      <c r="E697" s="3">
        <v>6.0</v>
      </c>
      <c r="F697" s="4"/>
      <c r="G697" s="3">
        <v>0.0</v>
      </c>
      <c r="H697" s="3">
        <v>711.0</v>
      </c>
      <c r="I697" s="3" t="s">
        <v>110</v>
      </c>
      <c r="J697" s="3">
        <v>444.0</v>
      </c>
      <c r="K697" s="3">
        <v>0.0</v>
      </c>
      <c r="L697" s="3">
        <v>33.8</v>
      </c>
      <c r="M697" s="4" t="str">
        <f>Raw_Data!X697</f>
        <v>mwb</v>
      </c>
      <c r="N697" s="3">
        <v>36.0</v>
      </c>
      <c r="O697" s="3">
        <v>2.908</v>
      </c>
      <c r="P697" s="3">
        <v>95.592</v>
      </c>
      <c r="Q697" s="3" t="s">
        <v>368</v>
      </c>
      <c r="R697" s="4"/>
      <c r="S697" s="3" t="s">
        <v>153</v>
      </c>
      <c r="T697" s="4" t="str">
        <f t="shared" si="2"/>
        <v>Valid</v>
      </c>
      <c r="U697" s="4">
        <f t="shared" si="3"/>
        <v>1</v>
      </c>
      <c r="V697" s="4" t="str">
        <f t="shared" si="4"/>
        <v>Unique</v>
      </c>
      <c r="W697" s="4" t="str">
        <f t="shared" si="5"/>
        <v>Unknown</v>
      </c>
      <c r="X697" s="4" t="str">
        <f t="shared" ref="X697:Z697" si="701">IF(Q697="","Unknown",Q697)</f>
        <v>Sinabang, Indonesia</v>
      </c>
      <c r="Y697" s="4" t="str">
        <f t="shared" si="701"/>
        <v>Unknown</v>
      </c>
      <c r="Z697" s="4" t="str">
        <f t="shared" si="701"/>
        <v>Indonesia</v>
      </c>
      <c r="AA697" s="4" t="str">
        <f t="shared" si="7"/>
        <v>mwb</v>
      </c>
    </row>
    <row r="698">
      <c r="A698" s="3" t="s">
        <v>1645</v>
      </c>
      <c r="B698" s="3">
        <v>6.5</v>
      </c>
      <c r="C698" s="19">
        <f>Raw_Data!T698</f>
        <v>38402.00278</v>
      </c>
      <c r="D698" s="3">
        <v>0.0</v>
      </c>
      <c r="E698" s="3">
        <v>7.0</v>
      </c>
      <c r="F698" s="4"/>
      <c r="G698" s="3">
        <v>0.0</v>
      </c>
      <c r="H698" s="3">
        <v>650.0</v>
      </c>
      <c r="I698" s="3" t="s">
        <v>110</v>
      </c>
      <c r="J698" s="3">
        <v>371.0</v>
      </c>
      <c r="K698" s="3">
        <v>0.0</v>
      </c>
      <c r="L698" s="3">
        <v>31.8</v>
      </c>
      <c r="M698" s="4" t="str">
        <f>Raw_Data!X698</f>
        <v>mwb</v>
      </c>
      <c r="N698" s="3">
        <v>10.0</v>
      </c>
      <c r="O698" s="3">
        <v>-5.562</v>
      </c>
      <c r="P698" s="3">
        <v>122.129</v>
      </c>
      <c r="Q698" s="3" t="s">
        <v>419</v>
      </c>
      <c r="R698" s="4"/>
      <c r="S698" s="3" t="s">
        <v>153</v>
      </c>
      <c r="T698" s="4" t="str">
        <f t="shared" si="2"/>
        <v>Valid</v>
      </c>
      <c r="U698" s="4">
        <f t="shared" si="3"/>
        <v>1</v>
      </c>
      <c r="V698" s="4" t="str">
        <f t="shared" si="4"/>
        <v>Unique</v>
      </c>
      <c r="W698" s="4" t="str">
        <f t="shared" si="5"/>
        <v>Unknown</v>
      </c>
      <c r="X698" s="4" t="str">
        <f t="shared" ref="X698:Z698" si="702">IF(Q698="","Unknown",Q698)</f>
        <v>Katabu, Indonesia</v>
      </c>
      <c r="Y698" s="4" t="str">
        <f t="shared" si="702"/>
        <v>Unknown</v>
      </c>
      <c r="Z698" s="4" t="str">
        <f t="shared" si="702"/>
        <v>Indonesia</v>
      </c>
      <c r="AA698" s="4" t="str">
        <f t="shared" si="7"/>
        <v>mwb</v>
      </c>
    </row>
    <row r="699">
      <c r="A699" s="3" t="s">
        <v>1647</v>
      </c>
      <c r="B699" s="3">
        <v>6.5</v>
      </c>
      <c r="C699" s="19">
        <f>Raw_Data!T699</f>
        <v>38398.6125</v>
      </c>
      <c r="D699" s="3">
        <v>3.0</v>
      </c>
      <c r="E699" s="3">
        <v>5.0</v>
      </c>
      <c r="F699" s="4"/>
      <c r="G699" s="3">
        <v>0.0</v>
      </c>
      <c r="H699" s="3">
        <v>652.0</v>
      </c>
      <c r="I699" s="3" t="s">
        <v>110</v>
      </c>
      <c r="J699" s="3">
        <v>286.0</v>
      </c>
      <c r="K699" s="3">
        <v>0.0</v>
      </c>
      <c r="L699" s="3">
        <v>47.3</v>
      </c>
      <c r="M699" s="4" t="str">
        <f>Raw_Data!X699</f>
        <v>mwc</v>
      </c>
      <c r="N699" s="3">
        <v>39.7</v>
      </c>
      <c r="O699" s="3">
        <v>4.756</v>
      </c>
      <c r="P699" s="3">
        <v>126.421</v>
      </c>
      <c r="Q699" s="3" t="s">
        <v>1649</v>
      </c>
      <c r="R699" s="4"/>
      <c r="S699" s="3" t="s">
        <v>153</v>
      </c>
      <c r="T699" s="4" t="str">
        <f t="shared" si="2"/>
        <v>Valid</v>
      </c>
      <c r="U699" s="4">
        <f t="shared" si="3"/>
        <v>1</v>
      </c>
      <c r="V699" s="4" t="str">
        <f t="shared" si="4"/>
        <v>Unique</v>
      </c>
      <c r="W699" s="4" t="str">
        <f t="shared" si="5"/>
        <v>Unknown</v>
      </c>
      <c r="X699" s="4" t="str">
        <f t="shared" ref="X699:Z699" si="703">IF(Q699="","Unknown",Q699)</f>
        <v>Pulau-Pulau Talaud, Indonesia</v>
      </c>
      <c r="Y699" s="4" t="str">
        <f t="shared" si="703"/>
        <v>Unknown</v>
      </c>
      <c r="Z699" s="4" t="str">
        <f t="shared" si="703"/>
        <v>Indonesia</v>
      </c>
      <c r="AA699" s="4" t="str">
        <f t="shared" si="7"/>
        <v>mwc</v>
      </c>
    </row>
    <row r="700">
      <c r="A700" s="3" t="s">
        <v>1650</v>
      </c>
      <c r="B700" s="3">
        <v>6.7</v>
      </c>
      <c r="C700" s="19">
        <f>Raw_Data!T700</f>
        <v>38391.61667</v>
      </c>
      <c r="D700" s="3">
        <v>0.0</v>
      </c>
      <c r="E700" s="3">
        <v>4.0</v>
      </c>
      <c r="F700" s="4"/>
      <c r="G700" s="3">
        <v>0.0</v>
      </c>
      <c r="H700" s="3">
        <v>691.0</v>
      </c>
      <c r="I700" s="3" t="s">
        <v>110</v>
      </c>
      <c r="J700" s="3">
        <v>457.0</v>
      </c>
      <c r="K700" s="3">
        <v>0.0</v>
      </c>
      <c r="L700" s="3">
        <v>30.2</v>
      </c>
      <c r="M700" s="4" t="str">
        <f>Raw_Data!X700</f>
        <v>mwb</v>
      </c>
      <c r="N700" s="3">
        <v>206.3</v>
      </c>
      <c r="O700" s="3">
        <v>-14.252</v>
      </c>
      <c r="P700" s="3">
        <v>167.259</v>
      </c>
      <c r="Q700" s="3" t="s">
        <v>112</v>
      </c>
      <c r="R700" s="4"/>
      <c r="S700" s="3" t="s">
        <v>113</v>
      </c>
      <c r="T700" s="4" t="str">
        <f t="shared" si="2"/>
        <v>Valid</v>
      </c>
      <c r="U700" s="4">
        <f t="shared" si="3"/>
        <v>1</v>
      </c>
      <c r="V700" s="4" t="str">
        <f t="shared" si="4"/>
        <v>Unique</v>
      </c>
      <c r="W700" s="4" t="str">
        <f t="shared" si="5"/>
        <v>Unknown</v>
      </c>
      <c r="X700" s="4" t="str">
        <f t="shared" ref="X700:Z700" si="704">IF(Q700="","Unknown",Q700)</f>
        <v>Sola, Vanuatu</v>
      </c>
      <c r="Y700" s="4" t="str">
        <f t="shared" si="704"/>
        <v>Unknown</v>
      </c>
      <c r="Z700" s="4" t="str">
        <f t="shared" si="704"/>
        <v>Vanuatu</v>
      </c>
      <c r="AA700" s="4" t="str">
        <f t="shared" si="7"/>
        <v>mwb</v>
      </c>
    </row>
    <row r="701">
      <c r="A701" s="3" t="s">
        <v>1651</v>
      </c>
      <c r="B701" s="3">
        <v>7.1</v>
      </c>
      <c r="C701" s="19">
        <f>Raw_Data!T701</f>
        <v>38388.51597</v>
      </c>
      <c r="D701" s="3">
        <v>7.0</v>
      </c>
      <c r="E701" s="3">
        <v>3.0</v>
      </c>
      <c r="F701" s="4"/>
      <c r="G701" s="3">
        <v>0.0</v>
      </c>
      <c r="H701" s="3">
        <v>782.0</v>
      </c>
      <c r="I701" s="3" t="s">
        <v>110</v>
      </c>
      <c r="J701" s="3">
        <v>640.0</v>
      </c>
      <c r="K701" s="3">
        <v>0.0</v>
      </c>
      <c r="L701" s="3">
        <v>26.4</v>
      </c>
      <c r="M701" s="4" t="str">
        <f>Raw_Data!X701</f>
        <v>mwc</v>
      </c>
      <c r="N701" s="3">
        <v>525.0</v>
      </c>
      <c r="O701" s="3">
        <v>5.293</v>
      </c>
      <c r="P701" s="3">
        <v>123.337</v>
      </c>
      <c r="Q701" s="3" t="s">
        <v>1652</v>
      </c>
      <c r="R701" s="4"/>
      <c r="S701" s="4"/>
      <c r="T701" s="4" t="str">
        <f t="shared" si="2"/>
        <v>Valid</v>
      </c>
      <c r="U701" s="4">
        <f t="shared" si="3"/>
        <v>1</v>
      </c>
      <c r="V701" s="4" t="str">
        <f t="shared" si="4"/>
        <v>Unique</v>
      </c>
      <c r="W701" s="4" t="str">
        <f t="shared" si="5"/>
        <v>Unknown</v>
      </c>
      <c r="X701" s="4" t="str">
        <f t="shared" ref="X701:Z701" si="705">IF(Q701="","Unknown",Q701)</f>
        <v>Palimbang, Philippines</v>
      </c>
      <c r="Y701" s="4" t="str">
        <f t="shared" si="705"/>
        <v>Unknown</v>
      </c>
      <c r="Z701" s="4" t="str">
        <f t="shared" si="705"/>
        <v>Unknown</v>
      </c>
      <c r="AA701" s="4" t="str">
        <f t="shared" si="7"/>
        <v>mwc</v>
      </c>
    </row>
    <row r="702">
      <c r="A702" s="3" t="s">
        <v>1653</v>
      </c>
      <c r="B702" s="3">
        <v>6.6</v>
      </c>
      <c r="C702" s="19">
        <f>Raw_Data!T702</f>
        <v>38371.25764</v>
      </c>
      <c r="D702" s="3">
        <v>6.0</v>
      </c>
      <c r="E702" s="3">
        <v>4.0</v>
      </c>
      <c r="F702" s="4"/>
      <c r="G702" s="3">
        <v>0.0</v>
      </c>
      <c r="H702" s="3">
        <v>676.0</v>
      </c>
      <c r="I702" s="3" t="s">
        <v>110</v>
      </c>
      <c r="J702" s="3">
        <v>225.0</v>
      </c>
      <c r="K702" s="3">
        <v>0.0</v>
      </c>
      <c r="L702" s="3">
        <v>78.5</v>
      </c>
      <c r="M702" s="4" t="str">
        <f>Raw_Data!X702</f>
        <v>mwc</v>
      </c>
      <c r="N702" s="3">
        <v>27.8</v>
      </c>
      <c r="O702" s="3">
        <v>34.064</v>
      </c>
      <c r="P702" s="3">
        <v>141.491</v>
      </c>
      <c r="Q702" s="3" t="s">
        <v>1655</v>
      </c>
      <c r="R702" s="4"/>
      <c r="S702" s="4"/>
      <c r="T702" s="4" t="str">
        <f t="shared" si="2"/>
        <v>Valid</v>
      </c>
      <c r="U702" s="4">
        <f t="shared" si="3"/>
        <v>1</v>
      </c>
      <c r="V702" s="4" t="str">
        <f t="shared" si="4"/>
        <v>Unique</v>
      </c>
      <c r="W702" s="4" t="str">
        <f t="shared" si="5"/>
        <v>Unknown</v>
      </c>
      <c r="X702" s="4" t="str">
        <f t="shared" ref="X702:Z702" si="706">IF(Q702="","Unknown",Q702)</f>
        <v>Katsuura, Japan</v>
      </c>
      <c r="Y702" s="4" t="str">
        <f t="shared" si="706"/>
        <v>Unknown</v>
      </c>
      <c r="Z702" s="4" t="str">
        <f t="shared" si="706"/>
        <v>Unknown</v>
      </c>
      <c r="AA702" s="4" t="str">
        <f t="shared" si="7"/>
        <v>mwc</v>
      </c>
    </row>
    <row r="703">
      <c r="A703" s="3" t="s">
        <v>859</v>
      </c>
      <c r="B703" s="3">
        <v>6.6</v>
      </c>
      <c r="C703" s="19">
        <f>Raw_Data!T703</f>
        <v>38347.38889</v>
      </c>
      <c r="D703" s="3">
        <v>0.0</v>
      </c>
      <c r="E703" s="3">
        <v>5.0</v>
      </c>
      <c r="F703" s="4"/>
      <c r="G703" s="3">
        <v>0.0</v>
      </c>
      <c r="H703" s="3">
        <v>670.0</v>
      </c>
      <c r="I703" s="3" t="s">
        <v>110</v>
      </c>
      <c r="J703" s="3">
        <v>353.0</v>
      </c>
      <c r="K703" s="3">
        <v>0.0</v>
      </c>
      <c r="L703" s="3">
        <v>31.9</v>
      </c>
      <c r="M703" s="4" t="str">
        <f>Raw_Data!X703</f>
        <v>mwc</v>
      </c>
      <c r="N703" s="3">
        <v>16.1</v>
      </c>
      <c r="O703" s="3">
        <v>8.879</v>
      </c>
      <c r="P703" s="3">
        <v>92.375</v>
      </c>
      <c r="Q703" s="3" t="s">
        <v>860</v>
      </c>
      <c r="R703" s="4"/>
      <c r="S703" s="4"/>
      <c r="T703" s="4" t="str">
        <f t="shared" si="2"/>
        <v>Valid</v>
      </c>
      <c r="U703" s="4">
        <f t="shared" si="3"/>
        <v>1</v>
      </c>
      <c r="V703" s="4" t="str">
        <f t="shared" si="4"/>
        <v>Unique</v>
      </c>
      <c r="W703" s="4" t="str">
        <f t="shared" si="5"/>
        <v>Unknown</v>
      </c>
      <c r="X703" s="4" t="str">
        <f t="shared" ref="X703:Z703" si="707">IF(Q703="","Unknown",Q703)</f>
        <v>Nicobar Islands, India region</v>
      </c>
      <c r="Y703" s="4" t="str">
        <f t="shared" si="707"/>
        <v>Unknown</v>
      </c>
      <c r="Z703" s="4" t="str">
        <f t="shared" si="707"/>
        <v>Unknown</v>
      </c>
      <c r="AA703" s="4" t="str">
        <f t="shared" si="7"/>
        <v>mwc</v>
      </c>
    </row>
    <row r="704">
      <c r="A704" s="3" t="s">
        <v>1657</v>
      </c>
      <c r="B704" s="3">
        <v>7.2</v>
      </c>
      <c r="C704" s="19">
        <f>Raw_Data!T704</f>
        <v>38347.18125</v>
      </c>
      <c r="D704" s="3">
        <v>5.0</v>
      </c>
      <c r="E704" s="3">
        <v>6.0</v>
      </c>
      <c r="F704" s="4"/>
      <c r="G704" s="3">
        <v>0.0</v>
      </c>
      <c r="H704" s="3">
        <v>802.0</v>
      </c>
      <c r="I704" s="3" t="s">
        <v>110</v>
      </c>
      <c r="J704" s="3">
        <v>385.0</v>
      </c>
      <c r="K704" s="3">
        <v>0.0</v>
      </c>
      <c r="L704" s="3">
        <v>27.9</v>
      </c>
      <c r="M704" s="4" t="str">
        <f>Raw_Data!X704</f>
        <v>mwc</v>
      </c>
      <c r="N704" s="3">
        <v>39.2</v>
      </c>
      <c r="O704" s="3">
        <v>6.91</v>
      </c>
      <c r="P704" s="3">
        <v>92.958</v>
      </c>
      <c r="Q704" s="3" t="s">
        <v>1659</v>
      </c>
      <c r="R704" s="4"/>
      <c r="S704" s="4"/>
      <c r="T704" s="4" t="str">
        <f t="shared" si="2"/>
        <v>Valid</v>
      </c>
      <c r="U704" s="4">
        <f t="shared" si="3"/>
        <v>1</v>
      </c>
      <c r="V704" s="4" t="str">
        <f t="shared" si="4"/>
        <v>Unique</v>
      </c>
      <c r="W704" s="4" t="str">
        <f t="shared" si="5"/>
        <v>Unknown</v>
      </c>
      <c r="X704" s="4" t="str">
        <f t="shared" ref="X704:Z704" si="708">IF(Q704="","Unknown",Q704)</f>
        <v>Sabang, Indonesia</v>
      </c>
      <c r="Y704" s="4" t="str">
        <f t="shared" si="708"/>
        <v>Unknown</v>
      </c>
      <c r="Z704" s="4" t="str">
        <f t="shared" si="708"/>
        <v>Unknown</v>
      </c>
      <c r="AA704" s="4" t="str">
        <f t="shared" si="7"/>
        <v>mwc</v>
      </c>
    </row>
    <row r="705">
      <c r="A705" s="3" t="s">
        <v>1660</v>
      </c>
      <c r="B705" s="3">
        <v>9.1</v>
      </c>
      <c r="C705" s="19">
        <f>Raw_Data!T705</f>
        <v>38347.04028</v>
      </c>
      <c r="D705" s="3">
        <v>0.0</v>
      </c>
      <c r="E705" s="3">
        <v>8.0</v>
      </c>
      <c r="F705" s="4"/>
      <c r="G705" s="3">
        <v>0.0</v>
      </c>
      <c r="H705" s="3">
        <v>1274.0</v>
      </c>
      <c r="I705" s="3" t="s">
        <v>1196</v>
      </c>
      <c r="J705" s="3">
        <v>601.0</v>
      </c>
      <c r="K705" s="3">
        <v>0.0</v>
      </c>
      <c r="L705" s="3">
        <v>22.0</v>
      </c>
      <c r="M705" s="4" t="str">
        <f>Raw_Data!X705</f>
        <v>mw</v>
      </c>
      <c r="N705" s="3">
        <v>30.0</v>
      </c>
      <c r="O705" s="3">
        <v>3.295</v>
      </c>
      <c r="P705" s="3">
        <v>95.982</v>
      </c>
      <c r="Q705" s="3" t="s">
        <v>1662</v>
      </c>
      <c r="R705" s="4"/>
      <c r="S705" s="3" t="s">
        <v>153</v>
      </c>
      <c r="T705" s="4" t="str">
        <f t="shared" si="2"/>
        <v>Valid</v>
      </c>
      <c r="U705" s="4">
        <f t="shared" si="3"/>
        <v>1</v>
      </c>
      <c r="V705" s="4" t="str">
        <f t="shared" si="4"/>
        <v>Unique</v>
      </c>
      <c r="W705" s="4" t="str">
        <f t="shared" si="5"/>
        <v>Unknown</v>
      </c>
      <c r="X705" s="4" t="str">
        <f t="shared" ref="X705:Z705" si="709">IF(Q705="","Unknown",Q705)</f>
        <v>2004 Sumatra - Andaman Islands Earthquake</v>
      </c>
      <c r="Y705" s="4" t="str">
        <f t="shared" si="709"/>
        <v>Unknown</v>
      </c>
      <c r="Z705" s="4" t="str">
        <f t="shared" si="709"/>
        <v>Indonesia</v>
      </c>
      <c r="AA705" s="4" t="str">
        <f t="shared" si="7"/>
        <v>mw</v>
      </c>
    </row>
    <row r="706">
      <c r="A706" s="3" t="s">
        <v>1663</v>
      </c>
      <c r="B706" s="3">
        <v>8.1</v>
      </c>
      <c r="C706" s="19">
        <f>Raw_Data!T706</f>
        <v>38344.62431</v>
      </c>
      <c r="D706" s="3">
        <v>0.0</v>
      </c>
      <c r="E706" s="3">
        <v>5.0</v>
      </c>
      <c r="F706" s="4"/>
      <c r="G706" s="3">
        <v>0.0</v>
      </c>
      <c r="H706" s="3">
        <v>1009.0</v>
      </c>
      <c r="I706" s="3" t="s">
        <v>110</v>
      </c>
      <c r="J706" s="3">
        <v>331.0</v>
      </c>
      <c r="K706" s="3">
        <v>0.0</v>
      </c>
      <c r="L706" s="3">
        <v>59.3</v>
      </c>
      <c r="M706" s="4" t="str">
        <f>Raw_Data!X706</f>
        <v>mwc</v>
      </c>
      <c r="N706" s="3">
        <v>10.0</v>
      </c>
      <c r="O706" s="3">
        <v>-49.312</v>
      </c>
      <c r="P706" s="3">
        <v>161.345</v>
      </c>
      <c r="Q706" s="3" t="s">
        <v>1665</v>
      </c>
      <c r="R706" s="4"/>
      <c r="S706" s="4"/>
      <c r="T706" s="4" t="str">
        <f t="shared" si="2"/>
        <v>Valid</v>
      </c>
      <c r="U706" s="4">
        <f t="shared" si="3"/>
        <v>1</v>
      </c>
      <c r="V706" s="4" t="str">
        <f t="shared" si="4"/>
        <v>Unique</v>
      </c>
      <c r="W706" s="4" t="str">
        <f t="shared" si="5"/>
        <v>Unknown</v>
      </c>
      <c r="X706" s="4" t="str">
        <f t="shared" ref="X706:Z706" si="710">IF(Q706="","Unknown",Q706)</f>
        <v>Macquarie Island</v>
      </c>
      <c r="Y706" s="4" t="str">
        <f t="shared" si="710"/>
        <v>Unknown</v>
      </c>
      <c r="Z706" s="4" t="str">
        <f t="shared" si="710"/>
        <v>Unknown</v>
      </c>
      <c r="AA706" s="4" t="str">
        <f t="shared" si="7"/>
        <v>mwc</v>
      </c>
    </row>
    <row r="707">
      <c r="A707" s="3" t="s">
        <v>1666</v>
      </c>
      <c r="B707" s="3">
        <v>6.8</v>
      </c>
      <c r="C707" s="19">
        <f>Raw_Data!T707</f>
        <v>38335.97222</v>
      </c>
      <c r="D707" s="3">
        <v>5.0</v>
      </c>
      <c r="E707" s="3">
        <v>6.0</v>
      </c>
      <c r="F707" s="4"/>
      <c r="G707" s="3">
        <v>0.0</v>
      </c>
      <c r="H707" s="3">
        <v>858.0</v>
      </c>
      <c r="I707" s="3" t="s">
        <v>110</v>
      </c>
      <c r="J707" s="3">
        <v>639.0</v>
      </c>
      <c r="K707" s="3">
        <v>0.0</v>
      </c>
      <c r="L707" s="3">
        <v>21.8</v>
      </c>
      <c r="M707" s="4" t="str">
        <f>Raw_Data!X707</f>
        <v>mwb</v>
      </c>
      <c r="N707" s="3">
        <v>10.0</v>
      </c>
      <c r="O707" s="3">
        <v>18.958</v>
      </c>
      <c r="P707" s="3">
        <v>-81.409</v>
      </c>
      <c r="Q707" s="3" t="s">
        <v>1668</v>
      </c>
      <c r="R707" s="4"/>
      <c r="S707" s="4"/>
      <c r="T707" s="4" t="str">
        <f t="shared" si="2"/>
        <v>Valid</v>
      </c>
      <c r="U707" s="4">
        <f t="shared" si="3"/>
        <v>1</v>
      </c>
      <c r="V707" s="4" t="str">
        <f t="shared" si="4"/>
        <v>Unique</v>
      </c>
      <c r="W707" s="4" t="str">
        <f t="shared" si="5"/>
        <v>Unknown</v>
      </c>
      <c r="X707" s="4" t="str">
        <f t="shared" ref="X707:Z707" si="711">IF(Q707="","Unknown",Q707)</f>
        <v>George Town, Cayman Islands</v>
      </c>
      <c r="Y707" s="4" t="str">
        <f t="shared" si="711"/>
        <v>Unknown</v>
      </c>
      <c r="Z707" s="4" t="str">
        <f t="shared" si="711"/>
        <v>Unknown</v>
      </c>
      <c r="AA707" s="4" t="str">
        <f t="shared" si="7"/>
        <v>mwb</v>
      </c>
    </row>
    <row r="708">
      <c r="A708" s="3" t="s">
        <v>1669</v>
      </c>
      <c r="B708" s="3">
        <v>6.8</v>
      </c>
      <c r="C708" s="19">
        <f>Raw_Data!T708</f>
        <v>38327.59375</v>
      </c>
      <c r="D708" s="3">
        <v>4.0</v>
      </c>
      <c r="E708" s="3">
        <v>7.0</v>
      </c>
      <c r="F708" s="4"/>
      <c r="G708" s="3">
        <v>0.0</v>
      </c>
      <c r="H708" s="3">
        <v>724.0</v>
      </c>
      <c r="I708" s="3" t="s">
        <v>110</v>
      </c>
      <c r="J708" s="3">
        <v>759.0</v>
      </c>
      <c r="K708" s="3">
        <v>0.0</v>
      </c>
      <c r="L708" s="3">
        <v>23.6</v>
      </c>
      <c r="M708" s="4" t="str">
        <f>Raw_Data!X708</f>
        <v>mwb</v>
      </c>
      <c r="N708" s="3">
        <v>35.0</v>
      </c>
      <c r="O708" s="3">
        <v>42.9</v>
      </c>
      <c r="P708" s="3">
        <v>145.228</v>
      </c>
      <c r="Q708" s="3" t="s">
        <v>1670</v>
      </c>
      <c r="R708" s="3" t="s">
        <v>164</v>
      </c>
      <c r="S708" s="3" t="s">
        <v>371</v>
      </c>
      <c r="T708" s="4" t="str">
        <f t="shared" si="2"/>
        <v>Valid</v>
      </c>
      <c r="U708" s="4">
        <f t="shared" si="3"/>
        <v>1</v>
      </c>
      <c r="V708" s="4" t="str">
        <f t="shared" si="4"/>
        <v>Unique</v>
      </c>
      <c r="W708" s="4" t="str">
        <f t="shared" si="5"/>
        <v>Unknown</v>
      </c>
      <c r="X708" s="4" t="str">
        <f t="shared" ref="X708:Z708" si="712">IF(Q708="","Unknown",Q708)</f>
        <v>Nemuro, Japan</v>
      </c>
      <c r="Y708" s="4" t="str">
        <f t="shared" si="712"/>
        <v>Asia</v>
      </c>
      <c r="Z708" s="4" t="str">
        <f t="shared" si="712"/>
        <v>Japan</v>
      </c>
      <c r="AA708" s="4" t="str">
        <f t="shared" si="7"/>
        <v>mwb</v>
      </c>
    </row>
    <row r="709">
      <c r="A709" s="3" t="s">
        <v>1671</v>
      </c>
      <c r="B709" s="3">
        <v>7.0</v>
      </c>
      <c r="C709" s="19">
        <f>Raw_Data!T709</f>
        <v>38319.77222</v>
      </c>
      <c r="D709" s="3">
        <v>4.0</v>
      </c>
      <c r="E709" s="3">
        <v>7.0</v>
      </c>
      <c r="F709" s="4"/>
      <c r="G709" s="3">
        <v>0.0</v>
      </c>
      <c r="H709" s="3">
        <v>771.0</v>
      </c>
      <c r="I709" s="3" t="s">
        <v>110</v>
      </c>
      <c r="J709" s="3">
        <v>929.0</v>
      </c>
      <c r="K709" s="3">
        <v>0.0</v>
      </c>
      <c r="L709" s="3">
        <v>23.9</v>
      </c>
      <c r="M709" s="4" t="str">
        <f>Raw_Data!X709</f>
        <v>mwb</v>
      </c>
      <c r="N709" s="3">
        <v>39.0</v>
      </c>
      <c r="O709" s="3">
        <v>43.006</v>
      </c>
      <c r="P709" s="3">
        <v>145.119</v>
      </c>
      <c r="Q709" s="3" t="s">
        <v>1670</v>
      </c>
      <c r="R709" s="3" t="s">
        <v>164</v>
      </c>
      <c r="S709" s="3" t="s">
        <v>371</v>
      </c>
      <c r="T709" s="4" t="str">
        <f t="shared" si="2"/>
        <v>Valid</v>
      </c>
      <c r="U709" s="4">
        <f t="shared" si="3"/>
        <v>1</v>
      </c>
      <c r="V709" s="4" t="str">
        <f t="shared" si="4"/>
        <v>Unique</v>
      </c>
      <c r="W709" s="4" t="str">
        <f t="shared" si="5"/>
        <v>Unknown</v>
      </c>
      <c r="X709" s="4" t="str">
        <f t="shared" ref="X709:Z709" si="713">IF(Q709="","Unknown",Q709)</f>
        <v>Nemuro, Japan</v>
      </c>
      <c r="Y709" s="4" t="str">
        <f t="shared" si="713"/>
        <v>Asia</v>
      </c>
      <c r="Z709" s="4" t="str">
        <f t="shared" si="713"/>
        <v>Japan</v>
      </c>
      <c r="AA709" s="4" t="str">
        <f t="shared" si="7"/>
        <v>mwb</v>
      </c>
    </row>
    <row r="710">
      <c r="A710" s="3" t="s">
        <v>1673</v>
      </c>
      <c r="B710" s="3">
        <v>7.1</v>
      </c>
      <c r="C710" s="19">
        <f>Raw_Data!T710</f>
        <v>38317.10069</v>
      </c>
      <c r="D710" s="3">
        <v>0.0</v>
      </c>
      <c r="E710" s="3">
        <v>7.0</v>
      </c>
      <c r="F710" s="4"/>
      <c r="G710" s="3">
        <v>0.0</v>
      </c>
      <c r="H710" s="3">
        <v>776.0</v>
      </c>
      <c r="I710" s="3" t="s">
        <v>110</v>
      </c>
      <c r="J710" s="3">
        <v>439.0</v>
      </c>
      <c r="K710" s="3">
        <v>0.0</v>
      </c>
      <c r="L710" s="3">
        <v>28.8</v>
      </c>
      <c r="M710" s="4" t="str">
        <f>Raw_Data!X710</f>
        <v>mwc</v>
      </c>
      <c r="N710" s="3">
        <v>10.0</v>
      </c>
      <c r="O710" s="3">
        <v>-3.609</v>
      </c>
      <c r="P710" s="3">
        <v>135.404</v>
      </c>
      <c r="Q710" s="3" t="s">
        <v>1675</v>
      </c>
      <c r="R710" s="4"/>
      <c r="S710" s="3" t="s">
        <v>153</v>
      </c>
      <c r="T710" s="4" t="str">
        <f t="shared" si="2"/>
        <v>Valid</v>
      </c>
      <c r="U710" s="4">
        <f t="shared" si="3"/>
        <v>1</v>
      </c>
      <c r="V710" s="4" t="str">
        <f t="shared" si="4"/>
        <v>Unique</v>
      </c>
      <c r="W710" s="4" t="str">
        <f t="shared" si="5"/>
        <v>Unknown</v>
      </c>
      <c r="X710" s="4" t="str">
        <f t="shared" ref="X710:Z710" si="714">IF(Q710="","Unknown",Q710)</f>
        <v>Nabire, Indonesia</v>
      </c>
      <c r="Y710" s="4" t="str">
        <f t="shared" si="714"/>
        <v>Unknown</v>
      </c>
      <c r="Z710" s="4" t="str">
        <f t="shared" si="714"/>
        <v>Indonesia</v>
      </c>
      <c r="AA710" s="4" t="str">
        <f t="shared" si="7"/>
        <v>mwc</v>
      </c>
    </row>
    <row r="711">
      <c r="A711" s="3" t="s">
        <v>1676</v>
      </c>
      <c r="B711" s="3">
        <v>7.1</v>
      </c>
      <c r="C711" s="19">
        <f>Raw_Data!T711</f>
        <v>38313.85139</v>
      </c>
      <c r="D711" s="3">
        <v>5.0</v>
      </c>
      <c r="E711" s="3">
        <v>5.0</v>
      </c>
      <c r="F711" s="4"/>
      <c r="G711" s="3">
        <v>0.0</v>
      </c>
      <c r="H711" s="3">
        <v>782.0</v>
      </c>
      <c r="I711" s="3" t="s">
        <v>110</v>
      </c>
      <c r="J711" s="3">
        <v>585.0</v>
      </c>
      <c r="K711" s="3">
        <v>0.0</v>
      </c>
      <c r="L711" s="3">
        <v>14.7</v>
      </c>
      <c r="M711" s="4" t="str">
        <f>Raw_Data!X711</f>
        <v>mwc</v>
      </c>
      <c r="N711" s="3">
        <v>10.0</v>
      </c>
      <c r="O711" s="3">
        <v>-46.676</v>
      </c>
      <c r="P711" s="3">
        <v>164.721</v>
      </c>
      <c r="Q711" s="3" t="s">
        <v>1678</v>
      </c>
      <c r="R711" s="4"/>
      <c r="S711" s="4"/>
      <c r="T711" s="4" t="str">
        <f t="shared" si="2"/>
        <v>Valid</v>
      </c>
      <c r="U711" s="4">
        <f t="shared" si="3"/>
        <v>1</v>
      </c>
      <c r="V711" s="4" t="str">
        <f t="shared" si="4"/>
        <v>Unique</v>
      </c>
      <c r="W711" s="4" t="str">
        <f t="shared" si="5"/>
        <v>Unknown</v>
      </c>
      <c r="X711" s="4" t="str">
        <f t="shared" ref="X711:Z711" si="715">IF(Q711="","Unknown",Q711)</f>
        <v>Riverton, New Zealand</v>
      </c>
      <c r="Y711" s="4" t="str">
        <f t="shared" si="715"/>
        <v>Unknown</v>
      </c>
      <c r="Z711" s="4" t="str">
        <f t="shared" si="715"/>
        <v>Unknown</v>
      </c>
      <c r="AA711" s="4" t="str">
        <f t="shared" si="7"/>
        <v>mwc</v>
      </c>
    </row>
    <row r="712">
      <c r="A712" s="3" t="s">
        <v>1679</v>
      </c>
      <c r="B712" s="3">
        <v>7.2</v>
      </c>
      <c r="C712" s="19">
        <f>Raw_Data!T712</f>
        <v>38306.37917</v>
      </c>
      <c r="D712" s="3">
        <v>8.0</v>
      </c>
      <c r="E712" s="3">
        <v>8.0</v>
      </c>
      <c r="F712" s="4"/>
      <c r="G712" s="3">
        <v>0.0</v>
      </c>
      <c r="H712" s="3">
        <v>820.0</v>
      </c>
      <c r="I712" s="3" t="s">
        <v>110</v>
      </c>
      <c r="J712" s="3">
        <v>708.0</v>
      </c>
      <c r="K712" s="3">
        <v>0.0</v>
      </c>
      <c r="L712" s="3">
        <v>50.2</v>
      </c>
      <c r="M712" s="4" t="str">
        <f>Raw_Data!X712</f>
        <v>mwb</v>
      </c>
      <c r="N712" s="3">
        <v>15.0</v>
      </c>
      <c r="O712" s="3">
        <v>4.695</v>
      </c>
      <c r="P712" s="3">
        <v>-77.508</v>
      </c>
      <c r="Q712" s="3" t="s">
        <v>1681</v>
      </c>
      <c r="R712" s="4"/>
      <c r="S712" s="3" t="s">
        <v>140</v>
      </c>
      <c r="T712" s="4" t="str">
        <f t="shared" si="2"/>
        <v>Valid</v>
      </c>
      <c r="U712" s="4">
        <f t="shared" si="3"/>
        <v>1</v>
      </c>
      <c r="V712" s="4" t="str">
        <f t="shared" si="4"/>
        <v>Unique</v>
      </c>
      <c r="W712" s="4" t="str">
        <f t="shared" si="5"/>
        <v>Unknown</v>
      </c>
      <c r="X712" s="4" t="str">
        <f t="shared" ref="X712:Z712" si="716">IF(Q712="","Unknown",Q712)</f>
        <v>Pizarro, Colombia</v>
      </c>
      <c r="Y712" s="4" t="str">
        <f t="shared" si="716"/>
        <v>Unknown</v>
      </c>
      <c r="Z712" s="4" t="str">
        <f t="shared" si="716"/>
        <v>Colombia</v>
      </c>
      <c r="AA712" s="4" t="str">
        <f t="shared" si="7"/>
        <v>mwb</v>
      </c>
    </row>
    <row r="713">
      <c r="A713" s="3" t="s">
        <v>1682</v>
      </c>
      <c r="B713" s="3">
        <v>7.5</v>
      </c>
      <c r="C713" s="19">
        <f>Raw_Data!T713</f>
        <v>38302.89306</v>
      </c>
      <c r="D713" s="3">
        <v>5.0</v>
      </c>
      <c r="E713" s="3">
        <v>7.0</v>
      </c>
      <c r="F713" s="4"/>
      <c r="G713" s="3">
        <v>0.0</v>
      </c>
      <c r="H713" s="3">
        <v>870.0</v>
      </c>
      <c r="I713" s="3" t="s">
        <v>110</v>
      </c>
      <c r="J713" s="3">
        <v>301.0</v>
      </c>
      <c r="K713" s="3">
        <v>0.0</v>
      </c>
      <c r="L713" s="3">
        <v>33.8</v>
      </c>
      <c r="M713" s="4" t="str">
        <f>Raw_Data!X713</f>
        <v>mwc</v>
      </c>
      <c r="N713" s="3">
        <v>10.0</v>
      </c>
      <c r="O713" s="3">
        <v>-8.152</v>
      </c>
      <c r="P713" s="3">
        <v>124.868</v>
      </c>
      <c r="Q713" s="3" t="s">
        <v>864</v>
      </c>
      <c r="R713" s="4"/>
      <c r="S713" s="3" t="s">
        <v>153</v>
      </c>
      <c r="T713" s="4" t="str">
        <f t="shared" si="2"/>
        <v>Valid</v>
      </c>
      <c r="U713" s="4">
        <f t="shared" si="3"/>
        <v>1</v>
      </c>
      <c r="V713" s="4" t="str">
        <f t="shared" si="4"/>
        <v>Unique</v>
      </c>
      <c r="W713" s="4" t="str">
        <f t="shared" si="5"/>
        <v>Unknown</v>
      </c>
      <c r="X713" s="4" t="str">
        <f t="shared" ref="X713:Z713" si="717">IF(Q713="","Unknown",Q713)</f>
        <v>Maubara, Timor Leste</v>
      </c>
      <c r="Y713" s="4" t="str">
        <f t="shared" si="717"/>
        <v>Unknown</v>
      </c>
      <c r="Z713" s="4" t="str">
        <f t="shared" si="717"/>
        <v>Indonesia</v>
      </c>
      <c r="AA713" s="4" t="str">
        <f t="shared" si="7"/>
        <v>mwc</v>
      </c>
    </row>
    <row r="714">
      <c r="A714" s="3" t="s">
        <v>1683</v>
      </c>
      <c r="B714" s="3">
        <v>6.7</v>
      </c>
      <c r="C714" s="19">
        <f>Raw_Data!T714</f>
        <v>38302.73194</v>
      </c>
      <c r="D714" s="3">
        <v>0.0</v>
      </c>
      <c r="E714" s="3">
        <v>6.0</v>
      </c>
      <c r="F714" s="4"/>
      <c r="G714" s="3">
        <v>0.0</v>
      </c>
      <c r="H714" s="3">
        <v>691.0</v>
      </c>
      <c r="I714" s="3" t="s">
        <v>110</v>
      </c>
      <c r="J714" s="3">
        <v>233.0</v>
      </c>
      <c r="K714" s="3">
        <v>0.0</v>
      </c>
      <c r="L714" s="3">
        <v>21.5</v>
      </c>
      <c r="M714" s="4" t="str">
        <f>Raw_Data!X714</f>
        <v>mwb</v>
      </c>
      <c r="N714" s="3">
        <v>10.0</v>
      </c>
      <c r="O714" s="3">
        <v>-11.128</v>
      </c>
      <c r="P714" s="3">
        <v>162.208</v>
      </c>
      <c r="Q714" s="3" t="s">
        <v>595</v>
      </c>
      <c r="R714" s="4"/>
      <c r="S714" s="4"/>
      <c r="T714" s="4" t="str">
        <f t="shared" si="2"/>
        <v>Valid</v>
      </c>
      <c r="U714" s="4">
        <f t="shared" si="3"/>
        <v>1</v>
      </c>
      <c r="V714" s="4" t="str">
        <f t="shared" si="4"/>
        <v>Unique</v>
      </c>
      <c r="W714" s="4" t="str">
        <f t="shared" si="5"/>
        <v>Unknown</v>
      </c>
      <c r="X714" s="4" t="str">
        <f t="shared" ref="X714:Z714" si="718">IF(Q714="","Unknown",Q714)</f>
        <v>Kirakira, Solomon Islands</v>
      </c>
      <c r="Y714" s="4" t="str">
        <f t="shared" si="718"/>
        <v>Unknown</v>
      </c>
      <c r="Z714" s="4" t="str">
        <f t="shared" si="718"/>
        <v>Unknown</v>
      </c>
      <c r="AA714" s="4" t="str">
        <f t="shared" si="7"/>
        <v>mwb</v>
      </c>
    </row>
    <row r="715">
      <c r="A715" s="3" t="s">
        <v>1684</v>
      </c>
      <c r="B715" s="3">
        <v>6.7</v>
      </c>
      <c r="C715" s="19">
        <f>Raw_Data!T715</f>
        <v>38293.41806</v>
      </c>
      <c r="D715" s="3">
        <v>7.0</v>
      </c>
      <c r="E715" s="3">
        <v>4.0</v>
      </c>
      <c r="F715" s="4"/>
      <c r="G715" s="3">
        <v>0.0</v>
      </c>
      <c r="H715" s="3">
        <v>703.0</v>
      </c>
      <c r="I715" s="3" t="s">
        <v>110</v>
      </c>
      <c r="J715" s="3">
        <v>459.0</v>
      </c>
      <c r="K715" s="3">
        <v>0.0</v>
      </c>
      <c r="L715" s="3">
        <v>37.3</v>
      </c>
      <c r="M715" s="4" t="str">
        <f>Raw_Data!X715</f>
        <v>mwb</v>
      </c>
      <c r="N715" s="3">
        <v>10.0</v>
      </c>
      <c r="O715" s="3">
        <v>49.277</v>
      </c>
      <c r="P715" s="3">
        <v>-128.772</v>
      </c>
      <c r="Q715" s="3" t="s">
        <v>574</v>
      </c>
      <c r="R715" s="4"/>
      <c r="S715" s="4"/>
      <c r="T715" s="4" t="str">
        <f t="shared" si="2"/>
        <v>Valid</v>
      </c>
      <c r="U715" s="4">
        <f t="shared" si="3"/>
        <v>1</v>
      </c>
      <c r="V715" s="4" t="str">
        <f t="shared" si="4"/>
        <v>Unique</v>
      </c>
      <c r="W715" s="4" t="str">
        <f t="shared" si="5"/>
        <v>Unknown</v>
      </c>
      <c r="X715" s="4" t="str">
        <f t="shared" ref="X715:Z715" si="719">IF(Q715="","Unknown",Q715)</f>
        <v>Port McNeill, Canada</v>
      </c>
      <c r="Y715" s="4" t="str">
        <f t="shared" si="719"/>
        <v>Unknown</v>
      </c>
      <c r="Z715" s="4" t="str">
        <f t="shared" si="719"/>
        <v>Unknown</v>
      </c>
      <c r="AA715" s="4" t="str">
        <f t="shared" si="7"/>
        <v>mwb</v>
      </c>
    </row>
    <row r="716">
      <c r="A716" s="3" t="s">
        <v>1685</v>
      </c>
      <c r="B716" s="3">
        <v>6.6</v>
      </c>
      <c r="C716" s="19">
        <f>Raw_Data!T716</f>
        <v>38283.37222</v>
      </c>
      <c r="D716" s="3">
        <v>0.0</v>
      </c>
      <c r="E716" s="3">
        <v>8.0</v>
      </c>
      <c r="F716" s="4"/>
      <c r="G716" s="3">
        <v>0.0</v>
      </c>
      <c r="H716" s="3">
        <v>670.0</v>
      </c>
      <c r="I716" s="3" t="s">
        <v>110</v>
      </c>
      <c r="J716" s="3">
        <v>782.0</v>
      </c>
      <c r="K716" s="3">
        <v>0.0</v>
      </c>
      <c r="L716" s="3">
        <v>37.0</v>
      </c>
      <c r="M716" s="4" t="str">
        <f>Raw_Data!X716</f>
        <v>mwc</v>
      </c>
      <c r="N716" s="3">
        <v>16.0</v>
      </c>
      <c r="O716" s="3">
        <v>37.226</v>
      </c>
      <c r="P716" s="3">
        <v>138.779</v>
      </c>
      <c r="Q716" s="3" t="s">
        <v>1687</v>
      </c>
      <c r="R716" s="3" t="s">
        <v>164</v>
      </c>
      <c r="S716" s="3" t="s">
        <v>371</v>
      </c>
      <c r="T716" s="4" t="str">
        <f t="shared" si="2"/>
        <v>Valid</v>
      </c>
      <c r="U716" s="4">
        <f t="shared" si="3"/>
        <v>1</v>
      </c>
      <c r="V716" s="4" t="str">
        <f t="shared" si="4"/>
        <v>Unique</v>
      </c>
      <c r="W716" s="4" t="str">
        <f t="shared" si="5"/>
        <v>Unknown</v>
      </c>
      <c r="X716" s="4" t="str">
        <f t="shared" ref="X716:Z716" si="720">IF(Q716="","Unknown",Q716)</f>
        <v>Ojiya, Japan</v>
      </c>
      <c r="Y716" s="4" t="str">
        <f t="shared" si="720"/>
        <v>Asia</v>
      </c>
      <c r="Z716" s="4" t="str">
        <f t="shared" si="720"/>
        <v>Japan</v>
      </c>
      <c r="AA716" s="4" t="str">
        <f t="shared" si="7"/>
        <v>mwc</v>
      </c>
    </row>
    <row r="717">
      <c r="A717" s="3" t="s">
        <v>1688</v>
      </c>
      <c r="B717" s="3">
        <v>6.7</v>
      </c>
      <c r="C717" s="19">
        <f>Raw_Data!T717</f>
        <v>38275.17222</v>
      </c>
      <c r="D717" s="3">
        <v>5.0</v>
      </c>
      <c r="E717" s="3">
        <v>6.0</v>
      </c>
      <c r="F717" s="4"/>
      <c r="G717" s="3">
        <v>0.0</v>
      </c>
      <c r="H717" s="3">
        <v>705.0</v>
      </c>
      <c r="I717" s="3" t="s">
        <v>110</v>
      </c>
      <c r="J717" s="3">
        <v>698.0</v>
      </c>
      <c r="K717" s="3">
        <v>0.0</v>
      </c>
      <c r="L717" s="3">
        <v>24.7</v>
      </c>
      <c r="M717" s="4" t="str">
        <f>Raw_Data!X717</f>
        <v>mwb</v>
      </c>
      <c r="N717" s="3">
        <v>94.0</v>
      </c>
      <c r="O717" s="3">
        <v>24.53</v>
      </c>
      <c r="P717" s="3">
        <v>122.694</v>
      </c>
      <c r="Q717" s="3" t="s">
        <v>1690</v>
      </c>
      <c r="R717" s="4"/>
      <c r="S717" s="4"/>
      <c r="T717" s="4" t="str">
        <f t="shared" si="2"/>
        <v>Valid</v>
      </c>
      <c r="U717" s="4">
        <f t="shared" si="3"/>
        <v>1</v>
      </c>
      <c r="V717" s="4" t="str">
        <f t="shared" si="4"/>
        <v>Unique</v>
      </c>
      <c r="W717" s="4" t="str">
        <f t="shared" si="5"/>
        <v>Unknown</v>
      </c>
      <c r="X717" s="4" t="str">
        <f t="shared" ref="X717:Z717" si="721">IF(Q717="","Unknown",Q717)</f>
        <v>Yonakuni, Japan</v>
      </c>
      <c r="Y717" s="4" t="str">
        <f t="shared" si="721"/>
        <v>Unknown</v>
      </c>
      <c r="Z717" s="4" t="str">
        <f t="shared" si="721"/>
        <v>Unknown</v>
      </c>
      <c r="AA717" s="4" t="str">
        <f t="shared" si="7"/>
        <v>mwb</v>
      </c>
    </row>
    <row r="718">
      <c r="A718" s="3" t="s">
        <v>1691</v>
      </c>
      <c r="B718" s="3">
        <v>7.0</v>
      </c>
      <c r="C718" s="19">
        <f>Raw_Data!T718</f>
        <v>38269.89306</v>
      </c>
      <c r="D718" s="3">
        <v>0.0</v>
      </c>
      <c r="E718" s="3">
        <v>6.0</v>
      </c>
      <c r="F718" s="4"/>
      <c r="G718" s="3">
        <v>0.0</v>
      </c>
      <c r="H718" s="3">
        <v>754.0</v>
      </c>
      <c r="I718" s="3" t="s">
        <v>110</v>
      </c>
      <c r="J718" s="3">
        <v>441.0</v>
      </c>
      <c r="K718" s="3">
        <v>0.0</v>
      </c>
      <c r="L718" s="3">
        <v>32.2</v>
      </c>
      <c r="M718" s="4" t="str">
        <f>Raw_Data!X718</f>
        <v>mwc</v>
      </c>
      <c r="N718" s="3">
        <v>35.0</v>
      </c>
      <c r="O718" s="3">
        <v>11.422</v>
      </c>
      <c r="P718" s="3">
        <v>-86.665</v>
      </c>
      <c r="Q718" s="3" t="s">
        <v>271</v>
      </c>
      <c r="R718" s="4"/>
      <c r="S718" s="4"/>
      <c r="T718" s="4" t="str">
        <f t="shared" si="2"/>
        <v>Valid</v>
      </c>
      <c r="U718" s="4">
        <f t="shared" si="3"/>
        <v>1</v>
      </c>
      <c r="V718" s="4" t="str">
        <f t="shared" si="4"/>
        <v>Unique</v>
      </c>
      <c r="W718" s="4" t="str">
        <f t="shared" si="5"/>
        <v>Unknown</v>
      </c>
      <c r="X718" s="4" t="str">
        <f t="shared" ref="X718:Z718" si="722">IF(Q718="","Unknown",Q718)</f>
        <v>Masachapa, Nicaragua</v>
      </c>
      <c r="Y718" s="4" t="str">
        <f t="shared" si="722"/>
        <v>Unknown</v>
      </c>
      <c r="Z718" s="4" t="str">
        <f t="shared" si="722"/>
        <v>Unknown</v>
      </c>
      <c r="AA718" s="4" t="str">
        <f t="shared" si="7"/>
        <v>mwc</v>
      </c>
    </row>
    <row r="719">
      <c r="A719" s="3" t="s">
        <v>1692</v>
      </c>
      <c r="B719" s="3">
        <v>6.5</v>
      </c>
      <c r="C719" s="19">
        <f>Raw_Data!T719</f>
        <v>38268.60833</v>
      </c>
      <c r="D719" s="3">
        <v>5.0</v>
      </c>
      <c r="E719" s="3">
        <v>5.0</v>
      </c>
      <c r="F719" s="4"/>
      <c r="G719" s="3">
        <v>0.0</v>
      </c>
      <c r="H719" s="3">
        <v>665.0</v>
      </c>
      <c r="I719" s="3" t="s">
        <v>110</v>
      </c>
      <c r="J719" s="3">
        <v>526.0</v>
      </c>
      <c r="K719" s="3">
        <v>0.0</v>
      </c>
      <c r="L719" s="3">
        <v>18.3</v>
      </c>
      <c r="M719" s="4" t="str">
        <f>Raw_Data!X719</f>
        <v>mwb</v>
      </c>
      <c r="N719" s="3">
        <v>105.0</v>
      </c>
      <c r="O719" s="3">
        <v>13.925</v>
      </c>
      <c r="P719" s="3">
        <v>120.534</v>
      </c>
      <c r="Q719" s="3" t="s">
        <v>1693</v>
      </c>
      <c r="R719" s="4"/>
      <c r="S719" s="3" t="s">
        <v>258</v>
      </c>
      <c r="T719" s="4" t="str">
        <f t="shared" si="2"/>
        <v>Valid</v>
      </c>
      <c r="U719" s="4">
        <f t="shared" si="3"/>
        <v>1</v>
      </c>
      <c r="V719" s="4" t="str">
        <f t="shared" si="4"/>
        <v>Unique</v>
      </c>
      <c r="W719" s="4" t="str">
        <f t="shared" si="5"/>
        <v>Unknown</v>
      </c>
      <c r="X719" s="4" t="str">
        <f t="shared" ref="X719:Z719" si="723">IF(Q719="","Unknown",Q719)</f>
        <v>Talisay, Philippines</v>
      </c>
      <c r="Y719" s="4" t="str">
        <f t="shared" si="723"/>
        <v>Unknown</v>
      </c>
      <c r="Z719" s="4" t="str">
        <f t="shared" si="723"/>
        <v>Philippines</v>
      </c>
      <c r="AA719" s="4" t="str">
        <f t="shared" si="7"/>
        <v>mwb</v>
      </c>
    </row>
    <row r="720">
      <c r="A720" s="3" t="s">
        <v>1694</v>
      </c>
      <c r="B720" s="3">
        <v>6.8</v>
      </c>
      <c r="C720" s="19">
        <f>Raw_Data!T720</f>
        <v>38268.35208</v>
      </c>
      <c r="D720" s="3">
        <v>0.0</v>
      </c>
      <c r="E720" s="3">
        <v>6.0</v>
      </c>
      <c r="F720" s="4"/>
      <c r="G720" s="3">
        <v>0.0</v>
      </c>
      <c r="H720" s="3">
        <v>711.0</v>
      </c>
      <c r="I720" s="3" t="s">
        <v>110</v>
      </c>
      <c r="J720" s="3">
        <v>545.0</v>
      </c>
      <c r="K720" s="3">
        <v>0.0</v>
      </c>
      <c r="L720" s="3">
        <v>15.7</v>
      </c>
      <c r="M720" s="4" t="str">
        <f>Raw_Data!X720</f>
        <v>mwb</v>
      </c>
      <c r="N720" s="3">
        <v>36.0</v>
      </c>
      <c r="O720" s="3">
        <v>-10.951</v>
      </c>
      <c r="P720" s="3">
        <v>162.161</v>
      </c>
      <c r="Q720" s="3" t="s">
        <v>595</v>
      </c>
      <c r="R720" s="4"/>
      <c r="S720" s="3" t="s">
        <v>214</v>
      </c>
      <c r="T720" s="4" t="str">
        <f t="shared" si="2"/>
        <v>Valid</v>
      </c>
      <c r="U720" s="4">
        <f t="shared" si="3"/>
        <v>1</v>
      </c>
      <c r="V720" s="4" t="str">
        <f t="shared" si="4"/>
        <v>Unique</v>
      </c>
      <c r="W720" s="4" t="str">
        <f t="shared" si="5"/>
        <v>Unknown</v>
      </c>
      <c r="X720" s="4" t="str">
        <f t="shared" ref="X720:Z720" si="724">IF(Q720="","Unknown",Q720)</f>
        <v>Kirakira, Solomon Islands</v>
      </c>
      <c r="Y720" s="4" t="str">
        <f t="shared" si="724"/>
        <v>Unknown</v>
      </c>
      <c r="Z720" s="4" t="str">
        <f t="shared" si="724"/>
        <v>Solomon Islands</v>
      </c>
      <c r="AA720" s="4" t="str">
        <f t="shared" si="7"/>
        <v>mwb</v>
      </c>
    </row>
    <row r="721">
      <c r="A721" s="3" t="s">
        <v>1695</v>
      </c>
      <c r="B721" s="3">
        <v>6.6</v>
      </c>
      <c r="C721" s="19">
        <f>Raw_Data!T721</f>
        <v>38236.97847</v>
      </c>
      <c r="D721" s="3">
        <v>0.0</v>
      </c>
      <c r="E721" s="3">
        <v>4.0</v>
      </c>
      <c r="F721" s="4"/>
      <c r="G721" s="3">
        <v>0.0</v>
      </c>
      <c r="H721" s="3">
        <v>670.0</v>
      </c>
      <c r="I721" s="3" t="s">
        <v>110</v>
      </c>
      <c r="J721" s="3">
        <v>478.0</v>
      </c>
      <c r="K721" s="3">
        <v>0.0</v>
      </c>
      <c r="L721" s="3">
        <v>29.8</v>
      </c>
      <c r="M721" s="4" t="str">
        <f>Raw_Data!X721</f>
        <v>mwc</v>
      </c>
      <c r="N721" s="3">
        <v>10.0</v>
      </c>
      <c r="O721" s="3">
        <v>33.205</v>
      </c>
      <c r="P721" s="3">
        <v>137.227</v>
      </c>
      <c r="Q721" s="3" t="s">
        <v>1696</v>
      </c>
      <c r="R721" s="4"/>
      <c r="S721" s="4"/>
      <c r="T721" s="4" t="str">
        <f t="shared" si="2"/>
        <v>Valid</v>
      </c>
      <c r="U721" s="4">
        <f t="shared" si="3"/>
        <v>1</v>
      </c>
      <c r="V721" s="4" t="str">
        <f t="shared" si="4"/>
        <v>Unique</v>
      </c>
      <c r="W721" s="4" t="str">
        <f t="shared" si="5"/>
        <v>Unknown</v>
      </c>
      <c r="X721" s="4" t="str">
        <f t="shared" ref="X721:Z721" si="725">IF(Q721="","Unknown",Q721)</f>
        <v>Shing?, Japan</v>
      </c>
      <c r="Y721" s="4" t="str">
        <f t="shared" si="725"/>
        <v>Unknown</v>
      </c>
      <c r="Z721" s="4" t="str">
        <f t="shared" si="725"/>
        <v>Unknown</v>
      </c>
      <c r="AA721" s="4" t="str">
        <f t="shared" si="7"/>
        <v>mwc</v>
      </c>
    </row>
    <row r="722">
      <c r="A722" s="3" t="s">
        <v>1697</v>
      </c>
      <c r="B722" s="3">
        <v>7.4</v>
      </c>
      <c r="C722" s="19">
        <f>Raw_Data!T722</f>
        <v>38235.62292</v>
      </c>
      <c r="D722" s="3">
        <v>0.0</v>
      </c>
      <c r="E722" s="3">
        <v>5.0</v>
      </c>
      <c r="F722" s="4"/>
      <c r="G722" s="3">
        <v>0.0</v>
      </c>
      <c r="H722" s="3">
        <v>842.0</v>
      </c>
      <c r="I722" s="3" t="s">
        <v>110</v>
      </c>
      <c r="J722" s="3">
        <v>594.0</v>
      </c>
      <c r="K722" s="3">
        <v>0.0</v>
      </c>
      <c r="L722" s="3">
        <v>27.5</v>
      </c>
      <c r="M722" s="4" t="str">
        <f>Raw_Data!X722</f>
        <v>mwb</v>
      </c>
      <c r="N722" s="3">
        <v>10.0</v>
      </c>
      <c r="O722" s="3">
        <v>33.184</v>
      </c>
      <c r="P722" s="3">
        <v>137.071</v>
      </c>
      <c r="Q722" s="3" t="s">
        <v>1696</v>
      </c>
      <c r="R722" s="4"/>
      <c r="S722" s="4"/>
      <c r="T722" s="4" t="str">
        <f t="shared" si="2"/>
        <v>Valid</v>
      </c>
      <c r="U722" s="4">
        <f t="shared" si="3"/>
        <v>1</v>
      </c>
      <c r="V722" s="4" t="str">
        <f t="shared" si="4"/>
        <v>Unique</v>
      </c>
      <c r="W722" s="4" t="str">
        <f t="shared" si="5"/>
        <v>Unknown</v>
      </c>
      <c r="X722" s="4" t="str">
        <f t="shared" ref="X722:Z722" si="726">IF(Q722="","Unknown",Q722)</f>
        <v>Shing?, Japan</v>
      </c>
      <c r="Y722" s="4" t="str">
        <f t="shared" si="726"/>
        <v>Unknown</v>
      </c>
      <c r="Z722" s="4" t="str">
        <f t="shared" si="726"/>
        <v>Unknown</v>
      </c>
      <c r="AA722" s="4" t="str">
        <f t="shared" si="7"/>
        <v>mwb</v>
      </c>
    </row>
    <row r="723">
      <c r="A723" s="3" t="s">
        <v>1698</v>
      </c>
      <c r="B723" s="3">
        <v>7.2</v>
      </c>
      <c r="C723" s="19">
        <f>Raw_Data!T723</f>
        <v>38235.42153</v>
      </c>
      <c r="D723" s="3">
        <v>0.0</v>
      </c>
      <c r="E723" s="3">
        <v>5.0</v>
      </c>
      <c r="F723" s="4"/>
      <c r="G723" s="3">
        <v>0.0</v>
      </c>
      <c r="H723" s="3">
        <v>798.0</v>
      </c>
      <c r="I723" s="3" t="s">
        <v>110</v>
      </c>
      <c r="J723" s="3">
        <v>643.0</v>
      </c>
      <c r="K723" s="3">
        <v>0.0</v>
      </c>
      <c r="L723" s="3">
        <v>28.4</v>
      </c>
      <c r="M723" s="4" t="str">
        <f>Raw_Data!X723</f>
        <v>mwc</v>
      </c>
      <c r="N723" s="3">
        <v>14.0</v>
      </c>
      <c r="O723" s="3">
        <v>33.07</v>
      </c>
      <c r="P723" s="3">
        <v>136.618</v>
      </c>
      <c r="Q723" s="3" t="s">
        <v>1696</v>
      </c>
      <c r="R723" s="4"/>
      <c r="S723" s="4"/>
      <c r="T723" s="4" t="str">
        <f t="shared" si="2"/>
        <v>Valid</v>
      </c>
      <c r="U723" s="4">
        <f t="shared" si="3"/>
        <v>1</v>
      </c>
      <c r="V723" s="4" t="str">
        <f t="shared" si="4"/>
        <v>Unique</v>
      </c>
      <c r="W723" s="4" t="str">
        <f t="shared" si="5"/>
        <v>Unknown</v>
      </c>
      <c r="X723" s="4" t="str">
        <f t="shared" ref="X723:Z723" si="727">IF(Q723="","Unknown",Q723)</f>
        <v>Shing?, Japan</v>
      </c>
      <c r="Y723" s="4" t="str">
        <f t="shared" si="727"/>
        <v>Unknown</v>
      </c>
      <c r="Z723" s="4" t="str">
        <f t="shared" si="727"/>
        <v>Unknown</v>
      </c>
      <c r="AA723" s="4" t="str">
        <f t="shared" si="7"/>
        <v>mwc</v>
      </c>
    </row>
    <row r="724">
      <c r="A724" s="3" t="s">
        <v>1699</v>
      </c>
      <c r="B724" s="3">
        <v>6.5</v>
      </c>
      <c r="C724" s="19">
        <f>Raw_Data!T724</f>
        <v>38227.57014</v>
      </c>
      <c r="D724" s="3">
        <v>0.0</v>
      </c>
      <c r="E724" s="3">
        <v>7.0</v>
      </c>
      <c r="F724" s="4"/>
      <c r="G724" s="3">
        <v>0.0</v>
      </c>
      <c r="H724" s="3">
        <v>650.0</v>
      </c>
      <c r="I724" s="3" t="s">
        <v>110</v>
      </c>
      <c r="J724" s="3">
        <v>349.0</v>
      </c>
      <c r="K724" s="3">
        <v>0.0</v>
      </c>
      <c r="L724" s="3">
        <v>30.1</v>
      </c>
      <c r="M724" s="4" t="str">
        <f>Raw_Data!X724</f>
        <v>mwb</v>
      </c>
      <c r="N724" s="3">
        <v>5.0</v>
      </c>
      <c r="O724" s="3">
        <v>-35.173</v>
      </c>
      <c r="P724" s="3">
        <v>-70.525</v>
      </c>
      <c r="Q724" s="3" t="s">
        <v>1701</v>
      </c>
      <c r="R724" s="3" t="s">
        <v>121</v>
      </c>
      <c r="S724" s="3" t="s">
        <v>414</v>
      </c>
      <c r="T724" s="4" t="str">
        <f t="shared" si="2"/>
        <v>Valid</v>
      </c>
      <c r="U724" s="4">
        <f t="shared" si="3"/>
        <v>1</v>
      </c>
      <c r="V724" s="4" t="str">
        <f t="shared" si="4"/>
        <v>Unique</v>
      </c>
      <c r="W724" s="4" t="str">
        <f t="shared" si="5"/>
        <v>Unknown</v>
      </c>
      <c r="X724" s="4" t="str">
        <f t="shared" ref="X724:Z724" si="728">IF(Q724="","Unknown",Q724)</f>
        <v>Teno, Chile</v>
      </c>
      <c r="Y724" s="4" t="str">
        <f t="shared" si="728"/>
        <v>South America</v>
      </c>
      <c r="Z724" s="4" t="str">
        <f t="shared" si="728"/>
        <v>Chile</v>
      </c>
      <c r="AA724" s="4" t="str">
        <f t="shared" si="7"/>
        <v>mwb</v>
      </c>
    </row>
    <row r="725">
      <c r="A725" s="3" t="s">
        <v>1702</v>
      </c>
      <c r="B725" s="3">
        <v>6.5</v>
      </c>
      <c r="C725" s="19">
        <f>Raw_Data!T725</f>
        <v>38196.16389</v>
      </c>
      <c r="D725" s="3">
        <v>0.0</v>
      </c>
      <c r="E725" s="3">
        <v>7.0</v>
      </c>
      <c r="F725" s="4"/>
      <c r="G725" s="3">
        <v>0.0</v>
      </c>
      <c r="H725" s="3">
        <v>650.0</v>
      </c>
      <c r="I725" s="3" t="s">
        <v>110</v>
      </c>
      <c r="J725" s="3">
        <v>305.0</v>
      </c>
      <c r="K725" s="3">
        <v>0.0</v>
      </c>
      <c r="L725" s="3">
        <v>39.0</v>
      </c>
      <c r="M725" s="4" t="str">
        <f>Raw_Data!X725</f>
        <v>mwc</v>
      </c>
      <c r="N725" s="3">
        <v>13.4</v>
      </c>
      <c r="O725" s="3">
        <v>-0.443</v>
      </c>
      <c r="P725" s="3">
        <v>133.091</v>
      </c>
      <c r="Q725" s="3" t="s">
        <v>1182</v>
      </c>
      <c r="R725" s="4"/>
      <c r="S725" s="3" t="s">
        <v>153</v>
      </c>
      <c r="T725" s="4" t="str">
        <f t="shared" si="2"/>
        <v>Valid</v>
      </c>
      <c r="U725" s="4">
        <f t="shared" si="3"/>
        <v>1</v>
      </c>
      <c r="V725" s="4" t="str">
        <f t="shared" si="4"/>
        <v>Unique</v>
      </c>
      <c r="W725" s="4" t="str">
        <f t="shared" si="5"/>
        <v>Unknown</v>
      </c>
      <c r="X725" s="4" t="str">
        <f t="shared" ref="X725:Z725" si="729">IF(Q725="","Unknown",Q725)</f>
        <v>Manokwari, Indonesia</v>
      </c>
      <c r="Y725" s="4" t="str">
        <f t="shared" si="729"/>
        <v>Unknown</v>
      </c>
      <c r="Z725" s="4" t="str">
        <f t="shared" si="729"/>
        <v>Indonesia</v>
      </c>
      <c r="AA725" s="4" t="str">
        <f t="shared" si="7"/>
        <v>mwc</v>
      </c>
    </row>
    <row r="726">
      <c r="A726" s="3" t="s">
        <v>1704</v>
      </c>
      <c r="B726" s="3">
        <v>6.9</v>
      </c>
      <c r="C726" s="19">
        <f>Raw_Data!T726</f>
        <v>38148.63819</v>
      </c>
      <c r="D726" s="3">
        <v>0.0</v>
      </c>
      <c r="E726" s="3">
        <v>5.0</v>
      </c>
      <c r="F726" s="4"/>
      <c r="G726" s="3">
        <v>0.0</v>
      </c>
      <c r="H726" s="3">
        <v>732.0</v>
      </c>
      <c r="I726" s="3" t="s">
        <v>110</v>
      </c>
      <c r="J726" s="3">
        <v>798.0</v>
      </c>
      <c r="K726" s="3">
        <v>0.0</v>
      </c>
      <c r="L726" s="3">
        <v>31.2</v>
      </c>
      <c r="M726" s="4" t="str">
        <f>Raw_Data!X726</f>
        <v>mwb</v>
      </c>
      <c r="N726" s="3">
        <v>188.6</v>
      </c>
      <c r="O726" s="3">
        <v>55.682</v>
      </c>
      <c r="P726" s="3">
        <v>160.003</v>
      </c>
      <c r="Q726" s="3" t="s">
        <v>1705</v>
      </c>
      <c r="R726" s="3" t="s">
        <v>164</v>
      </c>
      <c r="S726" s="3" t="s">
        <v>464</v>
      </c>
      <c r="T726" s="4" t="str">
        <f t="shared" si="2"/>
        <v>Valid</v>
      </c>
      <c r="U726" s="4">
        <f t="shared" si="3"/>
        <v>1</v>
      </c>
      <c r="V726" s="4" t="str">
        <f t="shared" si="4"/>
        <v>Unique</v>
      </c>
      <c r="W726" s="4" t="str">
        <f t="shared" si="5"/>
        <v>Unknown</v>
      </c>
      <c r="X726" s="4" t="str">
        <f t="shared" ref="X726:Z726" si="730">IF(Q726="","Unknown",Q726)</f>
        <v>Atlasovo, Russia</v>
      </c>
      <c r="Y726" s="4" t="str">
        <f t="shared" si="730"/>
        <v>Asia</v>
      </c>
      <c r="Z726" s="4" t="str">
        <f t="shared" si="730"/>
        <v>Russia</v>
      </c>
      <c r="AA726" s="4" t="str">
        <f t="shared" si="7"/>
        <v>mwb</v>
      </c>
    </row>
    <row r="727">
      <c r="A727" s="3" t="s">
        <v>1706</v>
      </c>
      <c r="B727" s="3">
        <v>6.6</v>
      </c>
      <c r="C727" s="19">
        <f>Raw_Data!T727</f>
        <v>38110.19167</v>
      </c>
      <c r="D727" s="3">
        <v>0.0</v>
      </c>
      <c r="E727" s="3">
        <v>7.0</v>
      </c>
      <c r="F727" s="4"/>
      <c r="G727" s="3">
        <v>0.0</v>
      </c>
      <c r="H727" s="3">
        <v>670.0</v>
      </c>
      <c r="I727" s="3" t="s">
        <v>110</v>
      </c>
      <c r="J727" s="3">
        <v>282.0</v>
      </c>
      <c r="K727" s="3">
        <v>0.0</v>
      </c>
      <c r="L727" s="3">
        <v>46.9</v>
      </c>
      <c r="M727" s="4" t="str">
        <f>Raw_Data!X727</f>
        <v>mwb</v>
      </c>
      <c r="N727" s="3">
        <v>21.0</v>
      </c>
      <c r="O727" s="3">
        <v>-37.695</v>
      </c>
      <c r="P727" s="3">
        <v>-73.406</v>
      </c>
      <c r="Q727" s="3" t="s">
        <v>1315</v>
      </c>
      <c r="R727" s="3" t="s">
        <v>121</v>
      </c>
      <c r="S727" s="3" t="s">
        <v>414</v>
      </c>
      <c r="T727" s="4" t="str">
        <f t="shared" si="2"/>
        <v>Valid</v>
      </c>
      <c r="U727" s="4">
        <f t="shared" si="3"/>
        <v>1</v>
      </c>
      <c r="V727" s="4" t="str">
        <f t="shared" si="4"/>
        <v>Unique</v>
      </c>
      <c r="W727" s="4" t="str">
        <f t="shared" si="5"/>
        <v>Unknown</v>
      </c>
      <c r="X727" s="4" t="str">
        <f t="shared" ref="X727:Z727" si="731">IF(Q727="","Unknown",Q727)</f>
        <v>Cañete, Chile</v>
      </c>
      <c r="Y727" s="4" t="str">
        <f t="shared" si="731"/>
        <v>South America</v>
      </c>
      <c r="Z727" s="4" t="str">
        <f t="shared" si="731"/>
        <v>Chile</v>
      </c>
      <c r="AA727" s="4" t="str">
        <f t="shared" si="7"/>
        <v>mwb</v>
      </c>
    </row>
    <row r="728">
      <c r="A728" s="3" t="s">
        <v>1707</v>
      </c>
      <c r="B728" s="3">
        <v>6.7</v>
      </c>
      <c r="C728" s="19">
        <f>Raw_Data!T728</f>
        <v>38100.07639</v>
      </c>
      <c r="D728" s="3">
        <v>0.0</v>
      </c>
      <c r="E728" s="3">
        <v>5.0</v>
      </c>
      <c r="F728" s="4"/>
      <c r="G728" s="3">
        <v>0.0</v>
      </c>
      <c r="H728" s="3">
        <v>691.0</v>
      </c>
      <c r="I728" s="3" t="s">
        <v>110</v>
      </c>
      <c r="J728" s="3">
        <v>386.0</v>
      </c>
      <c r="K728" s="3">
        <v>0.0</v>
      </c>
      <c r="L728" s="3">
        <v>27.6</v>
      </c>
      <c r="M728" s="4" t="str">
        <f>Raw_Data!X728</f>
        <v>mwb</v>
      </c>
      <c r="N728" s="3">
        <v>65.8</v>
      </c>
      <c r="O728" s="3">
        <v>-9.362</v>
      </c>
      <c r="P728" s="3">
        <v>122.839</v>
      </c>
      <c r="Q728" s="3" t="s">
        <v>1709</v>
      </c>
      <c r="R728" s="4"/>
      <c r="S728" s="3" t="s">
        <v>153</v>
      </c>
      <c r="T728" s="4" t="str">
        <f t="shared" si="2"/>
        <v>Valid</v>
      </c>
      <c r="U728" s="4">
        <f t="shared" si="3"/>
        <v>1</v>
      </c>
      <c r="V728" s="4" t="str">
        <f t="shared" si="4"/>
        <v>Unique</v>
      </c>
      <c r="W728" s="4" t="str">
        <f t="shared" si="5"/>
        <v>Unknown</v>
      </c>
      <c r="X728" s="4" t="str">
        <f t="shared" ref="X728:Z728" si="732">IF(Q728="","Unknown",Q728)</f>
        <v>Naisano Dua, Indonesia</v>
      </c>
      <c r="Y728" s="4" t="str">
        <f t="shared" si="732"/>
        <v>Unknown</v>
      </c>
      <c r="Z728" s="4" t="str">
        <f t="shared" si="732"/>
        <v>Indonesia</v>
      </c>
      <c r="AA728" s="4" t="str">
        <f t="shared" si="7"/>
        <v>mwb</v>
      </c>
    </row>
    <row r="729">
      <c r="A729" s="3" t="s">
        <v>1710</v>
      </c>
      <c r="B729" s="3">
        <v>6.5</v>
      </c>
      <c r="C729" s="19">
        <f>Raw_Data!T729</f>
        <v>38086.64097</v>
      </c>
      <c r="D729" s="3">
        <v>0.0</v>
      </c>
      <c r="E729" s="3">
        <v>4.0</v>
      </c>
      <c r="F729" s="4"/>
      <c r="G729" s="3">
        <v>0.0</v>
      </c>
      <c r="H729" s="3">
        <v>650.0</v>
      </c>
      <c r="I729" s="3" t="s">
        <v>110</v>
      </c>
      <c r="J729" s="3">
        <v>424.0</v>
      </c>
      <c r="K729" s="3">
        <v>0.0</v>
      </c>
      <c r="L729" s="3">
        <v>29.9</v>
      </c>
      <c r="M729" s="4" t="str">
        <f>Raw_Data!X729</f>
        <v>mwb</v>
      </c>
      <c r="N729" s="3">
        <v>228.4</v>
      </c>
      <c r="O729" s="3">
        <v>-13.174</v>
      </c>
      <c r="P729" s="3">
        <v>167.198</v>
      </c>
      <c r="Q729" s="3" t="s">
        <v>112</v>
      </c>
      <c r="R729" s="4"/>
      <c r="S729" s="3" t="s">
        <v>113</v>
      </c>
      <c r="T729" s="4" t="str">
        <f t="shared" si="2"/>
        <v>Valid</v>
      </c>
      <c r="U729" s="4">
        <f t="shared" si="3"/>
        <v>1</v>
      </c>
      <c r="V729" s="4" t="str">
        <f t="shared" si="4"/>
        <v>Unique</v>
      </c>
      <c r="W729" s="4" t="str">
        <f t="shared" si="5"/>
        <v>Unknown</v>
      </c>
      <c r="X729" s="4" t="str">
        <f t="shared" ref="X729:Z729" si="733">IF(Q729="","Unknown",Q729)</f>
        <v>Sola, Vanuatu</v>
      </c>
      <c r="Y729" s="4" t="str">
        <f t="shared" si="733"/>
        <v>Unknown</v>
      </c>
      <c r="Z729" s="4" t="str">
        <f t="shared" si="733"/>
        <v>Vanuatu</v>
      </c>
      <c r="AA729" s="4" t="str">
        <f t="shared" si="7"/>
        <v>mwb</v>
      </c>
    </row>
    <row r="730">
      <c r="A730" s="3" t="s">
        <v>1711</v>
      </c>
      <c r="B730" s="3">
        <v>6.6</v>
      </c>
      <c r="C730" s="19">
        <f>Raw_Data!T730</f>
        <v>38082.89167</v>
      </c>
      <c r="D730" s="3">
        <v>0.0</v>
      </c>
      <c r="E730" s="3">
        <v>4.0</v>
      </c>
      <c r="F730" s="4"/>
      <c r="G730" s="3">
        <v>0.0</v>
      </c>
      <c r="H730" s="3">
        <v>670.0</v>
      </c>
      <c r="I730" s="3" t="s">
        <v>110</v>
      </c>
      <c r="J730" s="3">
        <v>728.0</v>
      </c>
      <c r="K730" s="3">
        <v>0.0</v>
      </c>
      <c r="L730" s="3">
        <v>18.3</v>
      </c>
      <c r="M730" s="4" t="str">
        <f>Raw_Data!X730</f>
        <v>mwb</v>
      </c>
      <c r="N730" s="3">
        <v>187.1</v>
      </c>
      <c r="O730" s="3">
        <v>36.512</v>
      </c>
      <c r="P730" s="3">
        <v>71.029</v>
      </c>
      <c r="Q730" s="3" t="s">
        <v>1712</v>
      </c>
      <c r="R730" s="3" t="s">
        <v>164</v>
      </c>
      <c r="S730" s="3" t="s">
        <v>175</v>
      </c>
      <c r="T730" s="4" t="str">
        <f t="shared" si="2"/>
        <v>Valid</v>
      </c>
      <c r="U730" s="4">
        <f t="shared" si="3"/>
        <v>1</v>
      </c>
      <c r="V730" s="4" t="str">
        <f t="shared" si="4"/>
        <v>Unique</v>
      </c>
      <c r="W730" s="4" t="str">
        <f t="shared" si="5"/>
        <v>Unknown</v>
      </c>
      <c r="X730" s="4" t="str">
        <f t="shared" ref="X730:Z730" si="734">IF(Q730="","Unknown",Q730)</f>
        <v>Afghanistan-Tajikistan-Pakistan region</v>
      </c>
      <c r="Y730" s="4" t="str">
        <f t="shared" si="734"/>
        <v>Asia</v>
      </c>
      <c r="Z730" s="4" t="str">
        <f t="shared" si="734"/>
        <v>Afghanistan</v>
      </c>
      <c r="AA730" s="4" t="str">
        <f t="shared" si="7"/>
        <v>mwb</v>
      </c>
    </row>
    <row r="731">
      <c r="A731" s="3" t="s">
        <v>1713</v>
      </c>
      <c r="B731" s="3">
        <v>6.7</v>
      </c>
      <c r="C731" s="19">
        <f>Raw_Data!T731</f>
        <v>38025.37361</v>
      </c>
      <c r="D731" s="3">
        <v>0.0</v>
      </c>
      <c r="E731" s="3">
        <v>7.0</v>
      </c>
      <c r="F731" s="4"/>
      <c r="G731" s="3">
        <v>0.0</v>
      </c>
      <c r="H731" s="3">
        <v>691.0</v>
      </c>
      <c r="I731" s="3" t="s">
        <v>110</v>
      </c>
      <c r="J731" s="3">
        <v>256.0</v>
      </c>
      <c r="K731" s="3">
        <v>0.0</v>
      </c>
      <c r="L731" s="3">
        <v>33.3</v>
      </c>
      <c r="M731" s="4" t="str">
        <f>Raw_Data!X731</f>
        <v>mwc</v>
      </c>
      <c r="N731" s="3">
        <v>25.7</v>
      </c>
      <c r="O731" s="3">
        <v>-3.665</v>
      </c>
      <c r="P731" s="3">
        <v>135.339</v>
      </c>
      <c r="Q731" s="3" t="s">
        <v>1675</v>
      </c>
      <c r="R731" s="4"/>
      <c r="S731" s="3" t="s">
        <v>153</v>
      </c>
      <c r="T731" s="4" t="str">
        <f t="shared" si="2"/>
        <v>Valid</v>
      </c>
      <c r="U731" s="4">
        <f t="shared" si="3"/>
        <v>1</v>
      </c>
      <c r="V731" s="4" t="str">
        <f t="shared" si="4"/>
        <v>Unique</v>
      </c>
      <c r="W731" s="4" t="str">
        <f t="shared" si="5"/>
        <v>Unknown</v>
      </c>
      <c r="X731" s="4" t="str">
        <f t="shared" ref="X731:Z731" si="735">IF(Q731="","Unknown",Q731)</f>
        <v>Nabire, Indonesia</v>
      </c>
      <c r="Y731" s="4" t="str">
        <f t="shared" si="735"/>
        <v>Unknown</v>
      </c>
      <c r="Z731" s="4" t="str">
        <f t="shared" si="735"/>
        <v>Indonesia</v>
      </c>
      <c r="AA731" s="4" t="str">
        <f t="shared" si="7"/>
        <v>mwc</v>
      </c>
    </row>
    <row r="732">
      <c r="A732" s="3" t="s">
        <v>1714</v>
      </c>
      <c r="B732" s="3">
        <v>7.3</v>
      </c>
      <c r="C732" s="19">
        <f>Raw_Data!T732</f>
        <v>38024.1125</v>
      </c>
      <c r="D732" s="3">
        <v>0.0</v>
      </c>
      <c r="E732" s="3">
        <v>7.0</v>
      </c>
      <c r="F732" s="4"/>
      <c r="G732" s="3">
        <v>0.0</v>
      </c>
      <c r="H732" s="3">
        <v>820.0</v>
      </c>
      <c r="I732" s="3" t="s">
        <v>110</v>
      </c>
      <c r="J732" s="3">
        <v>390.0</v>
      </c>
      <c r="K732" s="3">
        <v>0.0</v>
      </c>
      <c r="L732" s="3">
        <v>23.0</v>
      </c>
      <c r="M732" s="4" t="str">
        <f>Raw_Data!X732</f>
        <v>mwb</v>
      </c>
      <c r="N732" s="3">
        <v>10.0</v>
      </c>
      <c r="O732" s="3">
        <v>-4.003</v>
      </c>
      <c r="P732" s="3">
        <v>135.023</v>
      </c>
      <c r="Q732" s="3" t="s">
        <v>1297</v>
      </c>
      <c r="R732" s="4"/>
      <c r="S732" s="3" t="s">
        <v>153</v>
      </c>
      <c r="T732" s="4" t="str">
        <f t="shared" si="2"/>
        <v>Valid</v>
      </c>
      <c r="U732" s="4">
        <f t="shared" si="3"/>
        <v>1</v>
      </c>
      <c r="V732" s="4" t="str">
        <f t="shared" si="4"/>
        <v>Unique</v>
      </c>
      <c r="W732" s="4" t="str">
        <f t="shared" si="5"/>
        <v>Unknown</v>
      </c>
      <c r="X732" s="4" t="str">
        <f t="shared" ref="X732:Z732" si="736">IF(Q732="","Unknown",Q732)</f>
        <v>Papua, Indonesia</v>
      </c>
      <c r="Y732" s="4" t="str">
        <f t="shared" si="736"/>
        <v>Unknown</v>
      </c>
      <c r="Z732" s="4" t="str">
        <f t="shared" si="736"/>
        <v>Indonesia</v>
      </c>
      <c r="AA732" s="4" t="str">
        <f t="shared" si="7"/>
        <v>mwb</v>
      </c>
    </row>
    <row r="733">
      <c r="A733" s="3" t="s">
        <v>1715</v>
      </c>
      <c r="B733" s="3">
        <v>7.0</v>
      </c>
      <c r="C733" s="19">
        <f>Raw_Data!T733</f>
        <v>38022.87847</v>
      </c>
      <c r="D733" s="3">
        <v>0.0</v>
      </c>
      <c r="E733" s="3">
        <v>7.0</v>
      </c>
      <c r="F733" s="4"/>
      <c r="G733" s="3">
        <v>0.0</v>
      </c>
      <c r="H733" s="3">
        <v>754.0</v>
      </c>
      <c r="I733" s="3" t="s">
        <v>110</v>
      </c>
      <c r="J733" s="3">
        <v>367.0</v>
      </c>
      <c r="K733" s="3">
        <v>0.0</v>
      </c>
      <c r="L733" s="3">
        <v>33.0</v>
      </c>
      <c r="M733" s="4" t="str">
        <f>Raw_Data!X733</f>
        <v>mwc</v>
      </c>
      <c r="N733" s="3">
        <v>16.6</v>
      </c>
      <c r="O733" s="3">
        <v>-3.615</v>
      </c>
      <c r="P733" s="3">
        <v>135.538</v>
      </c>
      <c r="Q733" s="3" t="s">
        <v>1675</v>
      </c>
      <c r="R733" s="4"/>
      <c r="S733" s="3" t="s">
        <v>153</v>
      </c>
      <c r="T733" s="4" t="str">
        <f t="shared" si="2"/>
        <v>Valid</v>
      </c>
      <c r="U733" s="4">
        <f t="shared" si="3"/>
        <v>1</v>
      </c>
      <c r="V733" s="4" t="str">
        <f t="shared" si="4"/>
        <v>Unique</v>
      </c>
      <c r="W733" s="4" t="str">
        <f t="shared" si="5"/>
        <v>Unknown</v>
      </c>
      <c r="X733" s="4" t="str">
        <f t="shared" ref="X733:Z733" si="737">IF(Q733="","Unknown",Q733)</f>
        <v>Nabire, Indonesia</v>
      </c>
      <c r="Y733" s="4" t="str">
        <f t="shared" si="737"/>
        <v>Unknown</v>
      </c>
      <c r="Z733" s="4" t="str">
        <f t="shared" si="737"/>
        <v>Indonesia</v>
      </c>
      <c r="AA733" s="4" t="str">
        <f t="shared" si="7"/>
        <v>mwc</v>
      </c>
    </row>
    <row r="734">
      <c r="A734" s="3" t="s">
        <v>1716</v>
      </c>
      <c r="B734" s="3">
        <v>6.7</v>
      </c>
      <c r="C734" s="19">
        <f>Raw_Data!T734</f>
        <v>38014.92708</v>
      </c>
      <c r="D734" s="3">
        <v>0.0</v>
      </c>
      <c r="E734" s="3">
        <v>6.0</v>
      </c>
      <c r="F734" s="4"/>
      <c r="G734" s="3">
        <v>0.0</v>
      </c>
      <c r="H734" s="3">
        <v>691.0</v>
      </c>
      <c r="I734" s="3" t="s">
        <v>110</v>
      </c>
      <c r="J734" s="3">
        <v>243.0</v>
      </c>
      <c r="K734" s="3">
        <v>0.0</v>
      </c>
      <c r="L734" s="3">
        <v>42.5</v>
      </c>
      <c r="M734" s="4" t="str">
        <f>Raw_Data!X734</f>
        <v>mwb</v>
      </c>
      <c r="N734" s="3">
        <v>17.4</v>
      </c>
      <c r="O734" s="3">
        <v>-3.12</v>
      </c>
      <c r="P734" s="3">
        <v>127.4</v>
      </c>
      <c r="Q734" s="3" t="s">
        <v>1594</v>
      </c>
      <c r="R734" s="4"/>
      <c r="S734" s="3" t="s">
        <v>153</v>
      </c>
      <c r="T734" s="4" t="str">
        <f t="shared" si="2"/>
        <v>Valid</v>
      </c>
      <c r="U734" s="4">
        <f t="shared" si="3"/>
        <v>1</v>
      </c>
      <c r="V734" s="4" t="str">
        <f t="shared" si="4"/>
        <v>Unique</v>
      </c>
      <c r="W734" s="4" t="str">
        <f t="shared" si="5"/>
        <v>Unknown</v>
      </c>
      <c r="X734" s="4" t="str">
        <f t="shared" ref="X734:Z734" si="738">IF(Q734="","Unknown",Q734)</f>
        <v>Ambon, Indonesia</v>
      </c>
      <c r="Y734" s="4" t="str">
        <f t="shared" si="738"/>
        <v>Unknown</v>
      </c>
      <c r="Z734" s="4" t="str">
        <f t="shared" si="738"/>
        <v>Indonesia</v>
      </c>
      <c r="AA734" s="4" t="str">
        <f t="shared" si="7"/>
        <v>mwb</v>
      </c>
    </row>
    <row r="735">
      <c r="A735" s="3" t="s">
        <v>1718</v>
      </c>
      <c r="B735" s="3">
        <v>7.3</v>
      </c>
      <c r="C735" s="19">
        <f>Raw_Data!T735</f>
        <v>37982.66667</v>
      </c>
      <c r="D735" s="3">
        <v>0.0</v>
      </c>
      <c r="E735" s="3">
        <v>4.0</v>
      </c>
      <c r="F735" s="4"/>
      <c r="G735" s="3">
        <v>0.0</v>
      </c>
      <c r="H735" s="3">
        <v>820.0</v>
      </c>
      <c r="I735" s="3" t="s">
        <v>110</v>
      </c>
      <c r="J735" s="3">
        <v>235.0</v>
      </c>
      <c r="K735" s="3">
        <v>0.0</v>
      </c>
      <c r="L735" s="3">
        <v>46.6</v>
      </c>
      <c r="M735" s="4" t="str">
        <f>Raw_Data!X735</f>
        <v>mwc</v>
      </c>
      <c r="N735" s="3">
        <v>10.0</v>
      </c>
      <c r="O735" s="3">
        <v>-22.015</v>
      </c>
      <c r="P735" s="3">
        <v>169.766</v>
      </c>
      <c r="Q735" s="3" t="s">
        <v>276</v>
      </c>
      <c r="R735" s="4"/>
      <c r="S735" s="4"/>
      <c r="T735" s="4" t="str">
        <f t="shared" si="2"/>
        <v>Valid</v>
      </c>
      <c r="U735" s="4">
        <f t="shared" si="3"/>
        <v>1</v>
      </c>
      <c r="V735" s="4" t="str">
        <f t="shared" si="4"/>
        <v>Unique</v>
      </c>
      <c r="W735" s="4" t="str">
        <f t="shared" si="5"/>
        <v>Unknown</v>
      </c>
      <c r="X735" s="4" t="str">
        <f t="shared" ref="X735:Z735" si="739">IF(Q735="","Unknown",Q735)</f>
        <v>Tadine, New Caledonia</v>
      </c>
      <c r="Y735" s="4" t="str">
        <f t="shared" si="739"/>
        <v>Unknown</v>
      </c>
      <c r="Z735" s="4" t="str">
        <f t="shared" si="739"/>
        <v>Unknown</v>
      </c>
      <c r="AA735" s="4" t="str">
        <f t="shared" si="7"/>
        <v>mwc</v>
      </c>
    </row>
    <row r="736">
      <c r="A736" s="3" t="s">
        <v>1720</v>
      </c>
      <c r="B736" s="3">
        <v>6.6</v>
      </c>
      <c r="C736" s="19">
        <f>Raw_Data!T736</f>
        <v>37981.08056</v>
      </c>
      <c r="D736" s="3">
        <v>0.0</v>
      </c>
      <c r="E736" s="3">
        <v>9.0</v>
      </c>
      <c r="F736" s="4"/>
      <c r="G736" s="3">
        <v>0.0</v>
      </c>
      <c r="H736" s="3">
        <v>670.0</v>
      </c>
      <c r="I736" s="3" t="s">
        <v>110</v>
      </c>
      <c r="J736" s="3">
        <v>552.0</v>
      </c>
      <c r="K736" s="3">
        <v>0.0</v>
      </c>
      <c r="L736" s="3">
        <v>44.8</v>
      </c>
      <c r="M736" s="4" t="str">
        <f>Raw_Data!X736</f>
        <v>mwc</v>
      </c>
      <c r="N736" s="3">
        <v>10.0</v>
      </c>
      <c r="O736" s="3">
        <v>28.995</v>
      </c>
      <c r="P736" s="3">
        <v>58.311</v>
      </c>
      <c r="Q736" s="3" t="s">
        <v>1288</v>
      </c>
      <c r="R736" s="3" t="s">
        <v>164</v>
      </c>
      <c r="S736" s="3" t="s">
        <v>665</v>
      </c>
      <c r="T736" s="4" t="str">
        <f t="shared" si="2"/>
        <v>Valid</v>
      </c>
      <c r="U736" s="4">
        <f t="shared" si="3"/>
        <v>1</v>
      </c>
      <c r="V736" s="4" t="str">
        <f t="shared" si="4"/>
        <v>Unique</v>
      </c>
      <c r="W736" s="4" t="str">
        <f t="shared" si="5"/>
        <v>Unknown</v>
      </c>
      <c r="X736" s="4" t="str">
        <f t="shared" ref="X736:Z736" si="740">IF(Q736="","Unknown",Q736)</f>
        <v>Bam, Iran</v>
      </c>
      <c r="Y736" s="4" t="str">
        <f t="shared" si="740"/>
        <v>Asia</v>
      </c>
      <c r="Z736" s="4" t="str">
        <f t="shared" si="740"/>
        <v>Iran</v>
      </c>
      <c r="AA736" s="4" t="str">
        <f t="shared" si="7"/>
        <v>mwc</v>
      </c>
    </row>
    <row r="737">
      <c r="A737" s="3" t="s">
        <v>1722</v>
      </c>
      <c r="B737" s="3">
        <v>6.5</v>
      </c>
      <c r="C737" s="19">
        <f>Raw_Data!T737</f>
        <v>37980.29931</v>
      </c>
      <c r="D737" s="3">
        <v>0.0</v>
      </c>
      <c r="E737" s="3">
        <v>6.0</v>
      </c>
      <c r="F737" s="4"/>
      <c r="G737" s="3">
        <v>0.0</v>
      </c>
      <c r="H737" s="3">
        <v>650.0</v>
      </c>
      <c r="I737" s="3" t="s">
        <v>110</v>
      </c>
      <c r="J737" s="3">
        <v>405.0</v>
      </c>
      <c r="K737" s="3">
        <v>0.0</v>
      </c>
      <c r="L737" s="3">
        <v>48.4</v>
      </c>
      <c r="M737" s="4" t="str">
        <f>Raw_Data!X737</f>
        <v>mwb</v>
      </c>
      <c r="N737" s="3">
        <v>33.0</v>
      </c>
      <c r="O737" s="3">
        <v>8.416</v>
      </c>
      <c r="P737" s="3">
        <v>-82.824</v>
      </c>
      <c r="Q737" s="3" t="s">
        <v>1724</v>
      </c>
      <c r="R737" s="4"/>
      <c r="S737" s="3" t="s">
        <v>229</v>
      </c>
      <c r="T737" s="4" t="str">
        <f t="shared" si="2"/>
        <v>Valid</v>
      </c>
      <c r="U737" s="4">
        <f t="shared" si="3"/>
        <v>1</v>
      </c>
      <c r="V737" s="4" t="str">
        <f t="shared" si="4"/>
        <v>Unique</v>
      </c>
      <c r="W737" s="4" t="str">
        <f t="shared" si="5"/>
        <v>Unknown</v>
      </c>
      <c r="X737" s="4" t="str">
        <f t="shared" ref="X737:Z737" si="741">IF(Q737="","Unknown",Q737)</f>
        <v>Progreso, Panama</v>
      </c>
      <c r="Y737" s="4" t="str">
        <f t="shared" si="741"/>
        <v>Unknown</v>
      </c>
      <c r="Z737" s="4" t="str">
        <f t="shared" si="741"/>
        <v>Panama</v>
      </c>
      <c r="AA737" s="4" t="str">
        <f t="shared" si="7"/>
        <v>mwb</v>
      </c>
    </row>
    <row r="738">
      <c r="A738" s="3" t="s">
        <v>1725</v>
      </c>
      <c r="B738" s="3">
        <v>6.5</v>
      </c>
      <c r="C738" s="19">
        <f>Raw_Data!T738</f>
        <v>37977.80208</v>
      </c>
      <c r="D738" s="3">
        <v>7.0</v>
      </c>
      <c r="E738" s="3">
        <v>9.0</v>
      </c>
      <c r="F738" s="4"/>
      <c r="G738" s="3">
        <v>0.0</v>
      </c>
      <c r="H738" s="3">
        <v>1390.0</v>
      </c>
      <c r="I738" s="3" t="s">
        <v>1026</v>
      </c>
      <c r="J738" s="3">
        <v>65.0</v>
      </c>
      <c r="K738" s="3">
        <v>0.04685</v>
      </c>
      <c r="L738" s="3">
        <v>71.0</v>
      </c>
      <c r="M738" s="4" t="str">
        <f>Raw_Data!X738</f>
        <v>mw</v>
      </c>
      <c r="N738" s="3">
        <v>8.382</v>
      </c>
      <c r="O738" s="3">
        <v>35.7005</v>
      </c>
      <c r="P738" s="3">
        <v>-121.101</v>
      </c>
      <c r="Q738" s="3" t="s">
        <v>1727</v>
      </c>
      <c r="R738" s="3" t="s">
        <v>233</v>
      </c>
      <c r="S738" s="3" t="s">
        <v>318</v>
      </c>
      <c r="T738" s="4" t="str">
        <f t="shared" si="2"/>
        <v>Valid</v>
      </c>
      <c r="U738" s="4">
        <f t="shared" si="3"/>
        <v>1</v>
      </c>
      <c r="V738" s="4" t="str">
        <f t="shared" si="4"/>
        <v>Unique</v>
      </c>
      <c r="W738" s="4" t="str">
        <f t="shared" si="5"/>
        <v>Unknown</v>
      </c>
      <c r="X738" s="4" t="str">
        <f t="shared" ref="X738:Z738" si="742">IF(Q738="","Unknown",Q738)</f>
        <v>San Simeon, California</v>
      </c>
      <c r="Y738" s="4" t="str">
        <f t="shared" si="742"/>
        <v>North America</v>
      </c>
      <c r="Z738" s="4" t="str">
        <f t="shared" si="742"/>
        <v>United States of America</v>
      </c>
      <c r="AA738" s="4" t="str">
        <f t="shared" si="7"/>
        <v>mw</v>
      </c>
    </row>
    <row r="739">
      <c r="A739" s="3" t="s">
        <v>1728</v>
      </c>
      <c r="B739" s="3">
        <v>6.8</v>
      </c>
      <c r="C739" s="19">
        <f>Raw_Data!T739</f>
        <v>37965.19306</v>
      </c>
      <c r="D739" s="3">
        <v>0.0</v>
      </c>
      <c r="E739" s="3">
        <v>7.0</v>
      </c>
      <c r="F739" s="4"/>
      <c r="G739" s="3">
        <v>0.0</v>
      </c>
      <c r="H739" s="3">
        <v>711.0</v>
      </c>
      <c r="I739" s="3" t="s">
        <v>110</v>
      </c>
      <c r="J739" s="3">
        <v>447.0</v>
      </c>
      <c r="K739" s="3">
        <v>0.0</v>
      </c>
      <c r="L739" s="3">
        <v>27.7</v>
      </c>
      <c r="M739" s="4" t="str">
        <f>Raw_Data!X739</f>
        <v>mwb</v>
      </c>
      <c r="N739" s="3">
        <v>10.0</v>
      </c>
      <c r="O739" s="3">
        <v>23.039</v>
      </c>
      <c r="P739" s="3">
        <v>121.362</v>
      </c>
      <c r="Q739" s="3" t="s">
        <v>239</v>
      </c>
      <c r="R739" s="3" t="s">
        <v>164</v>
      </c>
      <c r="S739" s="3" t="s">
        <v>240</v>
      </c>
      <c r="T739" s="4" t="str">
        <f t="shared" si="2"/>
        <v>Valid</v>
      </c>
      <c r="U739" s="4">
        <f t="shared" si="3"/>
        <v>1</v>
      </c>
      <c r="V739" s="4" t="str">
        <f t="shared" si="4"/>
        <v>Unique</v>
      </c>
      <c r="W739" s="4" t="str">
        <f t="shared" si="5"/>
        <v>Unknown</v>
      </c>
      <c r="X739" s="4" t="str">
        <f t="shared" ref="X739:Z739" si="743">IF(Q739="","Unknown",Q739)</f>
        <v>Yujing, Taiwan</v>
      </c>
      <c r="Y739" s="4" t="str">
        <f t="shared" si="743"/>
        <v>Asia</v>
      </c>
      <c r="Z739" s="4" t="str">
        <f t="shared" si="743"/>
        <v>Taiwan</v>
      </c>
      <c r="AA739" s="4" t="str">
        <f t="shared" si="7"/>
        <v>mwb</v>
      </c>
    </row>
    <row r="740">
      <c r="A740" s="3" t="s">
        <v>1729</v>
      </c>
      <c r="B740" s="3">
        <v>6.6</v>
      </c>
      <c r="C740" s="19">
        <f>Raw_Data!T740</f>
        <v>37950.84653</v>
      </c>
      <c r="D740" s="3">
        <v>0.0</v>
      </c>
      <c r="E740" s="3">
        <v>6.0</v>
      </c>
      <c r="F740" s="4"/>
      <c r="G740" s="3">
        <v>0.0</v>
      </c>
      <c r="H740" s="3">
        <v>670.0</v>
      </c>
      <c r="I740" s="3" t="s">
        <v>110</v>
      </c>
      <c r="J740" s="3">
        <v>384.0</v>
      </c>
      <c r="K740" s="3">
        <v>0.0</v>
      </c>
      <c r="L740" s="3">
        <v>25.1</v>
      </c>
      <c r="M740" s="4" t="str">
        <f>Raw_Data!X740</f>
        <v>mwb</v>
      </c>
      <c r="N740" s="3">
        <v>35.0</v>
      </c>
      <c r="O740" s="3">
        <v>-5.581</v>
      </c>
      <c r="P740" s="3">
        <v>150.88</v>
      </c>
      <c r="Q740" s="3" t="s">
        <v>187</v>
      </c>
      <c r="R740" s="4"/>
      <c r="S740" s="3" t="s">
        <v>168</v>
      </c>
      <c r="T740" s="4" t="str">
        <f t="shared" si="2"/>
        <v>Valid</v>
      </c>
      <c r="U740" s="4">
        <f t="shared" si="3"/>
        <v>1</v>
      </c>
      <c r="V740" s="4" t="str">
        <f t="shared" si="4"/>
        <v>Unique</v>
      </c>
      <c r="W740" s="4" t="str">
        <f t="shared" si="5"/>
        <v>Unknown</v>
      </c>
      <c r="X740" s="4" t="str">
        <f t="shared" ref="X740:Z740" si="744">IF(Q740="","Unknown",Q740)</f>
        <v>Kimbe, Papua New Guinea</v>
      </c>
      <c r="Y740" s="4" t="str">
        <f t="shared" si="744"/>
        <v>Unknown</v>
      </c>
      <c r="Z740" s="4" t="str">
        <f t="shared" si="744"/>
        <v>Papua New Guinea</v>
      </c>
      <c r="AA740" s="4" t="str">
        <f t="shared" si="7"/>
        <v>mwb</v>
      </c>
    </row>
    <row r="741">
      <c r="A741" s="3" t="s">
        <v>1731</v>
      </c>
      <c r="B741" s="3">
        <v>6.5</v>
      </c>
      <c r="C741" s="19">
        <f>Raw_Data!T741</f>
        <v>37943.71806</v>
      </c>
      <c r="D741" s="3">
        <v>0.0</v>
      </c>
      <c r="E741" s="3">
        <v>6.0</v>
      </c>
      <c r="F741" s="4"/>
      <c r="G741" s="3">
        <v>0.0</v>
      </c>
      <c r="H741" s="3">
        <v>650.0</v>
      </c>
      <c r="I741" s="3" t="s">
        <v>110</v>
      </c>
      <c r="J741" s="3">
        <v>487.0</v>
      </c>
      <c r="K741" s="3">
        <v>0.0</v>
      </c>
      <c r="L741" s="3">
        <v>45.9</v>
      </c>
      <c r="M741" s="4" t="str">
        <f>Raw_Data!X741</f>
        <v>mwb</v>
      </c>
      <c r="N741" s="3">
        <v>35.0</v>
      </c>
      <c r="O741" s="3">
        <v>12.025</v>
      </c>
      <c r="P741" s="3">
        <v>125.416</v>
      </c>
      <c r="Q741" s="3" t="s">
        <v>1733</v>
      </c>
      <c r="R741" s="4"/>
      <c r="S741" s="3" t="s">
        <v>258</v>
      </c>
      <c r="T741" s="4" t="str">
        <f t="shared" si="2"/>
        <v>Valid</v>
      </c>
      <c r="U741" s="4">
        <f t="shared" si="3"/>
        <v>1</v>
      </c>
      <c r="V741" s="4" t="str">
        <f t="shared" si="4"/>
        <v>Unique</v>
      </c>
      <c r="W741" s="4" t="str">
        <f t="shared" si="5"/>
        <v>Unknown</v>
      </c>
      <c r="X741" s="4" t="str">
        <f t="shared" ref="X741:Z741" si="745">IF(Q741="","Unknown",Q741)</f>
        <v>Can-Avid, Philippines</v>
      </c>
      <c r="Y741" s="4" t="str">
        <f t="shared" si="745"/>
        <v>Unknown</v>
      </c>
      <c r="Z741" s="4" t="str">
        <f t="shared" si="745"/>
        <v>Philippines</v>
      </c>
      <c r="AA741" s="4" t="str">
        <f t="shared" si="7"/>
        <v>mwb</v>
      </c>
    </row>
    <row r="742">
      <c r="A742" s="3" t="s">
        <v>1734</v>
      </c>
      <c r="B742" s="3">
        <v>6.6</v>
      </c>
      <c r="C742" s="19">
        <f>Raw_Data!T742</f>
        <v>37931.44306</v>
      </c>
      <c r="D742" s="3">
        <v>0.0</v>
      </c>
      <c r="E742" s="3">
        <v>5.0</v>
      </c>
      <c r="F742" s="4"/>
      <c r="G742" s="3">
        <v>0.0</v>
      </c>
      <c r="H742" s="3">
        <v>670.0</v>
      </c>
      <c r="I742" s="3" t="s">
        <v>110</v>
      </c>
      <c r="J742" s="3">
        <v>475.0</v>
      </c>
      <c r="K742" s="3">
        <v>0.0</v>
      </c>
      <c r="L742" s="3">
        <v>26.2</v>
      </c>
      <c r="M742" s="4" t="str">
        <f>Raw_Data!X742</f>
        <v>mwb</v>
      </c>
      <c r="N742" s="3">
        <v>113.7</v>
      </c>
      <c r="O742" s="3">
        <v>-19.262</v>
      </c>
      <c r="P742" s="3">
        <v>168.892</v>
      </c>
      <c r="Q742" s="3" t="s">
        <v>246</v>
      </c>
      <c r="R742" s="4"/>
      <c r="S742" s="4"/>
      <c r="T742" s="4" t="str">
        <f t="shared" si="2"/>
        <v>Valid</v>
      </c>
      <c r="U742" s="4">
        <f t="shared" si="3"/>
        <v>1</v>
      </c>
      <c r="V742" s="4" t="str">
        <f t="shared" si="4"/>
        <v>Unique</v>
      </c>
      <c r="W742" s="4" t="str">
        <f t="shared" si="5"/>
        <v>Unknown</v>
      </c>
      <c r="X742" s="4" t="str">
        <f t="shared" ref="X742:Z742" si="746">IF(Q742="","Unknown",Q742)</f>
        <v>Isangel, Vanuatu</v>
      </c>
      <c r="Y742" s="4" t="str">
        <f t="shared" si="746"/>
        <v>Unknown</v>
      </c>
      <c r="Z742" s="4" t="str">
        <f t="shared" si="746"/>
        <v>Unknown</v>
      </c>
      <c r="AA742" s="4" t="str">
        <f t="shared" si="7"/>
        <v>mwb</v>
      </c>
    </row>
    <row r="743">
      <c r="A743" s="3" t="s">
        <v>1735</v>
      </c>
      <c r="B743" s="3">
        <v>7.0</v>
      </c>
      <c r="C743" s="19">
        <f>Raw_Data!T743</f>
        <v>37925.04583</v>
      </c>
      <c r="D743" s="3">
        <v>0.0</v>
      </c>
      <c r="E743" s="3">
        <v>5.0</v>
      </c>
      <c r="F743" s="4"/>
      <c r="G743" s="3">
        <v>0.0</v>
      </c>
      <c r="H743" s="3">
        <v>754.0</v>
      </c>
      <c r="I743" s="3" t="s">
        <v>110</v>
      </c>
      <c r="J743" s="3">
        <v>568.0</v>
      </c>
      <c r="K743" s="3">
        <v>0.0</v>
      </c>
      <c r="L743" s="3">
        <v>61.2</v>
      </c>
      <c r="M743" s="4" t="str">
        <f>Raw_Data!X743</f>
        <v>mwb</v>
      </c>
      <c r="N743" s="3">
        <v>10.0</v>
      </c>
      <c r="O743" s="3">
        <v>37.812</v>
      </c>
      <c r="P743" s="3">
        <v>142.619</v>
      </c>
      <c r="Q743" s="3" t="s">
        <v>380</v>
      </c>
      <c r="R743" s="4"/>
      <c r="S743" s="4"/>
      <c r="T743" s="4" t="str">
        <f t="shared" si="2"/>
        <v>Valid</v>
      </c>
      <c r="U743" s="4">
        <f t="shared" si="3"/>
        <v>1</v>
      </c>
      <c r="V743" s="4" t="str">
        <f t="shared" si="4"/>
        <v>Unique</v>
      </c>
      <c r="W743" s="4" t="str">
        <f t="shared" si="5"/>
        <v>Unknown</v>
      </c>
      <c r="X743" s="4" t="str">
        <f t="shared" ref="X743:Z743" si="747">IF(Q743="","Unknown",Q743)</f>
        <v>Ishinomaki, Japan</v>
      </c>
      <c r="Y743" s="4" t="str">
        <f t="shared" si="747"/>
        <v>Unknown</v>
      </c>
      <c r="Z743" s="4" t="str">
        <f t="shared" si="747"/>
        <v>Unknown</v>
      </c>
      <c r="AA743" s="4" t="str">
        <f t="shared" si="7"/>
        <v>mwb</v>
      </c>
    </row>
    <row r="744">
      <c r="A744" s="3" t="s">
        <v>1737</v>
      </c>
      <c r="B744" s="3">
        <v>6.7</v>
      </c>
      <c r="C744" s="19">
        <f>Raw_Data!T744</f>
        <v>37902.37917</v>
      </c>
      <c r="D744" s="3">
        <v>0.0</v>
      </c>
      <c r="E744" s="3">
        <v>6.0</v>
      </c>
      <c r="F744" s="4"/>
      <c r="G744" s="3">
        <v>0.0</v>
      </c>
      <c r="H744" s="3">
        <v>691.0</v>
      </c>
      <c r="I744" s="3" t="s">
        <v>110</v>
      </c>
      <c r="J744" s="3">
        <v>556.0</v>
      </c>
      <c r="K744" s="3">
        <v>0.0</v>
      </c>
      <c r="L744" s="3">
        <v>55.4</v>
      </c>
      <c r="M744" s="4" t="str">
        <f>Raw_Data!X744</f>
        <v>mwc</v>
      </c>
      <c r="N744" s="3">
        <v>32.0</v>
      </c>
      <c r="O744" s="3">
        <v>42.648</v>
      </c>
      <c r="P744" s="3">
        <v>144.57</v>
      </c>
      <c r="Q744" s="3" t="s">
        <v>1738</v>
      </c>
      <c r="R744" s="3" t="s">
        <v>164</v>
      </c>
      <c r="S744" s="4"/>
      <c r="T744" s="4" t="str">
        <f t="shared" si="2"/>
        <v>Valid</v>
      </c>
      <c r="U744" s="4">
        <f t="shared" si="3"/>
        <v>1</v>
      </c>
      <c r="V744" s="4" t="str">
        <f t="shared" si="4"/>
        <v>Unique</v>
      </c>
      <c r="W744" s="4" t="str">
        <f t="shared" si="5"/>
        <v>Unknown</v>
      </c>
      <c r="X744" s="4" t="str">
        <f t="shared" ref="X744:Z744" si="748">IF(Q744="","Unknown",Q744)</f>
        <v>Kushiro, Japan</v>
      </c>
      <c r="Y744" s="4" t="str">
        <f t="shared" si="748"/>
        <v>Asia</v>
      </c>
      <c r="Z744" s="4" t="str">
        <f t="shared" si="748"/>
        <v>Unknown</v>
      </c>
      <c r="AA744" s="4" t="str">
        <f t="shared" si="7"/>
        <v>mwc</v>
      </c>
    </row>
    <row r="745">
      <c r="A745" s="3" t="s">
        <v>1739</v>
      </c>
      <c r="B745" s="3">
        <v>6.7</v>
      </c>
      <c r="C745" s="19">
        <f>Raw_Data!T745</f>
        <v>37895.04375</v>
      </c>
      <c r="D745" s="3">
        <v>0.0</v>
      </c>
      <c r="E745" s="3">
        <v>7.0</v>
      </c>
      <c r="F745" s="4"/>
      <c r="G745" s="3">
        <v>0.0</v>
      </c>
      <c r="H745" s="3">
        <v>691.0</v>
      </c>
      <c r="I745" s="3" t="s">
        <v>110</v>
      </c>
      <c r="J745" s="3">
        <v>643.0</v>
      </c>
      <c r="K745" s="3">
        <v>0.0</v>
      </c>
      <c r="L745" s="3">
        <v>24.5</v>
      </c>
      <c r="M745" s="4" t="str">
        <f>Raw_Data!X745</f>
        <v>mwb</v>
      </c>
      <c r="N745" s="3">
        <v>10.0</v>
      </c>
      <c r="O745" s="3">
        <v>50.211</v>
      </c>
      <c r="P745" s="3">
        <v>87.721</v>
      </c>
      <c r="Q745" s="3" t="s">
        <v>1740</v>
      </c>
      <c r="R745" s="3" t="s">
        <v>164</v>
      </c>
      <c r="S745" s="3" t="s">
        <v>464</v>
      </c>
      <c r="T745" s="4" t="str">
        <f t="shared" si="2"/>
        <v>Valid</v>
      </c>
      <c r="U745" s="4">
        <f t="shared" si="3"/>
        <v>1</v>
      </c>
      <c r="V745" s="4" t="str">
        <f t="shared" si="4"/>
        <v>Unique</v>
      </c>
      <c r="W745" s="4" t="str">
        <f t="shared" si="5"/>
        <v>Unknown</v>
      </c>
      <c r="X745" s="4" t="str">
        <f t="shared" ref="X745:Z745" si="749">IF(Q745="","Unknown",Q745)</f>
        <v>Aktash, Russia</v>
      </c>
      <c r="Y745" s="4" t="str">
        <f t="shared" si="749"/>
        <v>Asia</v>
      </c>
      <c r="Z745" s="4" t="str">
        <f t="shared" si="749"/>
        <v>Russia</v>
      </c>
      <c r="AA745" s="4" t="str">
        <f t="shared" si="7"/>
        <v>mwb</v>
      </c>
    </row>
    <row r="746">
      <c r="A746" s="3" t="s">
        <v>1741</v>
      </c>
      <c r="B746" s="3">
        <v>6.5</v>
      </c>
      <c r="C746" s="19">
        <f>Raw_Data!T746</f>
        <v>37893.10833</v>
      </c>
      <c r="D746" s="3">
        <v>0.0</v>
      </c>
      <c r="E746" s="3">
        <v>5.0</v>
      </c>
      <c r="F746" s="4"/>
      <c r="G746" s="3">
        <v>0.0</v>
      </c>
      <c r="H746" s="3">
        <v>650.0</v>
      </c>
      <c r="I746" s="3" t="s">
        <v>110</v>
      </c>
      <c r="J746" s="3">
        <v>586.0</v>
      </c>
      <c r="K746" s="3">
        <v>0.0</v>
      </c>
      <c r="L746" s="3">
        <v>71.3</v>
      </c>
      <c r="M746" s="4" t="str">
        <f>Raw_Data!X746</f>
        <v>mwc</v>
      </c>
      <c r="N746" s="3">
        <v>25.0</v>
      </c>
      <c r="O746" s="3">
        <v>42.45</v>
      </c>
      <c r="P746" s="3">
        <v>144.38</v>
      </c>
      <c r="Q746" s="3" t="s">
        <v>1738</v>
      </c>
      <c r="R746" s="4"/>
      <c r="S746" s="4"/>
      <c r="T746" s="4" t="str">
        <f t="shared" si="2"/>
        <v>Valid</v>
      </c>
      <c r="U746" s="4">
        <f t="shared" si="3"/>
        <v>1</v>
      </c>
      <c r="V746" s="4" t="str">
        <f t="shared" si="4"/>
        <v>Unique</v>
      </c>
      <c r="W746" s="4" t="str">
        <f t="shared" si="5"/>
        <v>Unknown</v>
      </c>
      <c r="X746" s="4" t="str">
        <f t="shared" ref="X746:Z746" si="750">IF(Q746="","Unknown",Q746)</f>
        <v>Kushiro, Japan</v>
      </c>
      <c r="Y746" s="4" t="str">
        <f t="shared" si="750"/>
        <v>Unknown</v>
      </c>
      <c r="Z746" s="4" t="str">
        <f t="shared" si="750"/>
        <v>Unknown</v>
      </c>
      <c r="AA746" s="4" t="str">
        <f t="shared" si="7"/>
        <v>mwc</v>
      </c>
    </row>
    <row r="747">
      <c r="A747" s="3" t="s">
        <v>1743</v>
      </c>
      <c r="B747" s="3">
        <v>7.3</v>
      </c>
      <c r="C747" s="19">
        <f>Raw_Data!T747</f>
        <v>37891.48125</v>
      </c>
      <c r="D747" s="3">
        <v>0.0</v>
      </c>
      <c r="E747" s="3">
        <v>7.0</v>
      </c>
      <c r="F747" s="4"/>
      <c r="G747" s="3">
        <v>0.0</v>
      </c>
      <c r="H747" s="3">
        <v>820.0</v>
      </c>
      <c r="I747" s="3" t="s">
        <v>110</v>
      </c>
      <c r="J747" s="3">
        <v>667.0</v>
      </c>
      <c r="K747" s="3">
        <v>0.0</v>
      </c>
      <c r="L747" s="3">
        <v>24.5</v>
      </c>
      <c r="M747" s="4" t="str">
        <f>Raw_Data!X747</f>
        <v>mwb</v>
      </c>
      <c r="N747" s="3">
        <v>16.0</v>
      </c>
      <c r="O747" s="3">
        <v>50.038</v>
      </c>
      <c r="P747" s="3">
        <v>87.813</v>
      </c>
      <c r="Q747" s="3" t="s">
        <v>1740</v>
      </c>
      <c r="R747" s="3" t="s">
        <v>164</v>
      </c>
      <c r="S747" s="3" t="s">
        <v>464</v>
      </c>
      <c r="T747" s="4" t="str">
        <f t="shared" si="2"/>
        <v>Valid</v>
      </c>
      <c r="U747" s="4">
        <f t="shared" si="3"/>
        <v>1</v>
      </c>
      <c r="V747" s="4" t="str">
        <f t="shared" si="4"/>
        <v>Unique</v>
      </c>
      <c r="W747" s="4" t="str">
        <f t="shared" si="5"/>
        <v>Unknown</v>
      </c>
      <c r="X747" s="4" t="str">
        <f t="shared" ref="X747:Z747" si="751">IF(Q747="","Unknown",Q747)</f>
        <v>Aktash, Russia</v>
      </c>
      <c r="Y747" s="4" t="str">
        <f t="shared" si="751"/>
        <v>Asia</v>
      </c>
      <c r="Z747" s="4" t="str">
        <f t="shared" si="751"/>
        <v>Russia</v>
      </c>
      <c r="AA747" s="4" t="str">
        <f t="shared" si="7"/>
        <v>mwb</v>
      </c>
    </row>
    <row r="748">
      <c r="A748" s="3" t="s">
        <v>1745</v>
      </c>
      <c r="B748" s="3">
        <v>7.4</v>
      </c>
      <c r="C748" s="19">
        <f>Raw_Data!T748</f>
        <v>37889.88056</v>
      </c>
      <c r="D748" s="3">
        <v>0.0</v>
      </c>
      <c r="E748" s="3">
        <v>7.0</v>
      </c>
      <c r="F748" s="4"/>
      <c r="G748" s="3">
        <v>0.0</v>
      </c>
      <c r="H748" s="3">
        <v>842.0</v>
      </c>
      <c r="I748" s="3" t="s">
        <v>110</v>
      </c>
      <c r="J748" s="3">
        <v>514.0</v>
      </c>
      <c r="K748" s="3">
        <v>0.0</v>
      </c>
      <c r="L748" s="3">
        <v>78.8</v>
      </c>
      <c r="M748" s="4" t="str">
        <f>Raw_Data!X748</f>
        <v>mwc</v>
      </c>
      <c r="N748" s="3">
        <v>33.0</v>
      </c>
      <c r="O748" s="3">
        <v>41.774</v>
      </c>
      <c r="P748" s="3">
        <v>143.593</v>
      </c>
      <c r="Q748" s="3" t="s">
        <v>830</v>
      </c>
      <c r="R748" s="3" t="s">
        <v>164</v>
      </c>
      <c r="S748" s="4"/>
      <c r="T748" s="4" t="str">
        <f t="shared" si="2"/>
        <v>Valid</v>
      </c>
      <c r="U748" s="4">
        <f t="shared" si="3"/>
        <v>1</v>
      </c>
      <c r="V748" s="4" t="str">
        <f t="shared" si="4"/>
        <v>Unique</v>
      </c>
      <c r="W748" s="4" t="str">
        <f t="shared" si="5"/>
        <v>Unknown</v>
      </c>
      <c r="X748" s="4" t="str">
        <f t="shared" ref="X748:Z748" si="752">IF(Q748="","Unknown",Q748)</f>
        <v>Shizunai-furukawach?, Japan</v>
      </c>
      <c r="Y748" s="4" t="str">
        <f t="shared" si="752"/>
        <v>Asia</v>
      </c>
      <c r="Z748" s="4" t="str">
        <f t="shared" si="752"/>
        <v>Unknown</v>
      </c>
      <c r="AA748" s="4" t="str">
        <f t="shared" si="7"/>
        <v>mwc</v>
      </c>
    </row>
    <row r="749">
      <c r="A749" s="3" t="s">
        <v>1747</v>
      </c>
      <c r="B749" s="3">
        <v>8.16</v>
      </c>
      <c r="C749" s="19">
        <f>Raw_Data!T749</f>
        <v>37889.82639</v>
      </c>
      <c r="D749" s="3">
        <v>0.0</v>
      </c>
      <c r="E749" s="3">
        <v>9.0</v>
      </c>
      <c r="F749" s="4"/>
      <c r="G749" s="3">
        <v>0.0</v>
      </c>
      <c r="H749" s="3">
        <v>1024.0</v>
      </c>
      <c r="I749" s="3" t="s">
        <v>1196</v>
      </c>
      <c r="J749" s="3">
        <v>0.0</v>
      </c>
      <c r="K749" s="3">
        <v>0.0</v>
      </c>
      <c r="L749" s="3">
        <v>0.0</v>
      </c>
      <c r="M749" s="4" t="str">
        <f>Raw_Data!X749</f>
        <v>mww</v>
      </c>
      <c r="N749" s="3">
        <v>27.0</v>
      </c>
      <c r="O749" s="3">
        <v>41.815</v>
      </c>
      <c r="P749" s="3">
        <v>143.91</v>
      </c>
      <c r="Q749" s="3" t="s">
        <v>1738</v>
      </c>
      <c r="R749" s="4"/>
      <c r="S749" s="4"/>
      <c r="T749" s="4" t="str">
        <f t="shared" si="2"/>
        <v>Valid</v>
      </c>
      <c r="U749" s="4">
        <f t="shared" si="3"/>
        <v>1</v>
      </c>
      <c r="V749" s="4" t="str">
        <f t="shared" si="4"/>
        <v>Unique</v>
      </c>
      <c r="W749" s="4" t="str">
        <f t="shared" si="5"/>
        <v>Unknown</v>
      </c>
      <c r="X749" s="4" t="str">
        <f t="shared" ref="X749:Z749" si="753">IF(Q749="","Unknown",Q749)</f>
        <v>Kushiro, Japan</v>
      </c>
      <c r="Y749" s="4" t="str">
        <f t="shared" si="753"/>
        <v>Unknown</v>
      </c>
      <c r="Z749" s="4" t="str">
        <f t="shared" si="753"/>
        <v>Unknown</v>
      </c>
      <c r="AA749" s="4" t="str">
        <f t="shared" si="7"/>
        <v>mww</v>
      </c>
    </row>
    <row r="750">
      <c r="A750" s="3" t="s">
        <v>1749</v>
      </c>
      <c r="B750" s="3">
        <v>6.6</v>
      </c>
      <c r="C750" s="19">
        <f>Raw_Data!T750</f>
        <v>37885.76111</v>
      </c>
      <c r="D750" s="3">
        <v>0.0</v>
      </c>
      <c r="E750" s="3">
        <v>7.0</v>
      </c>
      <c r="F750" s="4"/>
      <c r="G750" s="3">
        <v>0.0</v>
      </c>
      <c r="H750" s="3">
        <v>670.0</v>
      </c>
      <c r="I750" s="3" t="s">
        <v>110</v>
      </c>
      <c r="J750" s="3">
        <v>518.0</v>
      </c>
      <c r="K750" s="3">
        <v>0.0</v>
      </c>
      <c r="L750" s="3">
        <v>24.7</v>
      </c>
      <c r="M750" s="4" t="str">
        <f>Raw_Data!X750</f>
        <v>mwb</v>
      </c>
      <c r="N750" s="3">
        <v>10.0</v>
      </c>
      <c r="O750" s="3">
        <v>19.917</v>
      </c>
      <c r="P750" s="3">
        <v>95.672</v>
      </c>
      <c r="Q750" s="3" t="s">
        <v>1751</v>
      </c>
      <c r="R750" s="3" t="s">
        <v>164</v>
      </c>
      <c r="S750" s="3" t="s">
        <v>785</v>
      </c>
      <c r="T750" s="4" t="str">
        <f t="shared" si="2"/>
        <v>Valid</v>
      </c>
      <c r="U750" s="4">
        <f t="shared" si="3"/>
        <v>1</v>
      </c>
      <c r="V750" s="4" t="str">
        <f t="shared" si="4"/>
        <v>Unique</v>
      </c>
      <c r="W750" s="4" t="str">
        <f t="shared" si="5"/>
        <v>Unknown</v>
      </c>
      <c r="X750" s="4" t="str">
        <f t="shared" ref="X750:Z750" si="754">IF(Q750="","Unknown",Q750)</f>
        <v>Taungdwingyi, Myanmar</v>
      </c>
      <c r="Y750" s="4" t="str">
        <f t="shared" si="754"/>
        <v>Asia</v>
      </c>
      <c r="Z750" s="4" t="str">
        <f t="shared" si="754"/>
        <v>Myanmar</v>
      </c>
      <c r="AA750" s="4" t="str">
        <f t="shared" si="7"/>
        <v>mwb</v>
      </c>
    </row>
    <row r="751">
      <c r="A751" s="3" t="s">
        <v>1752</v>
      </c>
      <c r="B751" s="3">
        <v>7.2</v>
      </c>
      <c r="C751" s="19">
        <f>Raw_Data!T751</f>
        <v>37854.50833</v>
      </c>
      <c r="D751" s="3">
        <v>0.0</v>
      </c>
      <c r="E751" s="3">
        <v>7.0</v>
      </c>
      <c r="F751" s="4"/>
      <c r="G751" s="3">
        <v>0.0</v>
      </c>
      <c r="H751" s="3">
        <v>798.0</v>
      </c>
      <c r="I751" s="3" t="s">
        <v>110</v>
      </c>
      <c r="J751" s="3">
        <v>428.0</v>
      </c>
      <c r="K751" s="3">
        <v>0.0</v>
      </c>
      <c r="L751" s="3">
        <v>17.5</v>
      </c>
      <c r="M751" s="4" t="str">
        <f>Raw_Data!X751</f>
        <v>mwc</v>
      </c>
      <c r="N751" s="3">
        <v>28.0</v>
      </c>
      <c r="O751" s="3">
        <v>-45.104</v>
      </c>
      <c r="P751" s="3">
        <v>167.144</v>
      </c>
      <c r="Q751" s="3" t="s">
        <v>1398</v>
      </c>
      <c r="R751" s="4"/>
      <c r="S751" s="3" t="s">
        <v>759</v>
      </c>
      <c r="T751" s="4" t="str">
        <f t="shared" si="2"/>
        <v>Valid</v>
      </c>
      <c r="U751" s="4">
        <f t="shared" si="3"/>
        <v>1</v>
      </c>
      <c r="V751" s="4" t="str">
        <f t="shared" si="4"/>
        <v>Unique</v>
      </c>
      <c r="W751" s="4" t="str">
        <f t="shared" si="5"/>
        <v>Unknown</v>
      </c>
      <c r="X751" s="4" t="str">
        <f t="shared" ref="X751:Z751" si="755">IF(Q751="","Unknown",Q751)</f>
        <v>Te Anau, New Zealand</v>
      </c>
      <c r="Y751" s="4" t="str">
        <f t="shared" si="755"/>
        <v>Unknown</v>
      </c>
      <c r="Z751" s="4" t="str">
        <f t="shared" si="755"/>
        <v>New Zealand</v>
      </c>
      <c r="AA751" s="4" t="str">
        <f t="shared" si="7"/>
        <v>mwc</v>
      </c>
    </row>
    <row r="752">
      <c r="A752" s="3" t="s">
        <v>1754</v>
      </c>
      <c r="B752" s="3">
        <v>7.6</v>
      </c>
      <c r="C752" s="19">
        <f>Raw_Data!T752</f>
        <v>37837.19236</v>
      </c>
      <c r="D752" s="3">
        <v>0.0</v>
      </c>
      <c r="E752" s="3">
        <v>6.0</v>
      </c>
      <c r="F752" s="4"/>
      <c r="G752" s="3">
        <v>0.0</v>
      </c>
      <c r="H752" s="3">
        <v>889.0</v>
      </c>
      <c r="I752" s="3" t="s">
        <v>110</v>
      </c>
      <c r="J752" s="3">
        <v>315.0</v>
      </c>
      <c r="K752" s="3">
        <v>0.0</v>
      </c>
      <c r="L752" s="3">
        <v>25.2</v>
      </c>
      <c r="M752" s="4" t="str">
        <f>Raw_Data!X752</f>
        <v>mwc</v>
      </c>
      <c r="N752" s="3">
        <v>10.0</v>
      </c>
      <c r="O752" s="3">
        <v>-60.532</v>
      </c>
      <c r="P752" s="3">
        <v>-43.411</v>
      </c>
      <c r="Q752" s="3" t="s">
        <v>1042</v>
      </c>
      <c r="R752" s="4"/>
      <c r="S752" s="3" t="s">
        <v>497</v>
      </c>
      <c r="T752" s="4" t="str">
        <f t="shared" si="2"/>
        <v>Valid</v>
      </c>
      <c r="U752" s="4">
        <f t="shared" si="3"/>
        <v>1</v>
      </c>
      <c r="V752" s="4" t="str">
        <f t="shared" si="4"/>
        <v>Unique</v>
      </c>
      <c r="W752" s="4" t="str">
        <f t="shared" si="5"/>
        <v>Unknown</v>
      </c>
      <c r="X752" s="4" t="str">
        <f t="shared" ref="X752:Z752" si="756">IF(Q752="","Unknown",Q752)</f>
        <v>Scotia Sea</v>
      </c>
      <c r="Y752" s="4" t="str">
        <f t="shared" si="756"/>
        <v>Unknown</v>
      </c>
      <c r="Z752" s="4" t="str">
        <f t="shared" si="756"/>
        <v>United Kingdom of Great Britain and Northern Ireland (the)</v>
      </c>
      <c r="AA752" s="4" t="str">
        <f t="shared" si="7"/>
        <v>mwc</v>
      </c>
    </row>
    <row r="753">
      <c r="A753" s="3" t="s">
        <v>1755</v>
      </c>
      <c r="B753" s="3">
        <v>6.5</v>
      </c>
      <c r="C753" s="19">
        <f>Raw_Data!T753</f>
        <v>37817.78194</v>
      </c>
      <c r="D753" s="3">
        <v>0.0</v>
      </c>
      <c r="E753" s="3">
        <v>6.0</v>
      </c>
      <c r="F753" s="4"/>
      <c r="G753" s="3">
        <v>0.0</v>
      </c>
      <c r="H753" s="3">
        <v>650.0</v>
      </c>
      <c r="I753" s="3" t="s">
        <v>110</v>
      </c>
      <c r="J753" s="3">
        <v>156.0</v>
      </c>
      <c r="K753" s="3">
        <v>0.0</v>
      </c>
      <c r="L753" s="3">
        <v>31.4</v>
      </c>
      <c r="M753" s="4" t="str">
        <f>Raw_Data!X753</f>
        <v>mwb</v>
      </c>
      <c r="N753" s="3">
        <v>33.0</v>
      </c>
      <c r="O753" s="3">
        <v>-3.828</v>
      </c>
      <c r="P753" s="3">
        <v>152.174</v>
      </c>
      <c r="Q753" s="3" t="s">
        <v>781</v>
      </c>
      <c r="R753" s="4"/>
      <c r="S753" s="3" t="s">
        <v>168</v>
      </c>
      <c r="T753" s="4" t="str">
        <f t="shared" si="2"/>
        <v>Valid</v>
      </c>
      <c r="U753" s="4">
        <f t="shared" si="3"/>
        <v>1</v>
      </c>
      <c r="V753" s="4" t="str">
        <f t="shared" si="4"/>
        <v>Unique</v>
      </c>
      <c r="W753" s="4" t="str">
        <f t="shared" si="5"/>
        <v>Unknown</v>
      </c>
      <c r="X753" s="4" t="str">
        <f t="shared" ref="X753:Z753" si="757">IF(Q753="","Unknown",Q753)</f>
        <v>Rabaul, Papua New Guinea</v>
      </c>
      <c r="Y753" s="4" t="str">
        <f t="shared" si="757"/>
        <v>Unknown</v>
      </c>
      <c r="Z753" s="4" t="str">
        <f t="shared" si="757"/>
        <v>Papua New Guinea</v>
      </c>
      <c r="AA753" s="4" t="str">
        <f t="shared" si="7"/>
        <v>mwb</v>
      </c>
    </row>
    <row r="754">
      <c r="A754" s="3" t="s">
        <v>1757</v>
      </c>
      <c r="B754" s="3">
        <v>6.8</v>
      </c>
      <c r="C754" s="19">
        <f>Raw_Data!T754</f>
        <v>37792.5625</v>
      </c>
      <c r="D754" s="3">
        <v>0.0</v>
      </c>
      <c r="E754" s="3">
        <v>7.0</v>
      </c>
      <c r="F754" s="4"/>
      <c r="G754" s="3">
        <v>0.0</v>
      </c>
      <c r="H754" s="3">
        <v>711.0</v>
      </c>
      <c r="I754" s="3" t="s">
        <v>110</v>
      </c>
      <c r="J754" s="3">
        <v>398.0</v>
      </c>
      <c r="K754" s="3">
        <v>0.0</v>
      </c>
      <c r="L754" s="3">
        <v>39.1</v>
      </c>
      <c r="M754" s="4" t="str">
        <f>Raw_Data!X754</f>
        <v>mwc</v>
      </c>
      <c r="N754" s="3">
        <v>33.0</v>
      </c>
      <c r="O754" s="3">
        <v>-30.608</v>
      </c>
      <c r="P754" s="3">
        <v>-71.637</v>
      </c>
      <c r="Q754" s="3" t="s">
        <v>862</v>
      </c>
      <c r="R754" s="3" t="s">
        <v>121</v>
      </c>
      <c r="S754" s="3" t="s">
        <v>414</v>
      </c>
      <c r="T754" s="4" t="str">
        <f t="shared" si="2"/>
        <v>Valid</v>
      </c>
      <c r="U754" s="4">
        <f t="shared" si="3"/>
        <v>1</v>
      </c>
      <c r="V754" s="4" t="str">
        <f t="shared" si="4"/>
        <v>Unique</v>
      </c>
      <c r="W754" s="4" t="str">
        <f t="shared" si="5"/>
        <v>Unknown</v>
      </c>
      <c r="X754" s="4" t="str">
        <f t="shared" ref="X754:Z754" si="758">IF(Q754="","Unknown",Q754)</f>
        <v>Ovalle, Chile</v>
      </c>
      <c r="Y754" s="4" t="str">
        <f t="shared" si="758"/>
        <v>South America</v>
      </c>
      <c r="Z754" s="4" t="str">
        <f t="shared" si="758"/>
        <v>Chile</v>
      </c>
      <c r="AA754" s="4" t="str">
        <f t="shared" si="7"/>
        <v>mwc</v>
      </c>
    </row>
    <row r="755">
      <c r="A755" s="3" t="s">
        <v>1759</v>
      </c>
      <c r="B755" s="3">
        <v>6.9</v>
      </c>
      <c r="C755" s="19">
        <f>Raw_Data!T755</f>
        <v>37788.92222</v>
      </c>
      <c r="D755" s="3">
        <v>0.0</v>
      </c>
      <c r="E755" s="3">
        <v>5.0</v>
      </c>
      <c r="F755" s="4"/>
      <c r="G755" s="3">
        <v>0.0</v>
      </c>
      <c r="H755" s="3">
        <v>732.0</v>
      </c>
      <c r="I755" s="3" t="s">
        <v>110</v>
      </c>
      <c r="J755" s="3">
        <v>733.0</v>
      </c>
      <c r="K755" s="3">
        <v>0.0</v>
      </c>
      <c r="L755" s="3">
        <v>26.7</v>
      </c>
      <c r="M755" s="4" t="str">
        <f>Raw_Data!X755</f>
        <v>mwb</v>
      </c>
      <c r="N755" s="3">
        <v>174.8</v>
      </c>
      <c r="O755" s="3">
        <v>55.492</v>
      </c>
      <c r="P755" s="3">
        <v>159.999</v>
      </c>
      <c r="Q755" s="3" t="s">
        <v>1705</v>
      </c>
      <c r="R755" s="3" t="s">
        <v>164</v>
      </c>
      <c r="S755" s="3" t="s">
        <v>464</v>
      </c>
      <c r="T755" s="4" t="str">
        <f t="shared" si="2"/>
        <v>Valid</v>
      </c>
      <c r="U755" s="4">
        <f t="shared" si="3"/>
        <v>1</v>
      </c>
      <c r="V755" s="4" t="str">
        <f t="shared" si="4"/>
        <v>Unique</v>
      </c>
      <c r="W755" s="4" t="str">
        <f t="shared" si="5"/>
        <v>Unknown</v>
      </c>
      <c r="X755" s="4" t="str">
        <f t="shared" ref="X755:Z755" si="759">IF(Q755="","Unknown",Q755)</f>
        <v>Atlasovo, Russia</v>
      </c>
      <c r="Y755" s="4" t="str">
        <f t="shared" si="759"/>
        <v>Asia</v>
      </c>
      <c r="Z755" s="4" t="str">
        <f t="shared" si="759"/>
        <v>Russia</v>
      </c>
      <c r="AA755" s="4" t="str">
        <f t="shared" si="7"/>
        <v>mwb</v>
      </c>
    </row>
    <row r="756">
      <c r="A756" s="3" t="s">
        <v>1761</v>
      </c>
      <c r="B756" s="3">
        <v>6.6</v>
      </c>
      <c r="C756" s="19">
        <f>Raw_Data!T756</f>
        <v>37779.02222</v>
      </c>
      <c r="D756" s="3">
        <v>0.0</v>
      </c>
      <c r="E756" s="3">
        <v>6.0</v>
      </c>
      <c r="F756" s="4"/>
      <c r="G756" s="3">
        <v>0.0</v>
      </c>
      <c r="H756" s="3">
        <v>670.0</v>
      </c>
      <c r="I756" s="3" t="s">
        <v>110</v>
      </c>
      <c r="J756" s="3">
        <v>419.0</v>
      </c>
      <c r="K756" s="3">
        <v>0.0</v>
      </c>
      <c r="L756" s="3">
        <v>27.8</v>
      </c>
      <c r="M756" s="4" t="str">
        <f>Raw_Data!X756</f>
        <v>mwc</v>
      </c>
      <c r="N756" s="3">
        <v>33.0</v>
      </c>
      <c r="O756" s="3">
        <v>-5.095</v>
      </c>
      <c r="P756" s="3">
        <v>152.502</v>
      </c>
      <c r="Q756" s="3" t="s">
        <v>633</v>
      </c>
      <c r="R756" s="4"/>
      <c r="S756" s="3" t="s">
        <v>168</v>
      </c>
      <c r="T756" s="4" t="str">
        <f t="shared" si="2"/>
        <v>Valid</v>
      </c>
      <c r="U756" s="4">
        <f t="shared" si="3"/>
        <v>1</v>
      </c>
      <c r="V756" s="4" t="str">
        <f t="shared" si="4"/>
        <v>Unique</v>
      </c>
      <c r="W756" s="4" t="str">
        <f t="shared" si="5"/>
        <v>Unknown</v>
      </c>
      <c r="X756" s="4" t="str">
        <f t="shared" ref="X756:Z756" si="760">IF(Q756="","Unknown",Q756)</f>
        <v>Kokopo, Papua New Guinea</v>
      </c>
      <c r="Y756" s="4" t="str">
        <f t="shared" si="760"/>
        <v>Unknown</v>
      </c>
      <c r="Z756" s="4" t="str">
        <f t="shared" si="760"/>
        <v>Papua New Guinea</v>
      </c>
      <c r="AA756" s="4" t="str">
        <f t="shared" si="7"/>
        <v>mwc</v>
      </c>
    </row>
    <row r="757">
      <c r="A757" s="3" t="s">
        <v>1762</v>
      </c>
      <c r="B757" s="3">
        <v>7.0</v>
      </c>
      <c r="C757" s="19">
        <f>Raw_Data!T757</f>
        <v>37767.80764</v>
      </c>
      <c r="D757" s="3">
        <v>0.0</v>
      </c>
      <c r="E757" s="3">
        <v>6.0</v>
      </c>
      <c r="F757" s="4"/>
      <c r="G757" s="3">
        <v>0.0</v>
      </c>
      <c r="H757" s="3">
        <v>754.0</v>
      </c>
      <c r="I757" s="3" t="s">
        <v>110</v>
      </c>
      <c r="J757" s="3">
        <v>473.0</v>
      </c>
      <c r="K757" s="3">
        <v>0.0</v>
      </c>
      <c r="L757" s="3">
        <v>30.3</v>
      </c>
      <c r="M757" s="4" t="str">
        <f>Raw_Data!X757</f>
        <v>mwc</v>
      </c>
      <c r="N757" s="3">
        <v>31.0</v>
      </c>
      <c r="O757" s="3">
        <v>2.354</v>
      </c>
      <c r="P757" s="3">
        <v>128.855</v>
      </c>
      <c r="Q757" s="3" t="s">
        <v>205</v>
      </c>
      <c r="R757" s="4"/>
      <c r="S757" s="3" t="s">
        <v>153</v>
      </c>
      <c r="T757" s="4" t="str">
        <f t="shared" si="2"/>
        <v>Valid</v>
      </c>
      <c r="U757" s="4">
        <f t="shared" si="3"/>
        <v>1</v>
      </c>
      <c r="V757" s="4" t="str">
        <f t="shared" si="4"/>
        <v>Unique</v>
      </c>
      <c r="W757" s="4" t="str">
        <f t="shared" si="5"/>
        <v>Unknown</v>
      </c>
      <c r="X757" s="4" t="str">
        <f t="shared" ref="X757:Z757" si="761">IF(Q757="","Unknown",Q757)</f>
        <v>Tobelo, Indonesia</v>
      </c>
      <c r="Y757" s="4" t="str">
        <f t="shared" si="761"/>
        <v>Unknown</v>
      </c>
      <c r="Z757" s="4" t="str">
        <f t="shared" si="761"/>
        <v>Indonesia</v>
      </c>
      <c r="AA757" s="4" t="str">
        <f t="shared" si="7"/>
        <v>mwc</v>
      </c>
    </row>
    <row r="758">
      <c r="A758" s="3" t="s">
        <v>1764</v>
      </c>
      <c r="B758" s="3">
        <v>7.0</v>
      </c>
      <c r="C758" s="19">
        <f>Raw_Data!T758</f>
        <v>37767.39167</v>
      </c>
      <c r="D758" s="3">
        <v>0.0</v>
      </c>
      <c r="E758" s="3">
        <v>7.0</v>
      </c>
      <c r="F758" s="4"/>
      <c r="G758" s="3">
        <v>0.0</v>
      </c>
      <c r="H758" s="3">
        <v>754.0</v>
      </c>
      <c r="I758" s="3" t="s">
        <v>110</v>
      </c>
      <c r="J758" s="3">
        <v>690.0</v>
      </c>
      <c r="K758" s="3">
        <v>0.0</v>
      </c>
      <c r="L758" s="3">
        <v>19.1</v>
      </c>
      <c r="M758" s="4" t="str">
        <f>Raw_Data!X758</f>
        <v>mwb</v>
      </c>
      <c r="N758" s="3">
        <v>68.0</v>
      </c>
      <c r="O758" s="3">
        <v>38.849</v>
      </c>
      <c r="P758" s="3">
        <v>141.568</v>
      </c>
      <c r="Q758" s="3" t="s">
        <v>917</v>
      </c>
      <c r="R758" s="3" t="s">
        <v>164</v>
      </c>
      <c r="S758" s="3" t="s">
        <v>371</v>
      </c>
      <c r="T758" s="4" t="str">
        <f t="shared" si="2"/>
        <v>Valid</v>
      </c>
      <c r="U758" s="4">
        <f t="shared" si="3"/>
        <v>1</v>
      </c>
      <c r="V758" s="4" t="str">
        <f t="shared" si="4"/>
        <v>Unique</v>
      </c>
      <c r="W758" s="4" t="str">
        <f t="shared" si="5"/>
        <v>Unknown</v>
      </c>
      <c r="X758" s="4" t="str">
        <f t="shared" ref="X758:Z758" si="762">IF(Q758="","Unknown",Q758)</f>
        <v>?funato, Japan</v>
      </c>
      <c r="Y758" s="4" t="str">
        <f t="shared" si="762"/>
        <v>Asia</v>
      </c>
      <c r="Z758" s="4" t="str">
        <f t="shared" si="762"/>
        <v>Japan</v>
      </c>
      <c r="AA758" s="4" t="str">
        <f t="shared" si="7"/>
        <v>mwb</v>
      </c>
    </row>
    <row r="759">
      <c r="A759" s="3" t="s">
        <v>1766</v>
      </c>
      <c r="B759" s="3">
        <v>6.8</v>
      </c>
      <c r="C759" s="19">
        <f>Raw_Data!T759</f>
        <v>37762.78056</v>
      </c>
      <c r="D759" s="3">
        <v>0.0</v>
      </c>
      <c r="E759" s="3">
        <v>9.0</v>
      </c>
      <c r="F759" s="4"/>
      <c r="G759" s="3">
        <v>0.0</v>
      </c>
      <c r="H759" s="3">
        <v>711.0</v>
      </c>
      <c r="I759" s="3" t="s">
        <v>110</v>
      </c>
      <c r="J759" s="3">
        <v>534.0</v>
      </c>
      <c r="K759" s="3">
        <v>0.0</v>
      </c>
      <c r="L759" s="3">
        <v>19.4</v>
      </c>
      <c r="M759" s="4" t="str">
        <f>Raw_Data!X759</f>
        <v>mwc</v>
      </c>
      <c r="N759" s="3">
        <v>12.0</v>
      </c>
      <c r="O759" s="3">
        <v>36.964</v>
      </c>
      <c r="P759" s="3">
        <v>3.634</v>
      </c>
      <c r="Q759" s="3" t="s">
        <v>1768</v>
      </c>
      <c r="R759" s="4"/>
      <c r="S759" s="3" t="s">
        <v>1769</v>
      </c>
      <c r="T759" s="4" t="str">
        <f t="shared" si="2"/>
        <v>Valid</v>
      </c>
      <c r="U759" s="4">
        <f t="shared" si="3"/>
        <v>1</v>
      </c>
      <c r="V759" s="4" t="str">
        <f t="shared" si="4"/>
        <v>Unique</v>
      </c>
      <c r="W759" s="4" t="str">
        <f t="shared" si="5"/>
        <v>Unknown</v>
      </c>
      <c r="X759" s="4" t="str">
        <f t="shared" ref="X759:Z759" si="763">IF(Q759="","Unknown",Q759)</f>
        <v>Dellys, Algeria</v>
      </c>
      <c r="Y759" s="4" t="str">
        <f t="shared" si="763"/>
        <v>Unknown</v>
      </c>
      <c r="Z759" s="4" t="str">
        <f t="shared" si="763"/>
        <v>Algeria</v>
      </c>
      <c r="AA759" s="4" t="str">
        <f t="shared" si="7"/>
        <v>mwc</v>
      </c>
    </row>
    <row r="760">
      <c r="A760" s="3" t="s">
        <v>1770</v>
      </c>
      <c r="B760" s="3">
        <v>6.5</v>
      </c>
      <c r="C760" s="19">
        <f>Raw_Data!T760</f>
        <v>37705.12014</v>
      </c>
      <c r="D760" s="3">
        <v>0.0</v>
      </c>
      <c r="E760" s="3">
        <v>7.0</v>
      </c>
      <c r="F760" s="4"/>
      <c r="G760" s="3">
        <v>0.0</v>
      </c>
      <c r="H760" s="3">
        <v>650.0</v>
      </c>
      <c r="I760" s="3" t="s">
        <v>110</v>
      </c>
      <c r="J760" s="3">
        <v>247.0</v>
      </c>
      <c r="K760" s="3">
        <v>0.0</v>
      </c>
      <c r="L760" s="3">
        <v>28.7</v>
      </c>
      <c r="M760" s="4" t="str">
        <f>Raw_Data!X760</f>
        <v>mwc</v>
      </c>
      <c r="N760" s="3">
        <v>33.0</v>
      </c>
      <c r="O760" s="3">
        <v>-8.294</v>
      </c>
      <c r="P760" s="3">
        <v>120.743</v>
      </c>
      <c r="Q760" s="3" t="s">
        <v>1772</v>
      </c>
      <c r="R760" s="4"/>
      <c r="S760" s="3" t="s">
        <v>153</v>
      </c>
      <c r="T760" s="4" t="str">
        <f t="shared" si="2"/>
        <v>Valid</v>
      </c>
      <c r="U760" s="4">
        <f t="shared" si="3"/>
        <v>1</v>
      </c>
      <c r="V760" s="4" t="str">
        <f t="shared" si="4"/>
        <v>Unique</v>
      </c>
      <c r="W760" s="4" t="str">
        <f t="shared" si="5"/>
        <v>Unknown</v>
      </c>
      <c r="X760" s="4" t="str">
        <f t="shared" ref="X760:Z760" si="764">IF(Q760="","Unknown",Q760)</f>
        <v>Ruteng, Indonesia</v>
      </c>
      <c r="Y760" s="4" t="str">
        <f t="shared" si="764"/>
        <v>Unknown</v>
      </c>
      <c r="Z760" s="4" t="str">
        <f t="shared" si="764"/>
        <v>Indonesia</v>
      </c>
      <c r="AA760" s="4" t="str">
        <f t="shared" si="7"/>
        <v>mwc</v>
      </c>
    </row>
    <row r="761">
      <c r="A761" s="3" t="s">
        <v>1773</v>
      </c>
      <c r="B761" s="3">
        <v>6.8</v>
      </c>
      <c r="C761" s="19">
        <f>Raw_Data!T761</f>
        <v>37691.31042</v>
      </c>
      <c r="D761" s="3">
        <v>0.0</v>
      </c>
      <c r="E761" s="3">
        <v>7.0</v>
      </c>
      <c r="F761" s="4"/>
      <c r="G761" s="3">
        <v>0.0</v>
      </c>
      <c r="H761" s="3">
        <v>711.0</v>
      </c>
      <c r="I761" s="3" t="s">
        <v>110</v>
      </c>
      <c r="J761" s="3">
        <v>431.0</v>
      </c>
      <c r="K761" s="3">
        <v>0.0</v>
      </c>
      <c r="L761" s="3">
        <v>38.4</v>
      </c>
      <c r="M761" s="4" t="str">
        <f>Raw_Data!X761</f>
        <v>mwc</v>
      </c>
      <c r="N761" s="3">
        <v>40.2</v>
      </c>
      <c r="O761" s="3">
        <v>-4.694</v>
      </c>
      <c r="P761" s="3">
        <v>153.238</v>
      </c>
      <c r="Q761" s="3" t="s">
        <v>633</v>
      </c>
      <c r="R761" s="4"/>
      <c r="S761" s="3" t="s">
        <v>168</v>
      </c>
      <c r="T761" s="4" t="str">
        <f t="shared" si="2"/>
        <v>Valid</v>
      </c>
      <c r="U761" s="4">
        <f t="shared" si="3"/>
        <v>1</v>
      </c>
      <c r="V761" s="4" t="str">
        <f t="shared" si="4"/>
        <v>Unique</v>
      </c>
      <c r="W761" s="4" t="str">
        <f t="shared" si="5"/>
        <v>Unknown</v>
      </c>
      <c r="X761" s="4" t="str">
        <f t="shared" ref="X761:Z761" si="765">IF(Q761="","Unknown",Q761)</f>
        <v>Kokopo, Papua New Guinea</v>
      </c>
      <c r="Y761" s="4" t="str">
        <f t="shared" si="765"/>
        <v>Unknown</v>
      </c>
      <c r="Z761" s="4" t="str">
        <f t="shared" si="765"/>
        <v>Papua New Guinea</v>
      </c>
      <c r="AA761" s="4" t="str">
        <f t="shared" si="7"/>
        <v>mwc</v>
      </c>
    </row>
    <row r="762">
      <c r="A762" s="3" t="s">
        <v>1774</v>
      </c>
      <c r="B762" s="3">
        <v>7.6</v>
      </c>
      <c r="C762" s="19">
        <f>Raw_Data!T762</f>
        <v>37643.0875</v>
      </c>
      <c r="D762" s="3">
        <v>0.0</v>
      </c>
      <c r="E762" s="3">
        <v>7.0</v>
      </c>
      <c r="F762" s="4"/>
      <c r="G762" s="3">
        <v>0.0</v>
      </c>
      <c r="H762" s="3">
        <v>889.0</v>
      </c>
      <c r="I762" s="3" t="s">
        <v>110</v>
      </c>
      <c r="J762" s="3">
        <v>551.0</v>
      </c>
      <c r="K762" s="3">
        <v>0.0</v>
      </c>
      <c r="L762" s="3">
        <v>0.0</v>
      </c>
      <c r="M762" s="4" t="str">
        <f>Raw_Data!X762</f>
        <v>mwb</v>
      </c>
      <c r="N762" s="3">
        <v>24.0</v>
      </c>
      <c r="O762" s="3">
        <v>18.77</v>
      </c>
      <c r="P762" s="3">
        <v>-104.104</v>
      </c>
      <c r="Q762" s="3" t="s">
        <v>1776</v>
      </c>
      <c r="R762" s="3" t="s">
        <v>233</v>
      </c>
      <c r="S762" s="3" t="s">
        <v>234</v>
      </c>
      <c r="T762" s="4" t="str">
        <f t="shared" si="2"/>
        <v>Valid</v>
      </c>
      <c r="U762" s="4">
        <f t="shared" si="3"/>
        <v>1</v>
      </c>
      <c r="V762" s="4" t="str">
        <f t="shared" si="4"/>
        <v>Unique</v>
      </c>
      <c r="W762" s="4" t="str">
        <f t="shared" si="5"/>
        <v>Unknown</v>
      </c>
      <c r="X762" s="4" t="str">
        <f t="shared" ref="X762:Z762" si="766">IF(Q762="","Unknown",Q762)</f>
        <v>Cuyutlán, Mexico</v>
      </c>
      <c r="Y762" s="4" t="str">
        <f t="shared" si="766"/>
        <v>North America</v>
      </c>
      <c r="Z762" s="4" t="str">
        <f t="shared" si="766"/>
        <v>Mexico</v>
      </c>
      <c r="AA762" s="4" t="str">
        <f t="shared" si="7"/>
        <v>mwb</v>
      </c>
    </row>
    <row r="763">
      <c r="A763" s="3" t="s">
        <v>1777</v>
      </c>
      <c r="B763" s="3">
        <v>6.5</v>
      </c>
      <c r="C763" s="19">
        <f>Raw_Data!T763</f>
        <v>37642.11528</v>
      </c>
      <c r="D763" s="3">
        <v>0.0</v>
      </c>
      <c r="E763" s="3">
        <v>6.0</v>
      </c>
      <c r="F763" s="4"/>
      <c r="G763" s="3">
        <v>0.0</v>
      </c>
      <c r="H763" s="3">
        <v>650.0</v>
      </c>
      <c r="I763" s="3" t="s">
        <v>110</v>
      </c>
      <c r="J763" s="3">
        <v>316.0</v>
      </c>
      <c r="K763" s="3">
        <v>0.0</v>
      </c>
      <c r="L763" s="3">
        <v>0.0</v>
      </c>
      <c r="M763" s="4" t="str">
        <f>Raw_Data!X763</f>
        <v>mwc</v>
      </c>
      <c r="N763" s="3">
        <v>24.0</v>
      </c>
      <c r="O763" s="3">
        <v>13.626</v>
      </c>
      <c r="P763" s="3">
        <v>-90.774</v>
      </c>
      <c r="Q763" s="3" t="s">
        <v>696</v>
      </c>
      <c r="R763" s="4"/>
      <c r="S763" s="4"/>
      <c r="T763" s="4" t="str">
        <f t="shared" si="2"/>
        <v>Valid</v>
      </c>
      <c r="U763" s="4">
        <f t="shared" si="3"/>
        <v>1</v>
      </c>
      <c r="V763" s="4" t="str">
        <f t="shared" si="4"/>
        <v>Unique</v>
      </c>
      <c r="W763" s="4" t="str">
        <f t="shared" si="5"/>
        <v>Unknown</v>
      </c>
      <c r="X763" s="4" t="str">
        <f t="shared" ref="X763:Z763" si="767">IF(Q763="","Unknown",Q763)</f>
        <v>Puerto San José, Guatemala</v>
      </c>
      <c r="Y763" s="4" t="str">
        <f t="shared" si="767"/>
        <v>Unknown</v>
      </c>
      <c r="Z763" s="4" t="str">
        <f t="shared" si="767"/>
        <v>Unknown</v>
      </c>
      <c r="AA763" s="4" t="str">
        <f t="shared" si="7"/>
        <v>mwc</v>
      </c>
    </row>
    <row r="764">
      <c r="A764" s="3" t="s">
        <v>1779</v>
      </c>
      <c r="B764" s="3">
        <v>7.3</v>
      </c>
      <c r="C764" s="19">
        <f>Raw_Data!T764</f>
        <v>37641.36319</v>
      </c>
      <c r="D764" s="3">
        <v>0.0</v>
      </c>
      <c r="E764" s="3">
        <v>6.0</v>
      </c>
      <c r="F764" s="4"/>
      <c r="G764" s="3">
        <v>0.0</v>
      </c>
      <c r="H764" s="3">
        <v>820.0</v>
      </c>
      <c r="I764" s="3" t="s">
        <v>110</v>
      </c>
      <c r="J764" s="3">
        <v>457.0</v>
      </c>
      <c r="K764" s="3">
        <v>0.0</v>
      </c>
      <c r="L764" s="3">
        <v>0.0</v>
      </c>
      <c r="M764" s="4" t="str">
        <f>Raw_Data!X764</f>
        <v>mwc</v>
      </c>
      <c r="N764" s="3">
        <v>33.0</v>
      </c>
      <c r="O764" s="3">
        <v>-10.491</v>
      </c>
      <c r="P764" s="3">
        <v>160.77</v>
      </c>
      <c r="Q764" s="3" t="s">
        <v>595</v>
      </c>
      <c r="R764" s="4"/>
      <c r="S764" s="4"/>
      <c r="T764" s="4" t="str">
        <f t="shared" si="2"/>
        <v>Valid</v>
      </c>
      <c r="U764" s="4">
        <f t="shared" si="3"/>
        <v>1</v>
      </c>
      <c r="V764" s="4" t="str">
        <f t="shared" si="4"/>
        <v>Unique</v>
      </c>
      <c r="W764" s="4" t="str">
        <f t="shared" si="5"/>
        <v>Unknown</v>
      </c>
      <c r="X764" s="4" t="str">
        <f t="shared" ref="X764:Z764" si="768">IF(Q764="","Unknown",Q764)</f>
        <v>Kirakira, Solomon Islands</v>
      </c>
      <c r="Y764" s="4" t="str">
        <f t="shared" si="768"/>
        <v>Unknown</v>
      </c>
      <c r="Z764" s="4" t="str">
        <f t="shared" si="768"/>
        <v>Unknown</v>
      </c>
      <c r="AA764" s="4" t="str">
        <f t="shared" si="7"/>
        <v>mwc</v>
      </c>
    </row>
    <row r="765">
      <c r="A765" s="3" t="s">
        <v>1781</v>
      </c>
      <c r="B765" s="3">
        <v>6.7</v>
      </c>
      <c r="C765" s="19">
        <f>Raw_Data!T765</f>
        <v>37631.54931</v>
      </c>
      <c r="D765" s="3">
        <v>0.0</v>
      </c>
      <c r="E765" s="3">
        <v>5.0</v>
      </c>
      <c r="F765" s="4"/>
      <c r="G765" s="3">
        <v>0.0</v>
      </c>
      <c r="H765" s="3">
        <v>691.0</v>
      </c>
      <c r="I765" s="3" t="s">
        <v>110</v>
      </c>
      <c r="J765" s="3">
        <v>323.0</v>
      </c>
      <c r="K765" s="3">
        <v>0.0</v>
      </c>
      <c r="L765" s="3">
        <v>0.0</v>
      </c>
      <c r="M765" s="4" t="str">
        <f>Raw_Data!X765</f>
        <v>mwb</v>
      </c>
      <c r="N765" s="3">
        <v>71.9</v>
      </c>
      <c r="O765" s="3">
        <v>-5.311</v>
      </c>
      <c r="P765" s="3">
        <v>153.701</v>
      </c>
      <c r="Q765" s="3" t="s">
        <v>633</v>
      </c>
      <c r="R765" s="4"/>
      <c r="S765" s="4"/>
      <c r="T765" s="4" t="str">
        <f t="shared" si="2"/>
        <v>Valid</v>
      </c>
      <c r="U765" s="4">
        <f t="shared" si="3"/>
        <v>1</v>
      </c>
      <c r="V765" s="4" t="str">
        <f t="shared" si="4"/>
        <v>Unique</v>
      </c>
      <c r="W765" s="4" t="str">
        <f t="shared" si="5"/>
        <v>Unknown</v>
      </c>
      <c r="X765" s="4" t="str">
        <f t="shared" ref="X765:Z765" si="769">IF(Q765="","Unknown",Q765)</f>
        <v>Kokopo, Papua New Guinea</v>
      </c>
      <c r="Y765" s="4" t="str">
        <f t="shared" si="769"/>
        <v>Unknown</v>
      </c>
      <c r="Z765" s="4" t="str">
        <f t="shared" si="769"/>
        <v>Unknown</v>
      </c>
      <c r="AA765" s="4" t="str">
        <f t="shared" si="7"/>
        <v>mwb</v>
      </c>
    </row>
    <row r="766">
      <c r="A766" s="3" t="s">
        <v>1782</v>
      </c>
      <c r="B766" s="3">
        <v>6.7</v>
      </c>
      <c r="C766" s="19">
        <f>Raw_Data!T766</f>
        <v>37602.35417</v>
      </c>
      <c r="D766" s="3">
        <v>0.0</v>
      </c>
      <c r="E766" s="3">
        <v>6.0</v>
      </c>
      <c r="F766" s="4"/>
      <c r="G766" s="3">
        <v>0.0</v>
      </c>
      <c r="H766" s="3">
        <v>691.0</v>
      </c>
      <c r="I766" s="3" t="s">
        <v>110</v>
      </c>
      <c r="J766" s="3">
        <v>453.0</v>
      </c>
      <c r="K766" s="3">
        <v>0.0</v>
      </c>
      <c r="L766" s="3">
        <v>0.0</v>
      </c>
      <c r="M766" s="4" t="str">
        <f>Raw_Data!X766</f>
        <v>mwb</v>
      </c>
      <c r="N766" s="3">
        <v>34.0</v>
      </c>
      <c r="O766" s="3">
        <v>-4.786</v>
      </c>
      <c r="P766" s="3">
        <v>153.275</v>
      </c>
      <c r="Q766" s="3" t="s">
        <v>1783</v>
      </c>
      <c r="R766" s="4"/>
      <c r="S766" s="3" t="s">
        <v>168</v>
      </c>
      <c r="T766" s="4" t="str">
        <f t="shared" si="2"/>
        <v>Valid</v>
      </c>
      <c r="U766" s="4">
        <f t="shared" si="3"/>
        <v>1</v>
      </c>
      <c r="V766" s="4" t="str">
        <f t="shared" si="4"/>
        <v>Unique</v>
      </c>
      <c r="W766" s="4" t="str">
        <f t="shared" si="5"/>
        <v>Unknown</v>
      </c>
      <c r="X766" s="4" t="str">
        <f t="shared" ref="X766:Z766" si="770">IF(Q766="","Unknown",Q766)</f>
        <v>New Ireland region, Papua New Guinea</v>
      </c>
      <c r="Y766" s="4" t="str">
        <f t="shared" si="770"/>
        <v>Unknown</v>
      </c>
      <c r="Z766" s="4" t="str">
        <f t="shared" si="770"/>
        <v>Papua New Guinea</v>
      </c>
      <c r="AA766" s="4" t="str">
        <f t="shared" si="7"/>
        <v>mwb</v>
      </c>
    </row>
    <row r="767">
      <c r="A767" s="3" t="s">
        <v>1784</v>
      </c>
      <c r="B767" s="3">
        <v>7.9</v>
      </c>
      <c r="C767" s="19">
        <f>Raw_Data!T767</f>
        <v>37563.925</v>
      </c>
      <c r="D767" s="3">
        <v>8.0</v>
      </c>
      <c r="E767" s="3">
        <v>9.0</v>
      </c>
      <c r="F767" s="4"/>
      <c r="G767" s="3">
        <v>0.0</v>
      </c>
      <c r="H767" s="3">
        <v>1750.0</v>
      </c>
      <c r="I767" s="3" t="s">
        <v>316</v>
      </c>
      <c r="J767" s="3">
        <v>0.0</v>
      </c>
      <c r="K767" s="3">
        <v>0.0</v>
      </c>
      <c r="L767" s="3">
        <v>0.0</v>
      </c>
      <c r="M767" s="4" t="str">
        <f>Raw_Data!X767</f>
        <v>mw</v>
      </c>
      <c r="N767" s="3">
        <v>4.2</v>
      </c>
      <c r="O767" s="3">
        <v>63.5141</v>
      </c>
      <c r="P767" s="3">
        <v>-147.453</v>
      </c>
      <c r="Q767" s="3" t="s">
        <v>1785</v>
      </c>
      <c r="R767" s="3" t="s">
        <v>233</v>
      </c>
      <c r="S767" s="3" t="s">
        <v>318</v>
      </c>
      <c r="T767" s="4" t="str">
        <f t="shared" si="2"/>
        <v>Valid</v>
      </c>
      <c r="U767" s="4">
        <f t="shared" si="3"/>
        <v>1</v>
      </c>
      <c r="V767" s="4" t="str">
        <f t="shared" si="4"/>
        <v>Unique</v>
      </c>
      <c r="W767" s="4" t="str">
        <f t="shared" si="5"/>
        <v>Unknown</v>
      </c>
      <c r="X767" s="4" t="str">
        <f t="shared" ref="X767:Z767" si="771">IF(Q767="","Unknown",Q767)</f>
        <v>Cantwell, Alaska</v>
      </c>
      <c r="Y767" s="4" t="str">
        <f t="shared" si="771"/>
        <v>North America</v>
      </c>
      <c r="Z767" s="4" t="str">
        <f t="shared" si="771"/>
        <v>United States of America</v>
      </c>
      <c r="AA767" s="4" t="str">
        <f t="shared" si="7"/>
        <v>mw</v>
      </c>
    </row>
    <row r="768">
      <c r="A768" s="3" t="s">
        <v>1786</v>
      </c>
      <c r="B768" s="3">
        <v>7.4</v>
      </c>
      <c r="C768" s="19">
        <f>Raw_Data!T768</f>
        <v>37562.05972</v>
      </c>
      <c r="D768" s="3">
        <v>0.0</v>
      </c>
      <c r="E768" s="3">
        <v>7.0</v>
      </c>
      <c r="F768" s="4"/>
      <c r="G768" s="3">
        <v>0.0</v>
      </c>
      <c r="H768" s="3">
        <v>842.0</v>
      </c>
      <c r="I768" s="3" t="s">
        <v>110</v>
      </c>
      <c r="J768" s="3">
        <v>418.0</v>
      </c>
      <c r="K768" s="3">
        <v>0.0</v>
      </c>
      <c r="L768" s="3">
        <v>0.0</v>
      </c>
      <c r="M768" s="4" t="str">
        <f>Raw_Data!X768</f>
        <v>mwb</v>
      </c>
      <c r="N768" s="3">
        <v>30.0</v>
      </c>
      <c r="O768" s="3">
        <v>2.824</v>
      </c>
      <c r="P768" s="3">
        <v>96.085</v>
      </c>
      <c r="Q768" s="3" t="s">
        <v>368</v>
      </c>
      <c r="R768" s="4"/>
      <c r="S768" s="3" t="s">
        <v>153</v>
      </c>
      <c r="T768" s="4" t="str">
        <f t="shared" si="2"/>
        <v>Valid</v>
      </c>
      <c r="U768" s="4">
        <f t="shared" si="3"/>
        <v>1</v>
      </c>
      <c r="V768" s="4" t="str">
        <f t="shared" si="4"/>
        <v>Unique</v>
      </c>
      <c r="W768" s="4" t="str">
        <f t="shared" si="5"/>
        <v>Unknown</v>
      </c>
      <c r="X768" s="4" t="str">
        <f t="shared" ref="X768:Z768" si="772">IF(Q768="","Unknown",Q768)</f>
        <v>Sinabang, Indonesia</v>
      </c>
      <c r="Y768" s="4" t="str">
        <f t="shared" si="772"/>
        <v>Unknown</v>
      </c>
      <c r="Z768" s="4" t="str">
        <f t="shared" si="772"/>
        <v>Indonesia</v>
      </c>
      <c r="AA768" s="4" t="str">
        <f t="shared" si="7"/>
        <v>mwb</v>
      </c>
    </row>
    <row r="769">
      <c r="A769" s="3" t="s">
        <v>1787</v>
      </c>
      <c r="B769" s="3">
        <v>6.6</v>
      </c>
      <c r="C769" s="19">
        <f>Raw_Data!T769</f>
        <v>37552.47708</v>
      </c>
      <c r="D769" s="3">
        <v>0.0</v>
      </c>
      <c r="E769" s="3">
        <v>7.0</v>
      </c>
      <c r="F769" s="4"/>
      <c r="G769" s="3">
        <v>0.0</v>
      </c>
      <c r="H769" s="3">
        <v>670.0</v>
      </c>
      <c r="I769" s="3" t="s">
        <v>316</v>
      </c>
      <c r="J769" s="3">
        <v>0.0</v>
      </c>
      <c r="K769" s="3">
        <v>0.0</v>
      </c>
      <c r="L769" s="3">
        <v>0.0</v>
      </c>
      <c r="M769" s="4" t="str">
        <f>Raw_Data!X769</f>
        <v>mw</v>
      </c>
      <c r="N769" s="3">
        <v>4.2</v>
      </c>
      <c r="O769" s="3">
        <v>63.5144</v>
      </c>
      <c r="P769" s="3">
        <v>-147.912</v>
      </c>
      <c r="Q769" s="3" t="s">
        <v>1785</v>
      </c>
      <c r="R769" s="3" t="s">
        <v>233</v>
      </c>
      <c r="S769" s="3" t="s">
        <v>318</v>
      </c>
      <c r="T769" s="4" t="str">
        <f t="shared" si="2"/>
        <v>Valid</v>
      </c>
      <c r="U769" s="4">
        <f t="shared" si="3"/>
        <v>1</v>
      </c>
      <c r="V769" s="4" t="str">
        <f t="shared" si="4"/>
        <v>Unique</v>
      </c>
      <c r="W769" s="4" t="str">
        <f t="shared" si="5"/>
        <v>Unknown</v>
      </c>
      <c r="X769" s="4" t="str">
        <f t="shared" ref="X769:Z769" si="773">IF(Q769="","Unknown",Q769)</f>
        <v>Cantwell, Alaska</v>
      </c>
      <c r="Y769" s="4" t="str">
        <f t="shared" si="773"/>
        <v>North America</v>
      </c>
      <c r="Z769" s="4" t="str">
        <f t="shared" si="773"/>
        <v>United States of America</v>
      </c>
      <c r="AA769" s="4" t="str">
        <f t="shared" si="7"/>
        <v>mw</v>
      </c>
    </row>
    <row r="770">
      <c r="A770" s="3" t="s">
        <v>1789</v>
      </c>
      <c r="B770" s="3">
        <v>6.7</v>
      </c>
      <c r="C770" s="19">
        <f>Raw_Data!T770</f>
        <v>37539.51944</v>
      </c>
      <c r="D770" s="3">
        <v>0.0</v>
      </c>
      <c r="E770" s="3">
        <v>7.0</v>
      </c>
      <c r="F770" s="4"/>
      <c r="G770" s="3">
        <v>0.0</v>
      </c>
      <c r="H770" s="3">
        <v>691.0</v>
      </c>
      <c r="I770" s="3" t="s">
        <v>110</v>
      </c>
      <c r="J770" s="3">
        <v>250.0</v>
      </c>
      <c r="K770" s="3">
        <v>0.0</v>
      </c>
      <c r="L770" s="3">
        <v>0.0</v>
      </c>
      <c r="M770" s="4" t="str">
        <f>Raw_Data!X770</f>
        <v>ms</v>
      </c>
      <c r="N770" s="3">
        <v>10.0</v>
      </c>
      <c r="O770" s="3">
        <v>-1.511</v>
      </c>
      <c r="P770" s="3">
        <v>133.973</v>
      </c>
      <c r="Q770" s="3" t="s">
        <v>1182</v>
      </c>
      <c r="R770" s="4"/>
      <c r="S770" s="3" t="s">
        <v>153</v>
      </c>
      <c r="T770" s="4" t="str">
        <f t="shared" si="2"/>
        <v>Valid</v>
      </c>
      <c r="U770" s="4">
        <f t="shared" si="3"/>
        <v>1</v>
      </c>
      <c r="V770" s="4" t="str">
        <f t="shared" si="4"/>
        <v>Unique</v>
      </c>
      <c r="W770" s="4" t="str">
        <f t="shared" si="5"/>
        <v>Unknown</v>
      </c>
      <c r="X770" s="4" t="str">
        <f t="shared" ref="X770:Z770" si="774">IF(Q770="","Unknown",Q770)</f>
        <v>Manokwari, Indonesia</v>
      </c>
      <c r="Y770" s="4" t="str">
        <f t="shared" si="774"/>
        <v>Unknown</v>
      </c>
      <c r="Z770" s="4" t="str">
        <f t="shared" si="774"/>
        <v>Indonesia</v>
      </c>
      <c r="AA770" s="4" t="str">
        <f t="shared" si="7"/>
        <v>ms</v>
      </c>
    </row>
    <row r="771">
      <c r="A771" s="3" t="s">
        <v>1790</v>
      </c>
      <c r="B771" s="3">
        <v>7.6</v>
      </c>
      <c r="C771" s="19">
        <f>Raw_Data!T771</f>
        <v>37539.45139</v>
      </c>
      <c r="D771" s="3">
        <v>0.0</v>
      </c>
      <c r="E771" s="3">
        <v>7.0</v>
      </c>
      <c r="F771" s="4"/>
      <c r="G771" s="3">
        <v>0.0</v>
      </c>
      <c r="H771" s="3">
        <v>889.0</v>
      </c>
      <c r="I771" s="3" t="s">
        <v>110</v>
      </c>
      <c r="J771" s="3">
        <v>375.0</v>
      </c>
      <c r="K771" s="3">
        <v>0.0</v>
      </c>
      <c r="L771" s="3">
        <v>0.0</v>
      </c>
      <c r="M771" s="4" t="str">
        <f>Raw_Data!X771</f>
        <v>mwc</v>
      </c>
      <c r="N771" s="3">
        <v>10.0</v>
      </c>
      <c r="O771" s="3">
        <v>-1.757</v>
      </c>
      <c r="P771" s="3">
        <v>134.297</v>
      </c>
      <c r="Q771" s="3" t="s">
        <v>1182</v>
      </c>
      <c r="R771" s="4"/>
      <c r="S771" s="3" t="s">
        <v>153</v>
      </c>
      <c r="T771" s="4" t="str">
        <f t="shared" si="2"/>
        <v>Valid</v>
      </c>
      <c r="U771" s="4">
        <f t="shared" si="3"/>
        <v>1</v>
      </c>
      <c r="V771" s="4" t="str">
        <f t="shared" si="4"/>
        <v>Unique</v>
      </c>
      <c r="W771" s="4" t="str">
        <f t="shared" si="5"/>
        <v>Unknown</v>
      </c>
      <c r="X771" s="4" t="str">
        <f t="shared" ref="X771:Z771" si="775">IF(Q771="","Unknown",Q771)</f>
        <v>Manokwari, Indonesia</v>
      </c>
      <c r="Y771" s="4" t="str">
        <f t="shared" si="775"/>
        <v>Unknown</v>
      </c>
      <c r="Z771" s="4" t="str">
        <f t="shared" si="775"/>
        <v>Indonesia</v>
      </c>
      <c r="AA771" s="4" t="str">
        <f t="shared" si="7"/>
        <v>mwc</v>
      </c>
    </row>
    <row r="772">
      <c r="A772" s="3" t="s">
        <v>1791</v>
      </c>
      <c r="B772" s="3">
        <v>6.5</v>
      </c>
      <c r="C772" s="19">
        <f>Raw_Data!T772</f>
        <v>37512.93611</v>
      </c>
      <c r="D772" s="3">
        <v>0.0</v>
      </c>
      <c r="E772" s="3">
        <v>6.0</v>
      </c>
      <c r="F772" s="4"/>
      <c r="G772" s="3">
        <v>0.0</v>
      </c>
      <c r="H772" s="3">
        <v>650.0</v>
      </c>
      <c r="I772" s="3" t="s">
        <v>110</v>
      </c>
      <c r="J772" s="3">
        <v>646.0</v>
      </c>
      <c r="K772" s="3">
        <v>0.0</v>
      </c>
      <c r="L772" s="3">
        <v>0.0</v>
      </c>
      <c r="M772" s="4" t="str">
        <f>Raw_Data!X772</f>
        <v>mwc</v>
      </c>
      <c r="N772" s="3">
        <v>21.0</v>
      </c>
      <c r="O772" s="3">
        <v>13.036</v>
      </c>
      <c r="P772" s="3">
        <v>93.068</v>
      </c>
      <c r="Q772" s="3" t="s">
        <v>1337</v>
      </c>
      <c r="R772" s="4"/>
      <c r="S772" s="3" t="s">
        <v>835</v>
      </c>
      <c r="T772" s="4" t="str">
        <f t="shared" si="2"/>
        <v>Valid</v>
      </c>
      <c r="U772" s="4">
        <f t="shared" si="3"/>
        <v>1</v>
      </c>
      <c r="V772" s="4" t="str">
        <f t="shared" si="4"/>
        <v>Unique</v>
      </c>
      <c r="W772" s="4" t="str">
        <f t="shared" si="5"/>
        <v>Unknown</v>
      </c>
      <c r="X772" s="4" t="str">
        <f t="shared" ref="X772:Z772" si="776">IF(Q772="","Unknown",Q772)</f>
        <v>Bamboo Flat, India</v>
      </c>
      <c r="Y772" s="4" t="str">
        <f t="shared" si="776"/>
        <v>Unknown</v>
      </c>
      <c r="Z772" s="4" t="str">
        <f t="shared" si="776"/>
        <v>India</v>
      </c>
      <c r="AA772" s="4" t="str">
        <f t="shared" si="7"/>
        <v>mwc</v>
      </c>
    </row>
    <row r="773">
      <c r="A773" s="3" t="s">
        <v>1793</v>
      </c>
      <c r="B773" s="3">
        <v>7.6</v>
      </c>
      <c r="C773" s="19">
        <f>Raw_Data!T773</f>
        <v>37507.78056</v>
      </c>
      <c r="D773" s="3">
        <v>0.0</v>
      </c>
      <c r="E773" s="3">
        <v>7.0</v>
      </c>
      <c r="F773" s="4"/>
      <c r="G773" s="3">
        <v>0.0</v>
      </c>
      <c r="H773" s="3">
        <v>889.0</v>
      </c>
      <c r="I773" s="3" t="s">
        <v>110</v>
      </c>
      <c r="J773" s="3">
        <v>428.0</v>
      </c>
      <c r="K773" s="3">
        <v>0.0</v>
      </c>
      <c r="L773" s="3">
        <v>0.0</v>
      </c>
      <c r="M773" s="4" t="str">
        <f>Raw_Data!X773</f>
        <v>mwc</v>
      </c>
      <c r="N773" s="3">
        <v>13.0</v>
      </c>
      <c r="O773" s="3">
        <v>-3.302</v>
      </c>
      <c r="P773" s="3">
        <v>142.945</v>
      </c>
      <c r="Q773" s="3" t="s">
        <v>1115</v>
      </c>
      <c r="R773" s="4"/>
      <c r="S773" s="3" t="s">
        <v>168</v>
      </c>
      <c r="T773" s="4" t="str">
        <f t="shared" si="2"/>
        <v>Valid</v>
      </c>
      <c r="U773" s="4">
        <f t="shared" si="3"/>
        <v>1</v>
      </c>
      <c r="V773" s="4" t="str">
        <f t="shared" si="4"/>
        <v>Unique</v>
      </c>
      <c r="W773" s="4" t="str">
        <f t="shared" si="5"/>
        <v>Unknown</v>
      </c>
      <c r="X773" s="4" t="str">
        <f t="shared" ref="X773:Z773" si="777">IF(Q773="","Unknown",Q773)</f>
        <v>Aitape, Papua New Guinea</v>
      </c>
      <c r="Y773" s="4" t="str">
        <f t="shared" si="777"/>
        <v>Unknown</v>
      </c>
      <c r="Z773" s="4" t="str">
        <f t="shared" si="777"/>
        <v>Papua New Guinea</v>
      </c>
      <c r="AA773" s="4" t="str">
        <f t="shared" si="7"/>
        <v>mwc</v>
      </c>
    </row>
    <row r="774">
      <c r="A774" s="3" t="s">
        <v>1794</v>
      </c>
      <c r="B774" s="3">
        <v>6.5</v>
      </c>
      <c r="C774" s="19">
        <f>Raw_Data!T774</f>
        <v>37482.58125</v>
      </c>
      <c r="D774" s="3">
        <v>0.0</v>
      </c>
      <c r="E774" s="3">
        <v>4.0</v>
      </c>
      <c r="F774" s="4"/>
      <c r="G774" s="3">
        <v>0.0</v>
      </c>
      <c r="H774" s="3">
        <v>650.0</v>
      </c>
      <c r="I774" s="3" t="s">
        <v>110</v>
      </c>
      <c r="J774" s="3">
        <v>260.0</v>
      </c>
      <c r="K774" s="3">
        <v>0.0</v>
      </c>
      <c r="L774" s="3">
        <v>0.0</v>
      </c>
      <c r="M774" s="4" t="str">
        <f>Raw_Data!X774</f>
        <v>mwc</v>
      </c>
      <c r="N774" s="3">
        <v>30.0</v>
      </c>
      <c r="O774" s="3">
        <v>14.101</v>
      </c>
      <c r="P774" s="3">
        <v>146.199</v>
      </c>
      <c r="Q774" s="3" t="s">
        <v>1796</v>
      </c>
      <c r="R774" s="4"/>
      <c r="S774" s="4"/>
      <c r="T774" s="4" t="str">
        <f t="shared" si="2"/>
        <v>Valid</v>
      </c>
      <c r="U774" s="4">
        <f t="shared" si="3"/>
        <v>1</v>
      </c>
      <c r="V774" s="4" t="str">
        <f t="shared" si="4"/>
        <v>Unique</v>
      </c>
      <c r="W774" s="4" t="str">
        <f t="shared" si="5"/>
        <v>Unknown</v>
      </c>
      <c r="X774" s="4" t="str">
        <f t="shared" ref="X774:Z774" si="778">IF(Q774="","Unknown",Q774)</f>
        <v>San Jose Village, Northern Mariana Islands</v>
      </c>
      <c r="Y774" s="4" t="str">
        <f t="shared" si="778"/>
        <v>Unknown</v>
      </c>
      <c r="Z774" s="4" t="str">
        <f t="shared" si="778"/>
        <v>Unknown</v>
      </c>
      <c r="AA774" s="4" t="str">
        <f t="shared" si="7"/>
        <v>mwc</v>
      </c>
    </row>
    <row r="775">
      <c r="A775" s="3" t="s">
        <v>1797</v>
      </c>
      <c r="B775" s="3">
        <v>6.5</v>
      </c>
      <c r="C775" s="19">
        <f>Raw_Data!T775</f>
        <v>37468.01111</v>
      </c>
      <c r="D775" s="3">
        <v>0.0</v>
      </c>
      <c r="E775" s="3">
        <v>7.0</v>
      </c>
      <c r="F775" s="4"/>
      <c r="G775" s="3">
        <v>0.0</v>
      </c>
      <c r="H775" s="3">
        <v>650.0</v>
      </c>
      <c r="I775" s="3" t="s">
        <v>110</v>
      </c>
      <c r="J775" s="3">
        <v>533.0</v>
      </c>
      <c r="K775" s="3">
        <v>0.0</v>
      </c>
      <c r="L775" s="3">
        <v>0.0</v>
      </c>
      <c r="M775" s="4" t="str">
        <f>Raw_Data!X775</f>
        <v>mwc</v>
      </c>
      <c r="N775" s="3">
        <v>10.0</v>
      </c>
      <c r="O775" s="3">
        <v>7.929</v>
      </c>
      <c r="P775" s="3">
        <v>-82.793</v>
      </c>
      <c r="Q775" s="3" t="s">
        <v>950</v>
      </c>
      <c r="R775" s="4"/>
      <c r="S775" s="3" t="s">
        <v>229</v>
      </c>
      <c r="T775" s="4" t="str">
        <f t="shared" si="2"/>
        <v>Valid</v>
      </c>
      <c r="U775" s="4">
        <f t="shared" si="3"/>
        <v>1</v>
      </c>
      <c r="V775" s="4" t="str">
        <f t="shared" si="4"/>
        <v>Unique</v>
      </c>
      <c r="W775" s="4" t="str">
        <f t="shared" si="5"/>
        <v>Unknown</v>
      </c>
      <c r="X775" s="4" t="str">
        <f t="shared" ref="X775:Z775" si="779">IF(Q775="","Unknown",Q775)</f>
        <v>Punta de Burica, Panama</v>
      </c>
      <c r="Y775" s="4" t="str">
        <f t="shared" si="779"/>
        <v>Unknown</v>
      </c>
      <c r="Z775" s="4" t="str">
        <f t="shared" si="779"/>
        <v>Panama</v>
      </c>
      <c r="AA775" s="4" t="str">
        <f t="shared" si="7"/>
        <v>mwc</v>
      </c>
    </row>
    <row r="776">
      <c r="A776" s="3" t="s">
        <v>1799</v>
      </c>
      <c r="B776" s="3">
        <v>6.5</v>
      </c>
      <c r="C776" s="19">
        <f>Raw_Data!T776</f>
        <v>37429.12361</v>
      </c>
      <c r="D776" s="3">
        <v>0.0</v>
      </c>
      <c r="E776" s="3">
        <v>8.0</v>
      </c>
      <c r="F776" s="4"/>
      <c r="G776" s="3">
        <v>0.0</v>
      </c>
      <c r="H776" s="3">
        <v>650.0</v>
      </c>
      <c r="I776" s="3" t="s">
        <v>110</v>
      </c>
      <c r="J776" s="3">
        <v>555.0</v>
      </c>
      <c r="K776" s="3">
        <v>0.0</v>
      </c>
      <c r="L776" s="3">
        <v>0.0</v>
      </c>
      <c r="M776" s="4" t="str">
        <f>Raw_Data!X776</f>
        <v>mwc</v>
      </c>
      <c r="N776" s="3">
        <v>10.0</v>
      </c>
      <c r="O776" s="3">
        <v>35.626</v>
      </c>
      <c r="P776" s="3">
        <v>49.047</v>
      </c>
      <c r="Q776" s="3" t="s">
        <v>1801</v>
      </c>
      <c r="R776" s="3" t="s">
        <v>164</v>
      </c>
      <c r="S776" s="3" t="s">
        <v>665</v>
      </c>
      <c r="T776" s="4" t="str">
        <f t="shared" si="2"/>
        <v>Valid</v>
      </c>
      <c r="U776" s="4">
        <f t="shared" si="3"/>
        <v>1</v>
      </c>
      <c r="V776" s="4" t="str">
        <f t="shared" si="4"/>
        <v>Unique</v>
      </c>
      <c r="W776" s="4" t="str">
        <f t="shared" si="5"/>
        <v>Unknown</v>
      </c>
      <c r="X776" s="4" t="str">
        <f t="shared" ref="X776:Z776" si="780">IF(Q776="","Unknown",Q776)</f>
        <v>Abhar, Iran</v>
      </c>
      <c r="Y776" s="4" t="str">
        <f t="shared" si="780"/>
        <v>Asia</v>
      </c>
      <c r="Z776" s="4" t="str">
        <f t="shared" si="780"/>
        <v>Iran</v>
      </c>
      <c r="AA776" s="4" t="str">
        <f t="shared" si="7"/>
        <v>mwc</v>
      </c>
    </row>
    <row r="777">
      <c r="A777" s="3" t="s">
        <v>1802</v>
      </c>
      <c r="B777" s="3">
        <v>6.6</v>
      </c>
      <c r="C777" s="19">
        <f>Raw_Data!T777</f>
        <v>37425.58056</v>
      </c>
      <c r="D777" s="3">
        <v>0.0</v>
      </c>
      <c r="E777" s="3">
        <v>7.0</v>
      </c>
      <c r="F777" s="4"/>
      <c r="G777" s="3">
        <v>0.0</v>
      </c>
      <c r="H777" s="3">
        <v>670.0</v>
      </c>
      <c r="I777" s="3" t="s">
        <v>110</v>
      </c>
      <c r="J777" s="3">
        <v>420.0</v>
      </c>
      <c r="K777" s="3">
        <v>0.0</v>
      </c>
      <c r="L777" s="3">
        <v>0.0</v>
      </c>
      <c r="M777" s="4" t="str">
        <f>Raw_Data!X777</f>
        <v>mwb</v>
      </c>
      <c r="N777" s="3">
        <v>54.0</v>
      </c>
      <c r="O777" s="3">
        <v>-30.805</v>
      </c>
      <c r="P777" s="3">
        <v>-71.124</v>
      </c>
      <c r="Q777" s="3" t="s">
        <v>1804</v>
      </c>
      <c r="R777" s="3" t="s">
        <v>121</v>
      </c>
      <c r="S777" s="3" t="s">
        <v>414</v>
      </c>
      <c r="T777" s="4" t="str">
        <f t="shared" si="2"/>
        <v>Valid</v>
      </c>
      <c r="U777" s="4">
        <f t="shared" si="3"/>
        <v>1</v>
      </c>
      <c r="V777" s="4" t="str">
        <f t="shared" si="4"/>
        <v>Unique</v>
      </c>
      <c r="W777" s="4" t="str">
        <f t="shared" si="5"/>
        <v>Unknown</v>
      </c>
      <c r="X777" s="4" t="str">
        <f t="shared" ref="X777:Z777" si="781">IF(Q777="","Unknown",Q777)</f>
        <v>Monte Patria, Chile</v>
      </c>
      <c r="Y777" s="4" t="str">
        <f t="shared" si="781"/>
        <v>South America</v>
      </c>
      <c r="Z777" s="4" t="str">
        <f t="shared" si="781"/>
        <v>Chile</v>
      </c>
      <c r="AA777" s="4" t="str">
        <f t="shared" si="7"/>
        <v>mwb</v>
      </c>
    </row>
    <row r="778">
      <c r="A778" s="3" t="s">
        <v>1805</v>
      </c>
      <c r="B778" s="3">
        <v>6.7</v>
      </c>
      <c r="C778" s="19">
        <f>Raw_Data!T778</f>
        <v>37424.89306</v>
      </c>
      <c r="D778" s="3">
        <v>0.0</v>
      </c>
      <c r="E778" s="3">
        <v>5.0</v>
      </c>
      <c r="F778" s="4"/>
      <c r="G778" s="3">
        <v>0.0</v>
      </c>
      <c r="H778" s="3">
        <v>691.0</v>
      </c>
      <c r="I778" s="3" t="s">
        <v>110</v>
      </c>
      <c r="J778" s="3">
        <v>272.0</v>
      </c>
      <c r="K778" s="3">
        <v>0.0</v>
      </c>
      <c r="L778" s="3">
        <v>0.0</v>
      </c>
      <c r="M778" s="4" t="str">
        <f>Raw_Data!X778</f>
        <v>mwc</v>
      </c>
      <c r="N778" s="3">
        <v>33.0</v>
      </c>
      <c r="O778" s="3">
        <v>-12.592</v>
      </c>
      <c r="P778" s="3">
        <v>166.383</v>
      </c>
      <c r="Q778" s="3" t="s">
        <v>112</v>
      </c>
      <c r="R778" s="4"/>
      <c r="S778" s="4"/>
      <c r="T778" s="4" t="str">
        <f t="shared" si="2"/>
        <v>Valid</v>
      </c>
      <c r="U778" s="4">
        <f t="shared" si="3"/>
        <v>1</v>
      </c>
      <c r="V778" s="4" t="str">
        <f t="shared" si="4"/>
        <v>Unique</v>
      </c>
      <c r="W778" s="4" t="str">
        <f t="shared" si="5"/>
        <v>Unknown</v>
      </c>
      <c r="X778" s="4" t="str">
        <f t="shared" ref="X778:Z778" si="782">IF(Q778="","Unknown",Q778)</f>
        <v>Sola, Vanuatu</v>
      </c>
      <c r="Y778" s="4" t="str">
        <f t="shared" si="782"/>
        <v>Unknown</v>
      </c>
      <c r="Z778" s="4" t="str">
        <f t="shared" si="782"/>
        <v>Unknown</v>
      </c>
      <c r="AA778" s="4" t="str">
        <f t="shared" si="7"/>
        <v>mwc</v>
      </c>
    </row>
    <row r="779">
      <c r="A779" s="3" t="s">
        <v>1807</v>
      </c>
      <c r="B779" s="3">
        <v>7.1</v>
      </c>
      <c r="C779" s="19">
        <f>Raw_Data!T779</f>
        <v>37372.67083</v>
      </c>
      <c r="D779" s="3">
        <v>0.0</v>
      </c>
      <c r="E779" s="3">
        <v>7.0</v>
      </c>
      <c r="F779" s="4"/>
      <c r="G779" s="3">
        <v>0.0</v>
      </c>
      <c r="H779" s="3">
        <v>776.0</v>
      </c>
      <c r="I779" s="3" t="s">
        <v>110</v>
      </c>
      <c r="J779" s="3">
        <v>257.0</v>
      </c>
      <c r="K779" s="3">
        <v>0.0</v>
      </c>
      <c r="L779" s="3">
        <v>0.0</v>
      </c>
      <c r="M779" s="4" t="str">
        <f>Raw_Data!X779</f>
        <v>mwc</v>
      </c>
      <c r="N779" s="3">
        <v>85.7</v>
      </c>
      <c r="O779" s="3">
        <v>13.088</v>
      </c>
      <c r="P779" s="3">
        <v>144.619</v>
      </c>
      <c r="Q779" s="3" t="s">
        <v>1809</v>
      </c>
      <c r="R779" s="4"/>
      <c r="S779" s="3" t="s">
        <v>318</v>
      </c>
      <c r="T779" s="4" t="str">
        <f t="shared" si="2"/>
        <v>Valid</v>
      </c>
      <c r="U779" s="4">
        <f t="shared" si="3"/>
        <v>1</v>
      </c>
      <c r="V779" s="4" t="str">
        <f t="shared" si="4"/>
        <v>Unique</v>
      </c>
      <c r="W779" s="4" t="str">
        <f t="shared" si="5"/>
        <v>Unknown</v>
      </c>
      <c r="X779" s="4" t="str">
        <f t="shared" ref="X779:Z779" si="783">IF(Q779="","Unknown",Q779)</f>
        <v>Merizo Village, Guam</v>
      </c>
      <c r="Y779" s="4" t="str">
        <f t="shared" si="783"/>
        <v>Unknown</v>
      </c>
      <c r="Z779" s="4" t="str">
        <f t="shared" si="783"/>
        <v>United States of America</v>
      </c>
      <c r="AA779" s="4" t="str">
        <f t="shared" si="7"/>
        <v>mwc</v>
      </c>
    </row>
    <row r="780">
      <c r="A780" s="3" t="s">
        <v>1810</v>
      </c>
      <c r="B780" s="3">
        <v>6.7</v>
      </c>
      <c r="C780" s="19">
        <f>Raw_Data!T780</f>
        <v>37364.67222</v>
      </c>
      <c r="D780" s="3">
        <v>0.0</v>
      </c>
      <c r="E780" s="3">
        <v>7.0</v>
      </c>
      <c r="F780" s="4"/>
      <c r="G780" s="3">
        <v>0.0</v>
      </c>
      <c r="H780" s="3">
        <v>691.0</v>
      </c>
      <c r="I780" s="3" t="s">
        <v>110</v>
      </c>
      <c r="J780" s="3">
        <v>462.0</v>
      </c>
      <c r="K780" s="3">
        <v>0.0</v>
      </c>
      <c r="L780" s="3">
        <v>0.0</v>
      </c>
      <c r="M780" s="4" t="str">
        <f>Raw_Data!X780</f>
        <v>mwb</v>
      </c>
      <c r="N780" s="3">
        <v>62.0</v>
      </c>
      <c r="O780" s="3">
        <v>-27.535</v>
      </c>
      <c r="P780" s="3">
        <v>-70.586</v>
      </c>
      <c r="Q780" s="3" t="s">
        <v>1583</v>
      </c>
      <c r="R780" s="3" t="s">
        <v>121</v>
      </c>
      <c r="S780" s="3" t="s">
        <v>414</v>
      </c>
      <c r="T780" s="4" t="str">
        <f t="shared" si="2"/>
        <v>Valid</v>
      </c>
      <c r="U780" s="4">
        <f t="shared" si="3"/>
        <v>1</v>
      </c>
      <c r="V780" s="4" t="str">
        <f t="shared" si="4"/>
        <v>Unique</v>
      </c>
      <c r="W780" s="4" t="str">
        <f t="shared" si="5"/>
        <v>Unknown</v>
      </c>
      <c r="X780" s="4" t="str">
        <f t="shared" ref="X780:Z780" si="784">IF(Q780="","Unknown",Q780)</f>
        <v>Copiapó, Chile</v>
      </c>
      <c r="Y780" s="4" t="str">
        <f t="shared" si="784"/>
        <v>South America</v>
      </c>
      <c r="Z780" s="4" t="str">
        <f t="shared" si="784"/>
        <v>Chile</v>
      </c>
      <c r="AA780" s="4" t="str">
        <f t="shared" si="7"/>
        <v>mwb</v>
      </c>
    </row>
    <row r="781">
      <c r="A781" s="3" t="s">
        <v>1812</v>
      </c>
      <c r="B781" s="3">
        <v>6.8</v>
      </c>
      <c r="C781" s="19">
        <f>Raw_Data!T781</f>
        <v>37364.20972</v>
      </c>
      <c r="D781" s="3">
        <v>0.0</v>
      </c>
      <c r="E781" s="3">
        <v>6.0</v>
      </c>
      <c r="F781" s="4"/>
      <c r="G781" s="3">
        <v>0.0</v>
      </c>
      <c r="H781" s="3">
        <v>711.0</v>
      </c>
      <c r="I781" s="3" t="s">
        <v>110</v>
      </c>
      <c r="J781" s="3">
        <v>292.0</v>
      </c>
      <c r="K781" s="3">
        <v>0.0</v>
      </c>
      <c r="L781" s="3">
        <v>0.0</v>
      </c>
      <c r="M781" s="4" t="str">
        <f>Raw_Data!X781</f>
        <v>mwc</v>
      </c>
      <c r="N781" s="3">
        <v>24.9</v>
      </c>
      <c r="O781" s="3">
        <v>16.985</v>
      </c>
      <c r="P781" s="3">
        <v>-100.865</v>
      </c>
      <c r="Q781" s="3" t="s">
        <v>1814</v>
      </c>
      <c r="R781" s="3" t="s">
        <v>233</v>
      </c>
      <c r="S781" s="4"/>
      <c r="T781" s="4" t="str">
        <f t="shared" si="2"/>
        <v>Valid</v>
      </c>
      <c r="U781" s="4">
        <f t="shared" si="3"/>
        <v>1</v>
      </c>
      <c r="V781" s="4" t="str">
        <f t="shared" si="4"/>
        <v>Unique</v>
      </c>
      <c r="W781" s="4" t="str">
        <f t="shared" si="5"/>
        <v>Unknown</v>
      </c>
      <c r="X781" s="4" t="str">
        <f t="shared" ref="X781:Z781" si="785">IF(Q781="","Unknown",Q781)</f>
        <v>Nuxco, Mexico</v>
      </c>
      <c r="Y781" s="4" t="str">
        <f t="shared" si="785"/>
        <v>North America</v>
      </c>
      <c r="Z781" s="4" t="str">
        <f t="shared" si="785"/>
        <v>Unknown</v>
      </c>
      <c r="AA781" s="4" t="str">
        <f t="shared" si="7"/>
        <v>mwc</v>
      </c>
    </row>
    <row r="782">
      <c r="A782" s="3" t="s">
        <v>1815</v>
      </c>
      <c r="B782" s="3">
        <v>7.1</v>
      </c>
      <c r="C782" s="19">
        <f>Raw_Data!T782</f>
        <v>37346.28611</v>
      </c>
      <c r="D782" s="3">
        <v>0.0</v>
      </c>
      <c r="E782" s="3">
        <v>6.0</v>
      </c>
      <c r="F782" s="4"/>
      <c r="G782" s="3">
        <v>0.0</v>
      </c>
      <c r="H782" s="3">
        <v>776.0</v>
      </c>
      <c r="I782" s="3" t="s">
        <v>110</v>
      </c>
      <c r="J782" s="3">
        <v>550.0</v>
      </c>
      <c r="K782" s="3">
        <v>0.0</v>
      </c>
      <c r="L782" s="3">
        <v>0.0</v>
      </c>
      <c r="M782" s="4" t="str">
        <f>Raw_Data!X782</f>
        <v>mwc</v>
      </c>
      <c r="N782" s="3">
        <v>32.8</v>
      </c>
      <c r="O782" s="3">
        <v>24.279</v>
      </c>
      <c r="P782" s="3">
        <v>122.179</v>
      </c>
      <c r="Q782" s="3" t="s">
        <v>279</v>
      </c>
      <c r="R782" s="3" t="s">
        <v>164</v>
      </c>
      <c r="S782" s="4"/>
      <c r="T782" s="4" t="str">
        <f t="shared" si="2"/>
        <v>Valid</v>
      </c>
      <c r="U782" s="4">
        <f t="shared" si="3"/>
        <v>1</v>
      </c>
      <c r="V782" s="4" t="str">
        <f t="shared" si="4"/>
        <v>Unique</v>
      </c>
      <c r="W782" s="4" t="str">
        <f t="shared" si="5"/>
        <v>Unknown</v>
      </c>
      <c r="X782" s="4" t="str">
        <f t="shared" ref="X782:Z782" si="786">IF(Q782="","Unknown",Q782)</f>
        <v>Hualien City, Taiwan</v>
      </c>
      <c r="Y782" s="4" t="str">
        <f t="shared" si="786"/>
        <v>Asia</v>
      </c>
      <c r="Z782" s="4" t="str">
        <f t="shared" si="786"/>
        <v>Unknown</v>
      </c>
      <c r="AA782" s="4" t="str">
        <f t="shared" si="7"/>
        <v>mwc</v>
      </c>
    </row>
    <row r="783">
      <c r="A783" s="3" t="s">
        <v>1817</v>
      </c>
      <c r="B783" s="3">
        <v>6.5</v>
      </c>
      <c r="C783" s="19">
        <f>Raw_Data!T783</f>
        <v>37343.20556</v>
      </c>
      <c r="D783" s="3">
        <v>0.0</v>
      </c>
      <c r="E783" s="3">
        <v>5.0</v>
      </c>
      <c r="F783" s="4"/>
      <c r="G783" s="3">
        <v>0.0</v>
      </c>
      <c r="H783" s="3">
        <v>650.0</v>
      </c>
      <c r="I783" s="3" t="s">
        <v>110</v>
      </c>
      <c r="J783" s="3">
        <v>486.0</v>
      </c>
      <c r="K783" s="3">
        <v>0.0</v>
      </c>
      <c r="L783" s="3">
        <v>0.0</v>
      </c>
      <c r="M783" s="4" t="str">
        <f>Raw_Data!X783</f>
        <v>mwc</v>
      </c>
      <c r="N783" s="3">
        <v>125.1</v>
      </c>
      <c r="O783" s="3">
        <v>-21.663</v>
      </c>
      <c r="P783" s="3">
        <v>-68.329</v>
      </c>
      <c r="Q783" s="3" t="s">
        <v>1819</v>
      </c>
      <c r="R783" s="3" t="s">
        <v>121</v>
      </c>
      <c r="S783" s="3" t="s">
        <v>414</v>
      </c>
      <c r="T783" s="4" t="str">
        <f t="shared" si="2"/>
        <v>Valid</v>
      </c>
      <c r="U783" s="4">
        <f t="shared" si="3"/>
        <v>1</v>
      </c>
      <c r="V783" s="4" t="str">
        <f t="shared" si="4"/>
        <v>Unique</v>
      </c>
      <c r="W783" s="4" t="str">
        <f t="shared" si="5"/>
        <v>Unknown</v>
      </c>
      <c r="X783" s="4" t="str">
        <f t="shared" ref="X783:Z783" si="787">IF(Q783="","Unknown",Q783)</f>
        <v>Calama, Chile</v>
      </c>
      <c r="Y783" s="4" t="str">
        <f t="shared" si="787"/>
        <v>South America</v>
      </c>
      <c r="Z783" s="4" t="str">
        <f t="shared" si="787"/>
        <v>Chile</v>
      </c>
      <c r="AA783" s="4" t="str">
        <f t="shared" si="7"/>
        <v>mwc</v>
      </c>
    </row>
    <row r="784">
      <c r="A784" s="3" t="s">
        <v>1820</v>
      </c>
      <c r="B784" s="3">
        <v>7.5</v>
      </c>
      <c r="C784" s="19">
        <f>Raw_Data!T784</f>
        <v>37320.88611</v>
      </c>
      <c r="D784" s="3">
        <v>0.0</v>
      </c>
      <c r="E784" s="3">
        <v>7.0</v>
      </c>
      <c r="F784" s="4"/>
      <c r="G784" s="3">
        <v>0.0</v>
      </c>
      <c r="H784" s="3">
        <v>865.0</v>
      </c>
      <c r="I784" s="3" t="s">
        <v>110</v>
      </c>
      <c r="J784" s="3">
        <v>321.0</v>
      </c>
      <c r="K784" s="3">
        <v>0.0</v>
      </c>
      <c r="L784" s="3">
        <v>0.0</v>
      </c>
      <c r="M784" s="4" t="str">
        <f>Raw_Data!X784</f>
        <v>mwc</v>
      </c>
      <c r="N784" s="3">
        <v>31.0</v>
      </c>
      <c r="O784" s="3">
        <v>6.033</v>
      </c>
      <c r="P784" s="3">
        <v>124.249</v>
      </c>
      <c r="Q784" s="3" t="s">
        <v>1821</v>
      </c>
      <c r="R784" s="4"/>
      <c r="S784" s="3" t="s">
        <v>258</v>
      </c>
      <c r="T784" s="4" t="str">
        <f t="shared" si="2"/>
        <v>Valid</v>
      </c>
      <c r="U784" s="4">
        <f t="shared" si="3"/>
        <v>1</v>
      </c>
      <c r="V784" s="4" t="str">
        <f t="shared" si="4"/>
        <v>Unique</v>
      </c>
      <c r="W784" s="4" t="str">
        <f t="shared" si="5"/>
        <v>Unknown</v>
      </c>
      <c r="X784" s="4" t="str">
        <f t="shared" ref="X784:Z784" si="788">IF(Q784="","Unknown",Q784)</f>
        <v>Mindanao, Philippines</v>
      </c>
      <c r="Y784" s="4" t="str">
        <f t="shared" si="788"/>
        <v>Unknown</v>
      </c>
      <c r="Z784" s="4" t="str">
        <f t="shared" si="788"/>
        <v>Philippines</v>
      </c>
      <c r="AA784" s="4" t="str">
        <f t="shared" si="7"/>
        <v>mwc</v>
      </c>
    </row>
    <row r="785">
      <c r="A785" s="3" t="s">
        <v>1822</v>
      </c>
      <c r="B785" s="3">
        <v>7.4</v>
      </c>
      <c r="C785" s="19">
        <f>Raw_Data!T785</f>
        <v>37318.50556</v>
      </c>
      <c r="D785" s="3">
        <v>0.0</v>
      </c>
      <c r="E785" s="3">
        <v>5.0</v>
      </c>
      <c r="F785" s="4"/>
      <c r="G785" s="3">
        <v>0.0</v>
      </c>
      <c r="H785" s="3">
        <v>842.0</v>
      </c>
      <c r="I785" s="3" t="s">
        <v>110</v>
      </c>
      <c r="J785" s="3">
        <v>138.0</v>
      </c>
      <c r="K785" s="3">
        <v>0.0</v>
      </c>
      <c r="L785" s="3">
        <v>0.0</v>
      </c>
      <c r="M785" s="4" t="str">
        <f>Raw_Data!X785</f>
        <v>mwc</v>
      </c>
      <c r="N785" s="3">
        <v>225.6</v>
      </c>
      <c r="O785" s="3">
        <v>36.502</v>
      </c>
      <c r="P785" s="3">
        <v>70.482</v>
      </c>
      <c r="Q785" s="3" t="s">
        <v>174</v>
      </c>
      <c r="R785" s="3" t="s">
        <v>164</v>
      </c>
      <c r="S785" s="3" t="s">
        <v>175</v>
      </c>
      <c r="T785" s="4" t="str">
        <f t="shared" si="2"/>
        <v>Valid</v>
      </c>
      <c r="U785" s="4">
        <f t="shared" si="3"/>
        <v>1</v>
      </c>
      <c r="V785" s="4" t="str">
        <f t="shared" si="4"/>
        <v>Unique</v>
      </c>
      <c r="W785" s="4" t="str">
        <f t="shared" si="5"/>
        <v>Unknown</v>
      </c>
      <c r="X785" s="4" t="str">
        <f t="shared" ref="X785:Z785" si="789">IF(Q785="","Unknown",Q785)</f>
        <v>Jurm, Afghanistan</v>
      </c>
      <c r="Y785" s="4" t="str">
        <f t="shared" si="789"/>
        <v>Asia</v>
      </c>
      <c r="Z785" s="4" t="str">
        <f t="shared" si="789"/>
        <v>Afghanistan</v>
      </c>
      <c r="AA785" s="4" t="str">
        <f t="shared" si="7"/>
        <v>mwc</v>
      </c>
    </row>
    <row r="786">
      <c r="A786" s="3" t="s">
        <v>1823</v>
      </c>
      <c r="B786" s="3">
        <v>6.6</v>
      </c>
      <c r="C786" s="19">
        <f>Raw_Data!T786</f>
        <v>37292.56042</v>
      </c>
      <c r="D786" s="3">
        <v>0.0</v>
      </c>
      <c r="E786" s="3">
        <v>6.0</v>
      </c>
      <c r="F786" s="4"/>
      <c r="G786" s="3">
        <v>0.0</v>
      </c>
      <c r="H786" s="3">
        <v>670.0</v>
      </c>
      <c r="I786" s="3" t="s">
        <v>110</v>
      </c>
      <c r="J786" s="3">
        <v>444.0</v>
      </c>
      <c r="K786" s="3">
        <v>0.0</v>
      </c>
      <c r="L786" s="3">
        <v>0.0</v>
      </c>
      <c r="M786" s="4" t="str">
        <f>Raw_Data!X786</f>
        <v>mwc</v>
      </c>
      <c r="N786" s="3">
        <v>39.0</v>
      </c>
      <c r="O786" s="3">
        <v>-5.345</v>
      </c>
      <c r="P786" s="3">
        <v>151.248</v>
      </c>
      <c r="Q786" s="3" t="s">
        <v>187</v>
      </c>
      <c r="R786" s="4"/>
      <c r="S786" s="3" t="s">
        <v>168</v>
      </c>
      <c r="T786" s="4" t="str">
        <f t="shared" si="2"/>
        <v>Valid</v>
      </c>
      <c r="U786" s="4">
        <f t="shared" si="3"/>
        <v>1</v>
      </c>
      <c r="V786" s="4" t="str">
        <f t="shared" si="4"/>
        <v>Unique</v>
      </c>
      <c r="W786" s="4" t="str">
        <f t="shared" si="5"/>
        <v>Unknown</v>
      </c>
      <c r="X786" s="4" t="str">
        <f t="shared" ref="X786:Z786" si="790">IF(Q786="","Unknown",Q786)</f>
        <v>Kimbe, Papua New Guinea</v>
      </c>
      <c r="Y786" s="4" t="str">
        <f t="shared" si="790"/>
        <v>Unknown</v>
      </c>
      <c r="Z786" s="4" t="str">
        <f t="shared" si="790"/>
        <v>Papua New Guinea</v>
      </c>
      <c r="AA786" s="4" t="str">
        <f t="shared" si="7"/>
        <v>mwc</v>
      </c>
    </row>
    <row r="787">
      <c r="A787" s="3" t="s">
        <v>1824</v>
      </c>
      <c r="B787" s="3">
        <v>6.5</v>
      </c>
      <c r="C787" s="19">
        <f>Raw_Data!T787</f>
        <v>37290.29931</v>
      </c>
      <c r="D787" s="3">
        <v>0.0</v>
      </c>
      <c r="E787" s="3">
        <v>7.0</v>
      </c>
      <c r="F787" s="4"/>
      <c r="G787" s="3">
        <v>0.0</v>
      </c>
      <c r="H787" s="3">
        <v>650.0</v>
      </c>
      <c r="I787" s="3" t="s">
        <v>110</v>
      </c>
      <c r="J787" s="3">
        <v>482.0</v>
      </c>
      <c r="K787" s="3">
        <v>0.0</v>
      </c>
      <c r="L787" s="3">
        <v>0.0</v>
      </c>
      <c r="M787" s="4" t="str">
        <f>Raw_Data!X787</f>
        <v>mwc</v>
      </c>
      <c r="N787" s="3">
        <v>5.0</v>
      </c>
      <c r="O787" s="3">
        <v>38.573</v>
      </c>
      <c r="P787" s="3">
        <v>31.271</v>
      </c>
      <c r="Q787" s="3" t="s">
        <v>1825</v>
      </c>
      <c r="R787" s="3" t="s">
        <v>164</v>
      </c>
      <c r="S787" s="3" t="s">
        <v>471</v>
      </c>
      <c r="T787" s="4" t="str">
        <f t="shared" si="2"/>
        <v>Valid</v>
      </c>
      <c r="U787" s="4">
        <f t="shared" si="3"/>
        <v>1</v>
      </c>
      <c r="V787" s="4" t="str">
        <f t="shared" si="4"/>
        <v>Unique</v>
      </c>
      <c r="W787" s="4" t="str">
        <f t="shared" si="5"/>
        <v>Unknown</v>
      </c>
      <c r="X787" s="4" t="str">
        <f t="shared" ref="X787:Z787" si="791">IF(Q787="","Unknown",Q787)</f>
        <v>Sultanda??, Turkey</v>
      </c>
      <c r="Y787" s="4" t="str">
        <f t="shared" si="791"/>
        <v>Asia</v>
      </c>
      <c r="Z787" s="4" t="str">
        <f t="shared" si="791"/>
        <v>Turkey</v>
      </c>
      <c r="AA787" s="4" t="str">
        <f t="shared" si="7"/>
        <v>mwc</v>
      </c>
    </row>
    <row r="788">
      <c r="A788" s="3" t="s">
        <v>1826</v>
      </c>
      <c r="B788" s="3">
        <v>6.7</v>
      </c>
      <c r="C788" s="19">
        <f>Raw_Data!T788</f>
        <v>37266.46806</v>
      </c>
      <c r="D788" s="3">
        <v>0.0</v>
      </c>
      <c r="E788" s="3">
        <v>8.0</v>
      </c>
      <c r="F788" s="4"/>
      <c r="G788" s="3">
        <v>0.0</v>
      </c>
      <c r="H788" s="3">
        <v>691.0</v>
      </c>
      <c r="I788" s="3" t="s">
        <v>110</v>
      </c>
      <c r="J788" s="3">
        <v>333.0</v>
      </c>
      <c r="K788" s="3">
        <v>0.0</v>
      </c>
      <c r="L788" s="3">
        <v>0.0</v>
      </c>
      <c r="M788" s="4" t="str">
        <f>Raw_Data!X788</f>
        <v>mwc</v>
      </c>
      <c r="N788" s="3">
        <v>11.0</v>
      </c>
      <c r="O788" s="3">
        <v>-3.212</v>
      </c>
      <c r="P788" s="3">
        <v>142.427</v>
      </c>
      <c r="Q788" s="3" t="s">
        <v>1115</v>
      </c>
      <c r="R788" s="4"/>
      <c r="S788" s="3" t="s">
        <v>168</v>
      </c>
      <c r="T788" s="4" t="str">
        <f t="shared" si="2"/>
        <v>Valid</v>
      </c>
      <c r="U788" s="4">
        <f t="shared" si="3"/>
        <v>1</v>
      </c>
      <c r="V788" s="4" t="str">
        <f t="shared" si="4"/>
        <v>Unique</v>
      </c>
      <c r="W788" s="4" t="str">
        <f t="shared" si="5"/>
        <v>Unknown</v>
      </c>
      <c r="X788" s="4" t="str">
        <f t="shared" ref="X788:Z788" si="792">IF(Q788="","Unknown",Q788)</f>
        <v>Aitape, Papua New Guinea</v>
      </c>
      <c r="Y788" s="4" t="str">
        <f t="shared" si="792"/>
        <v>Unknown</v>
      </c>
      <c r="Z788" s="4" t="str">
        <f t="shared" si="792"/>
        <v>Papua New Guinea</v>
      </c>
      <c r="AA788" s="4" t="str">
        <f t="shared" si="7"/>
        <v>mwc</v>
      </c>
    </row>
    <row r="789">
      <c r="A789" s="3" t="s">
        <v>1827</v>
      </c>
      <c r="B789" s="3">
        <v>6.6</v>
      </c>
      <c r="C789" s="19">
        <f>Raw_Data!T789</f>
        <v>37259.42847</v>
      </c>
      <c r="D789" s="3">
        <v>0.0</v>
      </c>
      <c r="E789" s="3">
        <v>6.0</v>
      </c>
      <c r="F789" s="4"/>
      <c r="G789" s="3">
        <v>0.0</v>
      </c>
      <c r="H789" s="3">
        <v>670.0</v>
      </c>
      <c r="I789" s="3" t="s">
        <v>110</v>
      </c>
      <c r="J789" s="3">
        <v>386.0</v>
      </c>
      <c r="K789" s="3">
        <v>0.0</v>
      </c>
      <c r="L789" s="3">
        <v>0.0</v>
      </c>
      <c r="M789" s="4" t="str">
        <f>Raw_Data!X789</f>
        <v>mwc</v>
      </c>
      <c r="N789" s="3">
        <v>10.0</v>
      </c>
      <c r="O789" s="3">
        <v>-17.664</v>
      </c>
      <c r="P789" s="3">
        <v>168.004</v>
      </c>
      <c r="Q789" s="3" t="s">
        <v>948</v>
      </c>
      <c r="R789" s="4"/>
      <c r="S789" s="3" t="s">
        <v>113</v>
      </c>
      <c r="T789" s="4" t="str">
        <f t="shared" si="2"/>
        <v>Valid</v>
      </c>
      <c r="U789" s="4">
        <f t="shared" si="3"/>
        <v>1</v>
      </c>
      <c r="V789" s="4" t="str">
        <f t="shared" si="4"/>
        <v>Unique</v>
      </c>
      <c r="W789" s="4" t="str">
        <f t="shared" si="5"/>
        <v>Unknown</v>
      </c>
      <c r="X789" s="4" t="str">
        <f t="shared" ref="X789:Z789" si="793">IF(Q789="","Unknown",Q789)</f>
        <v>Port-Vila, Vanuatu</v>
      </c>
      <c r="Y789" s="4" t="str">
        <f t="shared" si="793"/>
        <v>Unknown</v>
      </c>
      <c r="Z789" s="4" t="str">
        <f t="shared" si="793"/>
        <v>Vanuatu</v>
      </c>
      <c r="AA789" s="4" t="str">
        <f t="shared" si="7"/>
        <v>mwc</v>
      </c>
    </row>
    <row r="790">
      <c r="A790" s="3" t="s">
        <v>1828</v>
      </c>
      <c r="B790" s="3">
        <v>7.2</v>
      </c>
      <c r="C790" s="19">
        <f>Raw_Data!T790</f>
        <v>37258.72361</v>
      </c>
      <c r="D790" s="3">
        <v>0.0</v>
      </c>
      <c r="E790" s="3">
        <v>6.0</v>
      </c>
      <c r="F790" s="4"/>
      <c r="G790" s="3">
        <v>0.0</v>
      </c>
      <c r="H790" s="3">
        <v>798.0</v>
      </c>
      <c r="I790" s="3" t="s">
        <v>110</v>
      </c>
      <c r="J790" s="3">
        <v>427.0</v>
      </c>
      <c r="K790" s="3">
        <v>0.0</v>
      </c>
      <c r="L790" s="3">
        <v>0.0</v>
      </c>
      <c r="M790" s="4" t="str">
        <f>Raw_Data!X790</f>
        <v>mwc</v>
      </c>
      <c r="N790" s="3">
        <v>21.0</v>
      </c>
      <c r="O790" s="3">
        <v>-17.6</v>
      </c>
      <c r="P790" s="3">
        <v>167.856</v>
      </c>
      <c r="Q790" s="3" t="s">
        <v>948</v>
      </c>
      <c r="R790" s="4"/>
      <c r="S790" s="3" t="s">
        <v>113</v>
      </c>
      <c r="T790" s="4" t="str">
        <f t="shared" si="2"/>
        <v>Valid</v>
      </c>
      <c r="U790" s="4">
        <f t="shared" si="3"/>
        <v>1</v>
      </c>
      <c r="V790" s="4" t="str">
        <f t="shared" si="4"/>
        <v>Unique</v>
      </c>
      <c r="W790" s="4" t="str">
        <f t="shared" si="5"/>
        <v>Unknown</v>
      </c>
      <c r="X790" s="4" t="str">
        <f t="shared" ref="X790:Z790" si="794">IF(Q790="","Unknown",Q790)</f>
        <v>Port-Vila, Vanuatu</v>
      </c>
      <c r="Y790" s="4" t="str">
        <f t="shared" si="794"/>
        <v>Unknown</v>
      </c>
      <c r="Z790" s="4" t="str">
        <f t="shared" si="794"/>
        <v>Vanuatu</v>
      </c>
      <c r="AA790" s="4" t="str">
        <f t="shared" si="7"/>
        <v>mwc</v>
      </c>
    </row>
    <row r="791">
      <c r="A791" s="3" t="s">
        <v>1829</v>
      </c>
      <c r="B791" s="3">
        <v>6.8</v>
      </c>
      <c r="C791" s="19">
        <f>Raw_Data!T791</f>
        <v>37248.95278</v>
      </c>
      <c r="D791" s="3">
        <v>0.0</v>
      </c>
      <c r="E791" s="3">
        <v>7.0</v>
      </c>
      <c r="F791" s="4"/>
      <c r="G791" s="3">
        <v>0.0</v>
      </c>
      <c r="H791" s="3">
        <v>711.0</v>
      </c>
      <c r="I791" s="3" t="s">
        <v>110</v>
      </c>
      <c r="J791" s="3">
        <v>385.0</v>
      </c>
      <c r="K791" s="3">
        <v>0.0</v>
      </c>
      <c r="L791" s="3">
        <v>0.0</v>
      </c>
      <c r="M791" s="4" t="str">
        <f>Raw_Data!X791</f>
        <v>mwc</v>
      </c>
      <c r="N791" s="3">
        <v>16.0</v>
      </c>
      <c r="O791" s="3">
        <v>-9.613</v>
      </c>
      <c r="P791" s="3">
        <v>159.53</v>
      </c>
      <c r="Q791" s="3" t="s">
        <v>212</v>
      </c>
      <c r="R791" s="4"/>
      <c r="S791" s="3" t="s">
        <v>214</v>
      </c>
      <c r="T791" s="4" t="str">
        <f t="shared" si="2"/>
        <v>Valid</v>
      </c>
      <c r="U791" s="4">
        <f t="shared" si="3"/>
        <v>1</v>
      </c>
      <c r="V791" s="4" t="str">
        <f t="shared" si="4"/>
        <v>Unique</v>
      </c>
      <c r="W791" s="4" t="str">
        <f t="shared" si="5"/>
        <v>Unknown</v>
      </c>
      <c r="X791" s="4" t="str">
        <f t="shared" ref="X791:Z791" si="795">IF(Q791="","Unknown",Q791)</f>
        <v>Malango, Solomon Islands</v>
      </c>
      <c r="Y791" s="4" t="str">
        <f t="shared" si="795"/>
        <v>Unknown</v>
      </c>
      <c r="Z791" s="4" t="str">
        <f t="shared" si="795"/>
        <v>Solomon Islands</v>
      </c>
      <c r="AA791" s="4" t="str">
        <f t="shared" si="7"/>
        <v>mwc</v>
      </c>
    </row>
    <row r="792">
      <c r="A792" s="3" t="s">
        <v>1831</v>
      </c>
      <c r="B792" s="3">
        <v>6.8</v>
      </c>
      <c r="C792" s="19">
        <f>Raw_Data!T792</f>
        <v>37243.16806</v>
      </c>
      <c r="D792" s="3">
        <v>0.0</v>
      </c>
      <c r="E792" s="3">
        <v>5.0</v>
      </c>
      <c r="F792" s="4"/>
      <c r="G792" s="3">
        <v>0.0</v>
      </c>
      <c r="H792" s="3">
        <v>711.0</v>
      </c>
      <c r="I792" s="3" t="s">
        <v>110</v>
      </c>
      <c r="J792" s="3">
        <v>499.0</v>
      </c>
      <c r="K792" s="3">
        <v>0.0</v>
      </c>
      <c r="L792" s="3">
        <v>0.0</v>
      </c>
      <c r="M792" s="4" t="str">
        <f>Raw_Data!X792</f>
        <v>mwc</v>
      </c>
      <c r="N792" s="3">
        <v>14.0</v>
      </c>
      <c r="O792" s="3">
        <v>23.954</v>
      </c>
      <c r="P792" s="3">
        <v>122.734</v>
      </c>
      <c r="Q792" s="3" t="s">
        <v>1690</v>
      </c>
      <c r="R792" s="4"/>
      <c r="S792" s="4"/>
      <c r="T792" s="4" t="str">
        <f t="shared" si="2"/>
        <v>Valid</v>
      </c>
      <c r="U792" s="4">
        <f t="shared" si="3"/>
        <v>1</v>
      </c>
      <c r="V792" s="4" t="str">
        <f t="shared" si="4"/>
        <v>Unique</v>
      </c>
      <c r="W792" s="4" t="str">
        <f t="shared" si="5"/>
        <v>Unknown</v>
      </c>
      <c r="X792" s="4" t="str">
        <f t="shared" ref="X792:Z792" si="796">IF(Q792="","Unknown",Q792)</f>
        <v>Yonakuni, Japan</v>
      </c>
      <c r="Y792" s="4" t="str">
        <f t="shared" si="796"/>
        <v>Unknown</v>
      </c>
      <c r="Z792" s="4" t="str">
        <f t="shared" si="796"/>
        <v>Unknown</v>
      </c>
      <c r="AA792" s="4" t="str">
        <f t="shared" si="7"/>
        <v>mwc</v>
      </c>
    </row>
    <row r="793">
      <c r="A793" s="3" t="s">
        <v>1833</v>
      </c>
      <c r="B793" s="3">
        <v>6.5</v>
      </c>
      <c r="C793" s="19">
        <f>Raw_Data!T793</f>
        <v>37227.54236</v>
      </c>
      <c r="D793" s="3">
        <v>0.0</v>
      </c>
      <c r="E793" s="3">
        <v>5.0</v>
      </c>
      <c r="F793" s="4"/>
      <c r="G793" s="3">
        <v>0.0</v>
      </c>
      <c r="H793" s="3">
        <v>650.0</v>
      </c>
      <c r="I793" s="3" t="s">
        <v>110</v>
      </c>
      <c r="J793" s="3">
        <v>605.0</v>
      </c>
      <c r="K793" s="3">
        <v>0.0</v>
      </c>
      <c r="L793" s="3">
        <v>0.0</v>
      </c>
      <c r="M793" s="4" t="str">
        <f>Raw_Data!X793</f>
        <v>mwc</v>
      </c>
      <c r="N793" s="3">
        <v>123.8</v>
      </c>
      <c r="O793" s="3">
        <v>39.402</v>
      </c>
      <c r="P793" s="3">
        <v>141.089</v>
      </c>
      <c r="Q793" s="3" t="s">
        <v>1834</v>
      </c>
      <c r="R793" s="3" t="s">
        <v>164</v>
      </c>
      <c r="S793" s="3" t="s">
        <v>371</v>
      </c>
      <c r="T793" s="4" t="str">
        <f t="shared" si="2"/>
        <v>Valid</v>
      </c>
      <c r="U793" s="4">
        <f t="shared" si="3"/>
        <v>1</v>
      </c>
      <c r="V793" s="4" t="str">
        <f t="shared" si="4"/>
        <v>Unique</v>
      </c>
      <c r="W793" s="4" t="str">
        <f t="shared" si="5"/>
        <v>Unknown</v>
      </c>
      <c r="X793" s="4" t="str">
        <f t="shared" ref="X793:Z793" si="797">IF(Q793="","Unknown",Q793)</f>
        <v>Hanamaki, Japan</v>
      </c>
      <c r="Y793" s="4" t="str">
        <f t="shared" si="797"/>
        <v>Asia</v>
      </c>
      <c r="Z793" s="4" t="str">
        <f t="shared" si="797"/>
        <v>Japan</v>
      </c>
      <c r="AA793" s="4" t="str">
        <f t="shared" si="7"/>
        <v>mwc</v>
      </c>
    </row>
    <row r="794">
      <c r="A794" s="3" t="s">
        <v>1835</v>
      </c>
      <c r="B794" s="3">
        <v>7.8</v>
      </c>
      <c r="C794" s="19">
        <f>Raw_Data!T794</f>
        <v>37209.39306</v>
      </c>
      <c r="D794" s="3">
        <v>0.0</v>
      </c>
      <c r="E794" s="3">
        <v>9.0</v>
      </c>
      <c r="F794" s="4"/>
      <c r="G794" s="3">
        <v>0.0</v>
      </c>
      <c r="H794" s="3">
        <v>936.0</v>
      </c>
      <c r="I794" s="3" t="s">
        <v>110</v>
      </c>
      <c r="J794" s="3">
        <v>368.0</v>
      </c>
      <c r="K794" s="3">
        <v>0.0</v>
      </c>
      <c r="L794" s="3">
        <v>0.0</v>
      </c>
      <c r="M794" s="4" t="str">
        <f>Raw_Data!X794</f>
        <v>mwc</v>
      </c>
      <c r="N794" s="3">
        <v>10.0</v>
      </c>
      <c r="O794" s="3">
        <v>35.946</v>
      </c>
      <c r="P794" s="3">
        <v>90.541</v>
      </c>
      <c r="Q794" s="3" t="s">
        <v>365</v>
      </c>
      <c r="R794" s="3" t="s">
        <v>164</v>
      </c>
      <c r="S794" s="3" t="s">
        <v>251</v>
      </c>
      <c r="T794" s="4" t="str">
        <f t="shared" si="2"/>
        <v>Valid</v>
      </c>
      <c r="U794" s="4">
        <f t="shared" si="3"/>
        <v>1</v>
      </c>
      <c r="V794" s="4" t="str">
        <f t="shared" si="4"/>
        <v>Unique</v>
      </c>
      <c r="W794" s="4" t="str">
        <f t="shared" si="5"/>
        <v>Unknown</v>
      </c>
      <c r="X794" s="4" t="str">
        <f t="shared" ref="X794:Z794" si="798">IF(Q794="","Unknown",Q794)</f>
        <v>Southern Qinghai, China</v>
      </c>
      <c r="Y794" s="4" t="str">
        <f t="shared" si="798"/>
        <v>Asia</v>
      </c>
      <c r="Z794" s="4" t="str">
        <f t="shared" si="798"/>
        <v>People's Republic of China</v>
      </c>
      <c r="AA794" s="4" t="str">
        <f t="shared" si="7"/>
        <v>mwc</v>
      </c>
    </row>
    <row r="795">
      <c r="A795" s="3" t="s">
        <v>1837</v>
      </c>
      <c r="B795" s="3">
        <v>7.0</v>
      </c>
      <c r="C795" s="19">
        <f>Raw_Data!T795</f>
        <v>37195.38194</v>
      </c>
      <c r="D795" s="3">
        <v>0.0</v>
      </c>
      <c r="E795" s="3">
        <v>7.0</v>
      </c>
      <c r="F795" s="4"/>
      <c r="G795" s="3">
        <v>0.0</v>
      </c>
      <c r="H795" s="3">
        <v>754.0</v>
      </c>
      <c r="I795" s="3" t="s">
        <v>110</v>
      </c>
      <c r="J795" s="3">
        <v>254.0</v>
      </c>
      <c r="K795" s="3">
        <v>0.0</v>
      </c>
      <c r="L795" s="3">
        <v>0.0</v>
      </c>
      <c r="M795" s="4" t="str">
        <f>Raw_Data!X795</f>
        <v>mwc</v>
      </c>
      <c r="N795" s="3">
        <v>33.0</v>
      </c>
      <c r="O795" s="3">
        <v>-5.912</v>
      </c>
      <c r="P795" s="3">
        <v>150.196</v>
      </c>
      <c r="Q795" s="3" t="s">
        <v>187</v>
      </c>
      <c r="R795" s="4"/>
      <c r="S795" s="3" t="s">
        <v>168</v>
      </c>
      <c r="T795" s="4" t="str">
        <f t="shared" si="2"/>
        <v>Valid</v>
      </c>
      <c r="U795" s="4">
        <f t="shared" si="3"/>
        <v>1</v>
      </c>
      <c r="V795" s="4" t="str">
        <f t="shared" si="4"/>
        <v>Unique</v>
      </c>
      <c r="W795" s="4" t="str">
        <f t="shared" si="5"/>
        <v>Unknown</v>
      </c>
      <c r="X795" s="4" t="str">
        <f t="shared" ref="X795:Z795" si="799">IF(Q795="","Unknown",Q795)</f>
        <v>Kimbe, Papua New Guinea</v>
      </c>
      <c r="Y795" s="4" t="str">
        <f t="shared" si="799"/>
        <v>Unknown</v>
      </c>
      <c r="Z795" s="4" t="str">
        <f t="shared" si="799"/>
        <v>Papua New Guinea</v>
      </c>
      <c r="AA795" s="4" t="str">
        <f t="shared" si="7"/>
        <v>mwc</v>
      </c>
    </row>
    <row r="796">
      <c r="A796" s="3" t="s">
        <v>1839</v>
      </c>
      <c r="B796" s="3">
        <v>7.5</v>
      </c>
      <c r="C796" s="19">
        <f>Raw_Data!T796</f>
        <v>37183.14444</v>
      </c>
      <c r="D796" s="3">
        <v>0.0</v>
      </c>
      <c r="E796" s="3">
        <v>6.0</v>
      </c>
      <c r="F796" s="4"/>
      <c r="G796" s="3">
        <v>0.0</v>
      </c>
      <c r="H796" s="3">
        <v>865.0</v>
      </c>
      <c r="I796" s="3" t="s">
        <v>110</v>
      </c>
      <c r="J796" s="3">
        <v>234.0</v>
      </c>
      <c r="K796" s="3">
        <v>0.0</v>
      </c>
      <c r="L796" s="3">
        <v>0.0</v>
      </c>
      <c r="M796" s="4" t="str">
        <f>Raw_Data!X796</f>
        <v>mwc</v>
      </c>
      <c r="N796" s="3">
        <v>33.0</v>
      </c>
      <c r="O796" s="3">
        <v>-4.102</v>
      </c>
      <c r="P796" s="3">
        <v>123.907</v>
      </c>
      <c r="Q796" s="3" t="s">
        <v>1841</v>
      </c>
      <c r="R796" s="4"/>
      <c r="S796" s="3" t="s">
        <v>153</v>
      </c>
      <c r="T796" s="4" t="str">
        <f t="shared" si="2"/>
        <v>Valid</v>
      </c>
      <c r="U796" s="4">
        <f t="shared" si="3"/>
        <v>1</v>
      </c>
      <c r="V796" s="4" t="str">
        <f t="shared" si="4"/>
        <v>Unique</v>
      </c>
      <c r="W796" s="4" t="str">
        <f t="shared" si="5"/>
        <v>Unknown</v>
      </c>
      <c r="X796" s="4" t="str">
        <f t="shared" ref="X796:Z796" si="800">IF(Q796="","Unknown",Q796)</f>
        <v>Kendari, Indonesia</v>
      </c>
      <c r="Y796" s="4" t="str">
        <f t="shared" si="800"/>
        <v>Unknown</v>
      </c>
      <c r="Z796" s="4" t="str">
        <f t="shared" si="800"/>
        <v>Indonesia</v>
      </c>
      <c r="AA796" s="4" t="str">
        <f t="shared" si="7"/>
        <v>mwc</v>
      </c>
    </row>
    <row r="797">
      <c r="A797" s="3" t="s">
        <v>1842</v>
      </c>
      <c r="B797" s="3">
        <v>7.0</v>
      </c>
      <c r="C797" s="19">
        <f>Raw_Data!T797</f>
        <v>37176.62639</v>
      </c>
      <c r="D797" s="3">
        <v>0.0</v>
      </c>
      <c r="E797" s="3">
        <v>6.0</v>
      </c>
      <c r="F797" s="4"/>
      <c r="G797" s="3">
        <v>0.0</v>
      </c>
      <c r="H797" s="3">
        <v>754.0</v>
      </c>
      <c r="I797" s="3" t="s">
        <v>110</v>
      </c>
      <c r="J797" s="3">
        <v>482.0</v>
      </c>
      <c r="K797" s="3">
        <v>0.0</v>
      </c>
      <c r="L797" s="3">
        <v>0.0</v>
      </c>
      <c r="M797" s="4" t="str">
        <f>Raw_Data!X797</f>
        <v>mwc</v>
      </c>
      <c r="N797" s="3">
        <v>37.0</v>
      </c>
      <c r="O797" s="3">
        <v>12.686</v>
      </c>
      <c r="P797" s="3">
        <v>144.98</v>
      </c>
      <c r="Q797" s="3" t="s">
        <v>1843</v>
      </c>
      <c r="R797" s="4"/>
      <c r="S797" s="4"/>
      <c r="T797" s="4" t="str">
        <f t="shared" si="2"/>
        <v>Valid</v>
      </c>
      <c r="U797" s="4">
        <f t="shared" si="3"/>
        <v>1</v>
      </c>
      <c r="V797" s="4" t="str">
        <f t="shared" si="4"/>
        <v>Unique</v>
      </c>
      <c r="W797" s="4" t="str">
        <f t="shared" si="5"/>
        <v>Unknown</v>
      </c>
      <c r="X797" s="4" t="str">
        <f t="shared" ref="X797:Z797" si="801">IF(Q797="","Unknown",Q797)</f>
        <v>Inarajan Village, Guam</v>
      </c>
      <c r="Y797" s="4" t="str">
        <f t="shared" si="801"/>
        <v>Unknown</v>
      </c>
      <c r="Z797" s="4" t="str">
        <f t="shared" si="801"/>
        <v>Unknown</v>
      </c>
      <c r="AA797" s="4" t="str">
        <f t="shared" si="7"/>
        <v>mwc</v>
      </c>
    </row>
    <row r="798">
      <c r="A798" s="3" t="s">
        <v>1844</v>
      </c>
      <c r="B798" s="3">
        <v>6.5</v>
      </c>
      <c r="C798" s="19">
        <f>Raw_Data!T798</f>
        <v>37145.62222</v>
      </c>
      <c r="D798" s="3">
        <v>0.0</v>
      </c>
      <c r="E798" s="3">
        <v>6.0</v>
      </c>
      <c r="F798" s="4"/>
      <c r="G798" s="3">
        <v>0.0</v>
      </c>
      <c r="H798" s="3">
        <v>650.0</v>
      </c>
      <c r="I798" s="3" t="s">
        <v>110</v>
      </c>
      <c r="J798" s="3">
        <v>174.0</v>
      </c>
      <c r="K798" s="3">
        <v>0.0</v>
      </c>
      <c r="L798" s="3">
        <v>0.0</v>
      </c>
      <c r="M798" s="4" t="str">
        <f>Raw_Data!X798</f>
        <v>mwc</v>
      </c>
      <c r="N798" s="3">
        <v>33.0</v>
      </c>
      <c r="O798" s="3">
        <v>-0.578</v>
      </c>
      <c r="P798" s="3">
        <v>133.13</v>
      </c>
      <c r="Q798" s="3" t="s">
        <v>1182</v>
      </c>
      <c r="R798" s="4"/>
      <c r="S798" s="3" t="s">
        <v>153</v>
      </c>
      <c r="T798" s="4" t="str">
        <f t="shared" si="2"/>
        <v>Valid</v>
      </c>
      <c r="U798" s="4">
        <f t="shared" si="3"/>
        <v>1</v>
      </c>
      <c r="V798" s="4" t="str">
        <f t="shared" si="4"/>
        <v>Unique</v>
      </c>
      <c r="W798" s="4" t="str">
        <f t="shared" si="5"/>
        <v>Unknown</v>
      </c>
      <c r="X798" s="4" t="str">
        <f t="shared" ref="X798:Z798" si="802">IF(Q798="","Unknown",Q798)</f>
        <v>Manokwari, Indonesia</v>
      </c>
      <c r="Y798" s="4" t="str">
        <f t="shared" si="802"/>
        <v>Unknown</v>
      </c>
      <c r="Z798" s="4" t="str">
        <f t="shared" si="802"/>
        <v>Indonesia</v>
      </c>
      <c r="AA798" s="4" t="str">
        <f t="shared" si="7"/>
        <v>mwc</v>
      </c>
    </row>
    <row r="799">
      <c r="A799" s="3" t="s">
        <v>1845</v>
      </c>
      <c r="B799" s="3">
        <v>6.6</v>
      </c>
      <c r="C799" s="19">
        <f>Raw_Data!T799</f>
        <v>37100.31389</v>
      </c>
      <c r="D799" s="3">
        <v>6.0</v>
      </c>
      <c r="E799" s="3">
        <v>6.0</v>
      </c>
      <c r="F799" s="4"/>
      <c r="G799" s="3">
        <v>0.0</v>
      </c>
      <c r="H799" s="3">
        <v>754.0</v>
      </c>
      <c r="I799" s="3" t="s">
        <v>316</v>
      </c>
      <c r="J799" s="3">
        <v>0.0</v>
      </c>
      <c r="K799" s="3">
        <v>0.0</v>
      </c>
      <c r="L799" s="3">
        <v>0.0</v>
      </c>
      <c r="M799" s="4" t="str">
        <f>Raw_Data!X799</f>
        <v>mw</v>
      </c>
      <c r="N799" s="3">
        <v>131.8</v>
      </c>
      <c r="O799" s="3">
        <v>58.775</v>
      </c>
      <c r="P799" s="3">
        <v>-154.701</v>
      </c>
      <c r="Q799" s="3" t="s">
        <v>1847</v>
      </c>
      <c r="R799" s="3" t="s">
        <v>233</v>
      </c>
      <c r="S799" s="3" t="s">
        <v>318</v>
      </c>
      <c r="T799" s="4" t="str">
        <f t="shared" si="2"/>
        <v>Valid</v>
      </c>
      <c r="U799" s="4">
        <f t="shared" si="3"/>
        <v>1</v>
      </c>
      <c r="V799" s="4" t="str">
        <f t="shared" si="4"/>
        <v>Unique</v>
      </c>
      <c r="W799" s="4" t="str">
        <f t="shared" si="5"/>
        <v>Unknown</v>
      </c>
      <c r="X799" s="4" t="str">
        <f t="shared" ref="X799:Z799" si="803">IF(Q799="","Unknown",Q799)</f>
        <v>Kokhanok, Alaska</v>
      </c>
      <c r="Y799" s="4" t="str">
        <f t="shared" si="803"/>
        <v>North America</v>
      </c>
      <c r="Z799" s="4" t="str">
        <f t="shared" si="803"/>
        <v>United States of America</v>
      </c>
      <c r="AA799" s="4" t="str">
        <f t="shared" si="7"/>
        <v>mw</v>
      </c>
    </row>
    <row r="800">
      <c r="A800" s="3" t="s">
        <v>1848</v>
      </c>
      <c r="B800" s="3">
        <v>6.5</v>
      </c>
      <c r="C800" s="19">
        <f>Raw_Data!T800</f>
        <v>37098.01458</v>
      </c>
      <c r="D800" s="3">
        <v>0.0</v>
      </c>
      <c r="E800" s="3">
        <v>8.0</v>
      </c>
      <c r="F800" s="4"/>
      <c r="G800" s="3">
        <v>0.0</v>
      </c>
      <c r="H800" s="3">
        <v>650.0</v>
      </c>
      <c r="I800" s="3" t="s">
        <v>110</v>
      </c>
      <c r="J800" s="3">
        <v>483.0</v>
      </c>
      <c r="K800" s="3">
        <v>0.0</v>
      </c>
      <c r="L800" s="3">
        <v>0.0</v>
      </c>
      <c r="M800" s="4" t="str">
        <f>Raw_Data!X800</f>
        <v>mwc</v>
      </c>
      <c r="N800" s="3">
        <v>10.0</v>
      </c>
      <c r="O800" s="3">
        <v>39.059</v>
      </c>
      <c r="P800" s="3">
        <v>24.244</v>
      </c>
      <c r="Q800" s="3" t="s">
        <v>1850</v>
      </c>
      <c r="R800" s="3" t="s">
        <v>404</v>
      </c>
      <c r="S800" s="3" t="s">
        <v>405</v>
      </c>
      <c r="T800" s="4" t="str">
        <f t="shared" si="2"/>
        <v>Valid</v>
      </c>
      <c r="U800" s="4">
        <f t="shared" si="3"/>
        <v>1</v>
      </c>
      <c r="V800" s="4" t="str">
        <f t="shared" si="4"/>
        <v>Unique</v>
      </c>
      <c r="W800" s="4" t="str">
        <f t="shared" si="5"/>
        <v>Unknown</v>
      </c>
      <c r="X800" s="4" t="str">
        <f t="shared" ref="X800:Z800" si="804">IF(Q800="","Unknown",Q800)</f>
        <v>Skýros, Greece</v>
      </c>
      <c r="Y800" s="4" t="str">
        <f t="shared" si="804"/>
        <v>Europe</v>
      </c>
      <c r="Z800" s="4" t="str">
        <f t="shared" si="804"/>
        <v>Greece</v>
      </c>
      <c r="AA800" s="4" t="str">
        <f t="shared" si="7"/>
        <v>mwc</v>
      </c>
    </row>
    <row r="801">
      <c r="A801" s="3" t="s">
        <v>1851</v>
      </c>
      <c r="B801" s="3">
        <v>7.6</v>
      </c>
      <c r="C801" s="19">
        <f>Raw_Data!T801</f>
        <v>37079.40139</v>
      </c>
      <c r="D801" s="3">
        <v>0.0</v>
      </c>
      <c r="E801" s="3">
        <v>7.0</v>
      </c>
      <c r="F801" s="4"/>
      <c r="G801" s="3">
        <v>0.0</v>
      </c>
      <c r="H801" s="3">
        <v>889.0</v>
      </c>
      <c r="I801" s="3" t="s">
        <v>110</v>
      </c>
      <c r="J801" s="3">
        <v>398.0</v>
      </c>
      <c r="K801" s="3">
        <v>0.0</v>
      </c>
      <c r="L801" s="3">
        <v>0.0</v>
      </c>
      <c r="M801" s="4" t="str">
        <f>Raw_Data!X801</f>
        <v>mwc</v>
      </c>
      <c r="N801" s="3">
        <v>33.0</v>
      </c>
      <c r="O801" s="3">
        <v>-17.543</v>
      </c>
      <c r="P801" s="3">
        <v>-72.077</v>
      </c>
      <c r="Q801" s="3" t="s">
        <v>1852</v>
      </c>
      <c r="R801" s="4"/>
      <c r="S801" s="3" t="s">
        <v>265</v>
      </c>
      <c r="T801" s="4" t="str">
        <f t="shared" si="2"/>
        <v>Valid</v>
      </c>
      <c r="U801" s="4">
        <f t="shared" si="3"/>
        <v>1</v>
      </c>
      <c r="V801" s="4" t="str">
        <f t="shared" si="4"/>
        <v>Unique</v>
      </c>
      <c r="W801" s="4" t="str">
        <f t="shared" si="5"/>
        <v>Unknown</v>
      </c>
      <c r="X801" s="4" t="str">
        <f t="shared" ref="X801:Z801" si="805">IF(Q801="","Unknown",Q801)</f>
        <v>Punta de Bombón, Peru</v>
      </c>
      <c r="Y801" s="4" t="str">
        <f t="shared" si="805"/>
        <v>Unknown</v>
      </c>
      <c r="Z801" s="4" t="str">
        <f t="shared" si="805"/>
        <v>Peru</v>
      </c>
      <c r="AA801" s="4" t="str">
        <f t="shared" si="7"/>
        <v>mwc</v>
      </c>
    </row>
    <row r="802">
      <c r="A802" s="3" t="s">
        <v>1853</v>
      </c>
      <c r="B802" s="3">
        <v>6.6</v>
      </c>
      <c r="C802" s="19">
        <f>Raw_Data!T802</f>
        <v>37077.57847</v>
      </c>
      <c r="D802" s="3">
        <v>0.0</v>
      </c>
      <c r="E802" s="3">
        <v>7.0</v>
      </c>
      <c r="F802" s="4"/>
      <c r="G802" s="3">
        <v>0.0</v>
      </c>
      <c r="H802" s="3">
        <v>670.0</v>
      </c>
      <c r="I802" s="3" t="s">
        <v>110</v>
      </c>
      <c r="J802" s="3">
        <v>324.0</v>
      </c>
      <c r="K802" s="3">
        <v>0.0</v>
      </c>
      <c r="L802" s="3">
        <v>0.0</v>
      </c>
      <c r="M802" s="4" t="str">
        <f>Raw_Data!X802</f>
        <v>mwc</v>
      </c>
      <c r="N802" s="3">
        <v>62.0</v>
      </c>
      <c r="O802" s="3">
        <v>-16.086</v>
      </c>
      <c r="P802" s="3">
        <v>-73.987</v>
      </c>
      <c r="Q802" s="3" t="s">
        <v>1854</v>
      </c>
      <c r="R802" s="4"/>
      <c r="S802" s="3" t="s">
        <v>265</v>
      </c>
      <c r="T802" s="4" t="str">
        <f t="shared" si="2"/>
        <v>Valid</v>
      </c>
      <c r="U802" s="4">
        <f t="shared" si="3"/>
        <v>1</v>
      </c>
      <c r="V802" s="4" t="str">
        <f t="shared" si="4"/>
        <v>Unique</v>
      </c>
      <c r="W802" s="4" t="str">
        <f t="shared" si="5"/>
        <v>Unknown</v>
      </c>
      <c r="X802" s="4" t="str">
        <f t="shared" ref="X802:Z802" si="806">IF(Q802="","Unknown",Q802)</f>
        <v>Achanizo, Peru</v>
      </c>
      <c r="Y802" s="4" t="str">
        <f t="shared" si="806"/>
        <v>Unknown</v>
      </c>
      <c r="Z802" s="4" t="str">
        <f t="shared" si="806"/>
        <v>Peru</v>
      </c>
      <c r="AA802" s="4" t="str">
        <f t="shared" si="7"/>
        <v>mwc</v>
      </c>
    </row>
    <row r="803">
      <c r="A803" s="3" t="s">
        <v>1855</v>
      </c>
      <c r="B803" s="3">
        <v>6.7</v>
      </c>
      <c r="C803" s="19">
        <f>Raw_Data!T803</f>
        <v>37068.17917</v>
      </c>
      <c r="D803" s="3">
        <v>0.0</v>
      </c>
      <c r="E803" s="3">
        <v>6.0</v>
      </c>
      <c r="F803" s="4"/>
      <c r="G803" s="3">
        <v>0.0</v>
      </c>
      <c r="H803" s="3">
        <v>691.0</v>
      </c>
      <c r="I803" s="3" t="s">
        <v>110</v>
      </c>
      <c r="J803" s="3">
        <v>422.0</v>
      </c>
      <c r="K803" s="3">
        <v>0.0</v>
      </c>
      <c r="L803" s="3">
        <v>0.0</v>
      </c>
      <c r="M803" s="4" t="str">
        <f>Raw_Data!X803</f>
        <v>mwc</v>
      </c>
      <c r="N803" s="3">
        <v>24.0</v>
      </c>
      <c r="O803" s="3">
        <v>-17.745</v>
      </c>
      <c r="P803" s="3">
        <v>-71.649</v>
      </c>
      <c r="Q803" s="3" t="s">
        <v>1857</v>
      </c>
      <c r="R803" s="4"/>
      <c r="S803" s="3" t="s">
        <v>265</v>
      </c>
      <c r="T803" s="4" t="str">
        <f t="shared" si="2"/>
        <v>Valid</v>
      </c>
      <c r="U803" s="4">
        <f t="shared" si="3"/>
        <v>1</v>
      </c>
      <c r="V803" s="4" t="str">
        <f t="shared" si="4"/>
        <v>Unique</v>
      </c>
      <c r="W803" s="4" t="str">
        <f t="shared" si="5"/>
        <v>Unknown</v>
      </c>
      <c r="X803" s="4" t="str">
        <f t="shared" ref="X803:Z803" si="807">IF(Q803="","Unknown",Q803)</f>
        <v>Pacocha, Peru</v>
      </c>
      <c r="Y803" s="4" t="str">
        <f t="shared" si="807"/>
        <v>Unknown</v>
      </c>
      <c r="Z803" s="4" t="str">
        <f t="shared" si="807"/>
        <v>Peru</v>
      </c>
      <c r="AA803" s="4" t="str">
        <f t="shared" si="7"/>
        <v>mwc</v>
      </c>
    </row>
    <row r="804">
      <c r="A804" s="3" t="s">
        <v>1858</v>
      </c>
      <c r="B804" s="3">
        <v>8.4</v>
      </c>
      <c r="C804" s="19">
        <f>Raw_Data!T804</f>
        <v>37065.85625</v>
      </c>
      <c r="D804" s="3">
        <v>0.0</v>
      </c>
      <c r="E804" s="3">
        <v>8.0</v>
      </c>
      <c r="F804" s="4"/>
      <c r="G804" s="3">
        <v>0.0</v>
      </c>
      <c r="H804" s="3">
        <v>1086.0</v>
      </c>
      <c r="I804" s="3" t="s">
        <v>1196</v>
      </c>
      <c r="J804" s="3">
        <v>518.0</v>
      </c>
      <c r="K804" s="3">
        <v>0.0</v>
      </c>
      <c r="L804" s="3">
        <v>0.0</v>
      </c>
      <c r="M804" s="4" t="str">
        <f>Raw_Data!X804</f>
        <v>mww</v>
      </c>
      <c r="N804" s="3">
        <v>33.0</v>
      </c>
      <c r="O804" s="3">
        <v>-16.265</v>
      </c>
      <c r="P804" s="3">
        <v>-73.641</v>
      </c>
      <c r="Q804" s="3" t="s">
        <v>1860</v>
      </c>
      <c r="R804" s="4"/>
      <c r="S804" s="3" t="s">
        <v>265</v>
      </c>
      <c r="T804" s="4" t="str">
        <f t="shared" si="2"/>
        <v>Valid</v>
      </c>
      <c r="U804" s="4">
        <f t="shared" si="3"/>
        <v>1</v>
      </c>
      <c r="V804" s="4" t="str">
        <f t="shared" si="4"/>
        <v>Unique</v>
      </c>
      <c r="W804" s="4" t="str">
        <f t="shared" si="5"/>
        <v>Unknown</v>
      </c>
      <c r="X804" s="4" t="str">
        <f t="shared" ref="X804:Z804" si="808">IF(Q804="","Unknown",Q804)</f>
        <v>Atico, Peru</v>
      </c>
      <c r="Y804" s="4" t="str">
        <f t="shared" si="808"/>
        <v>Unknown</v>
      </c>
      <c r="Z804" s="4" t="str">
        <f t="shared" si="808"/>
        <v>Peru</v>
      </c>
      <c r="AA804" s="4" t="str">
        <f t="shared" si="7"/>
        <v>mww</v>
      </c>
    </row>
    <row r="805">
      <c r="A805" s="3" t="s">
        <v>1861</v>
      </c>
      <c r="B805" s="3">
        <v>6.7</v>
      </c>
      <c r="C805" s="19">
        <f>Raw_Data!T805</f>
        <v>37000.90486</v>
      </c>
      <c r="D805" s="3">
        <v>0.0</v>
      </c>
      <c r="E805" s="3">
        <v>6.0</v>
      </c>
      <c r="F805" s="4"/>
      <c r="G805" s="3">
        <v>0.0</v>
      </c>
      <c r="H805" s="3">
        <v>691.0</v>
      </c>
      <c r="I805" s="3" t="s">
        <v>110</v>
      </c>
      <c r="J805" s="3">
        <v>282.0</v>
      </c>
      <c r="K805" s="3">
        <v>0.0</v>
      </c>
      <c r="L805" s="3">
        <v>0.0</v>
      </c>
      <c r="M805" s="4" t="str">
        <f>Raw_Data!X805</f>
        <v>mwc</v>
      </c>
      <c r="N805" s="3">
        <v>17.0</v>
      </c>
      <c r="O805" s="3">
        <v>-7.41</v>
      </c>
      <c r="P805" s="3">
        <v>155.865</v>
      </c>
      <c r="Q805" s="3" t="s">
        <v>728</v>
      </c>
      <c r="R805" s="4"/>
      <c r="S805" s="3" t="s">
        <v>214</v>
      </c>
      <c r="T805" s="4" t="str">
        <f t="shared" si="2"/>
        <v>Valid</v>
      </c>
      <c r="U805" s="4">
        <f t="shared" si="3"/>
        <v>1</v>
      </c>
      <c r="V805" s="4" t="str">
        <f t="shared" si="4"/>
        <v>Unique</v>
      </c>
      <c r="W805" s="4" t="str">
        <f t="shared" si="5"/>
        <v>Unknown</v>
      </c>
      <c r="X805" s="4" t="str">
        <f t="shared" ref="X805:Z805" si="809">IF(Q805="","Unknown",Q805)</f>
        <v>Panguna, Papua New Guinea</v>
      </c>
      <c r="Y805" s="4" t="str">
        <f t="shared" si="809"/>
        <v>Unknown</v>
      </c>
      <c r="Z805" s="4" t="str">
        <f t="shared" si="809"/>
        <v>Solomon Islands</v>
      </c>
      <c r="AA805" s="4" t="str">
        <f t="shared" si="7"/>
        <v>mwc</v>
      </c>
    </row>
    <row r="806">
      <c r="A806" s="3" t="s">
        <v>1863</v>
      </c>
      <c r="B806" s="3">
        <v>6.8</v>
      </c>
      <c r="C806" s="19">
        <f>Raw_Data!T806</f>
        <v>36974.26875</v>
      </c>
      <c r="D806" s="3">
        <v>0.0</v>
      </c>
      <c r="E806" s="3">
        <v>7.0</v>
      </c>
      <c r="F806" s="4"/>
      <c r="G806" s="3">
        <v>0.0</v>
      </c>
      <c r="H806" s="3">
        <v>711.0</v>
      </c>
      <c r="I806" s="3" t="s">
        <v>110</v>
      </c>
      <c r="J806" s="3">
        <v>596.0</v>
      </c>
      <c r="K806" s="3">
        <v>0.0</v>
      </c>
      <c r="L806" s="3">
        <v>0.0</v>
      </c>
      <c r="M806" s="4" t="str">
        <f>Raw_Data!X806</f>
        <v>mwc</v>
      </c>
      <c r="N806" s="3">
        <v>50.0</v>
      </c>
      <c r="O806" s="3">
        <v>34.083</v>
      </c>
      <c r="P806" s="3">
        <v>132.526</v>
      </c>
      <c r="Q806" s="3" t="s">
        <v>1865</v>
      </c>
      <c r="R806" s="3" t="s">
        <v>164</v>
      </c>
      <c r="S806" s="3" t="s">
        <v>371</v>
      </c>
      <c r="T806" s="4" t="str">
        <f t="shared" si="2"/>
        <v>Valid</v>
      </c>
      <c r="U806" s="4">
        <f t="shared" si="3"/>
        <v>1</v>
      </c>
      <c r="V806" s="4" t="str">
        <f t="shared" si="4"/>
        <v>Unique</v>
      </c>
      <c r="W806" s="4" t="str">
        <f t="shared" si="5"/>
        <v>Unknown</v>
      </c>
      <c r="X806" s="4" t="str">
        <f t="shared" ref="X806:Z806" si="810">IF(Q806="","Unknown",Q806)</f>
        <v>Kure, Japan</v>
      </c>
      <c r="Y806" s="4" t="str">
        <f t="shared" si="810"/>
        <v>Asia</v>
      </c>
      <c r="Z806" s="4" t="str">
        <f t="shared" si="810"/>
        <v>Japan</v>
      </c>
      <c r="AA806" s="4" t="str">
        <f t="shared" si="7"/>
        <v>mwc</v>
      </c>
    </row>
    <row r="807">
      <c r="A807" s="3" t="s">
        <v>1866</v>
      </c>
      <c r="B807" s="3">
        <v>6.5</v>
      </c>
      <c r="C807" s="19">
        <f>Raw_Data!T807</f>
        <v>36969.24444</v>
      </c>
      <c r="D807" s="3">
        <v>0.0</v>
      </c>
      <c r="E807" s="3">
        <v>6.0</v>
      </c>
      <c r="F807" s="4"/>
      <c r="G807" s="3">
        <v>0.0</v>
      </c>
      <c r="H807" s="3">
        <v>650.0</v>
      </c>
      <c r="I807" s="3" t="s">
        <v>110</v>
      </c>
      <c r="J807" s="3">
        <v>206.0</v>
      </c>
      <c r="K807" s="3">
        <v>0.0</v>
      </c>
      <c r="L807" s="3">
        <v>0.0</v>
      </c>
      <c r="M807" s="4" t="str">
        <f>Raw_Data!X807</f>
        <v>mwc</v>
      </c>
      <c r="N807" s="3">
        <v>33.0</v>
      </c>
      <c r="O807" s="3">
        <v>-4.029</v>
      </c>
      <c r="P807" s="3">
        <v>128.02</v>
      </c>
      <c r="Q807" s="3" t="s">
        <v>1594</v>
      </c>
      <c r="R807" s="4"/>
      <c r="S807" s="3" t="s">
        <v>153</v>
      </c>
      <c r="T807" s="4" t="str">
        <f t="shared" si="2"/>
        <v>Valid</v>
      </c>
      <c r="U807" s="4">
        <f t="shared" si="3"/>
        <v>1</v>
      </c>
      <c r="V807" s="4" t="str">
        <f t="shared" si="4"/>
        <v>Unique</v>
      </c>
      <c r="W807" s="4" t="str">
        <f t="shared" si="5"/>
        <v>Unknown</v>
      </c>
      <c r="X807" s="4" t="str">
        <f t="shared" ref="X807:Z807" si="811">IF(Q807="","Unknown",Q807)</f>
        <v>Ambon, Indonesia</v>
      </c>
      <c r="Y807" s="4" t="str">
        <f t="shared" si="811"/>
        <v>Unknown</v>
      </c>
      <c r="Z807" s="4" t="str">
        <f t="shared" si="811"/>
        <v>Indonesia</v>
      </c>
      <c r="AA807" s="4" t="str">
        <f t="shared" si="7"/>
        <v>mwc</v>
      </c>
    </row>
    <row r="808">
      <c r="A808" s="3" t="s">
        <v>1868</v>
      </c>
      <c r="B808" s="3">
        <v>6.8</v>
      </c>
      <c r="C808" s="19">
        <f>Raw_Data!T808</f>
        <v>36950.7875</v>
      </c>
      <c r="D808" s="3">
        <v>7.0</v>
      </c>
      <c r="E808" s="3">
        <v>7.0</v>
      </c>
      <c r="F808" s="4"/>
      <c r="G808" s="3">
        <v>0.0</v>
      </c>
      <c r="H808" s="3">
        <v>1441.0</v>
      </c>
      <c r="I808" s="3" t="s">
        <v>1870</v>
      </c>
      <c r="J808" s="3">
        <v>67.0</v>
      </c>
      <c r="K808" s="3">
        <v>0.0</v>
      </c>
      <c r="L808" s="3">
        <v>31.0</v>
      </c>
      <c r="M808" s="4" t="str">
        <f>Raw_Data!X808</f>
        <v>md</v>
      </c>
      <c r="N808" s="3">
        <v>51.798</v>
      </c>
      <c r="O808" s="3">
        <v>47.149</v>
      </c>
      <c r="P808" s="3">
        <v>-122.727</v>
      </c>
      <c r="Q808" s="3" t="s">
        <v>1871</v>
      </c>
      <c r="R808" s="3" t="s">
        <v>233</v>
      </c>
      <c r="S808" s="3" t="s">
        <v>318</v>
      </c>
      <c r="T808" s="4" t="str">
        <f t="shared" si="2"/>
        <v>Valid</v>
      </c>
      <c r="U808" s="4">
        <f t="shared" si="3"/>
        <v>1</v>
      </c>
      <c r="V808" s="4" t="str">
        <f t="shared" si="4"/>
        <v>Unique</v>
      </c>
      <c r="W808" s="4" t="str">
        <f t="shared" si="5"/>
        <v>Unknown</v>
      </c>
      <c r="X808" s="4" t="str">
        <f t="shared" ref="X808:Z808" si="812">IF(Q808="","Unknown",Q808)</f>
        <v>Longbranch, Washington</v>
      </c>
      <c r="Y808" s="4" t="str">
        <f t="shared" si="812"/>
        <v>North America</v>
      </c>
      <c r="Z808" s="4" t="str">
        <f t="shared" si="812"/>
        <v>United States of America</v>
      </c>
      <c r="AA808" s="4" t="str">
        <f t="shared" si="7"/>
        <v>md</v>
      </c>
    </row>
    <row r="809">
      <c r="A809" s="3" t="s">
        <v>1872</v>
      </c>
      <c r="B809" s="3">
        <v>7.1</v>
      </c>
      <c r="C809" s="19">
        <f>Raw_Data!T809</f>
        <v>36946.30764</v>
      </c>
      <c r="D809" s="3">
        <v>0.0</v>
      </c>
      <c r="E809" s="3">
        <v>7.0</v>
      </c>
      <c r="F809" s="4"/>
      <c r="G809" s="3">
        <v>0.0</v>
      </c>
      <c r="H809" s="3">
        <v>776.0</v>
      </c>
      <c r="I809" s="3" t="s">
        <v>110</v>
      </c>
      <c r="J809" s="3">
        <v>426.0</v>
      </c>
      <c r="K809" s="3">
        <v>0.0</v>
      </c>
      <c r="L809" s="3">
        <v>0.0</v>
      </c>
      <c r="M809" s="4" t="str">
        <f>Raw_Data!X809</f>
        <v>mwc</v>
      </c>
      <c r="N809" s="3">
        <v>35.0</v>
      </c>
      <c r="O809" s="3">
        <v>1.271</v>
      </c>
      <c r="P809" s="3">
        <v>126.249</v>
      </c>
      <c r="Q809" s="3" t="s">
        <v>957</v>
      </c>
      <c r="R809" s="4"/>
      <c r="S809" s="3" t="s">
        <v>153</v>
      </c>
      <c r="T809" s="4" t="str">
        <f t="shared" si="2"/>
        <v>Valid</v>
      </c>
      <c r="U809" s="4">
        <f t="shared" si="3"/>
        <v>1</v>
      </c>
      <c r="V809" s="4" t="str">
        <f t="shared" si="4"/>
        <v>Unique</v>
      </c>
      <c r="W809" s="4" t="str">
        <f t="shared" si="5"/>
        <v>Unknown</v>
      </c>
      <c r="X809" s="4" t="str">
        <f t="shared" ref="X809:Z809" si="813">IF(Q809="","Unknown",Q809)</f>
        <v>Ternate, Indonesia</v>
      </c>
      <c r="Y809" s="4" t="str">
        <f t="shared" si="813"/>
        <v>Unknown</v>
      </c>
      <c r="Z809" s="4" t="str">
        <f t="shared" si="813"/>
        <v>Indonesia</v>
      </c>
      <c r="AA809" s="4" t="str">
        <f t="shared" si="7"/>
        <v>mwc</v>
      </c>
    </row>
    <row r="810">
      <c r="A810" s="3" t="s">
        <v>1874</v>
      </c>
      <c r="B810" s="3">
        <v>7.4</v>
      </c>
      <c r="C810" s="19">
        <f>Raw_Data!T810</f>
        <v>36935.81111</v>
      </c>
      <c r="D810" s="3">
        <v>0.0</v>
      </c>
      <c r="E810" s="3">
        <v>6.0</v>
      </c>
      <c r="F810" s="4"/>
      <c r="G810" s="3">
        <v>0.0</v>
      </c>
      <c r="H810" s="3">
        <v>842.0</v>
      </c>
      <c r="I810" s="3" t="s">
        <v>110</v>
      </c>
      <c r="J810" s="3">
        <v>221.0</v>
      </c>
      <c r="K810" s="3">
        <v>0.0</v>
      </c>
      <c r="L810" s="3">
        <v>0.0</v>
      </c>
      <c r="M810" s="4" t="str">
        <f>Raw_Data!X810</f>
        <v>mwc</v>
      </c>
      <c r="N810" s="3">
        <v>36.0</v>
      </c>
      <c r="O810" s="3">
        <v>-4.68</v>
      </c>
      <c r="P810" s="3">
        <v>102.562</v>
      </c>
      <c r="Q810" s="3" t="s">
        <v>217</v>
      </c>
      <c r="R810" s="4"/>
      <c r="S810" s="3" t="s">
        <v>153</v>
      </c>
      <c r="T810" s="4" t="str">
        <f t="shared" si="2"/>
        <v>Valid</v>
      </c>
      <c r="U810" s="4">
        <f t="shared" si="3"/>
        <v>1</v>
      </c>
      <c r="V810" s="4" t="str">
        <f t="shared" si="4"/>
        <v>Unique</v>
      </c>
      <c r="W810" s="4" t="str">
        <f t="shared" si="5"/>
        <v>Unknown</v>
      </c>
      <c r="X810" s="4" t="str">
        <f t="shared" ref="X810:Z810" si="814">IF(Q810="","Unknown",Q810)</f>
        <v>Bengkulu, Indonesia</v>
      </c>
      <c r="Y810" s="4" t="str">
        <f t="shared" si="814"/>
        <v>Unknown</v>
      </c>
      <c r="Z810" s="4" t="str">
        <f t="shared" si="814"/>
        <v>Indonesia</v>
      </c>
      <c r="AA810" s="4" t="str">
        <f t="shared" si="7"/>
        <v>mwc</v>
      </c>
    </row>
    <row r="811">
      <c r="A811" s="3" t="s">
        <v>1876</v>
      </c>
      <c r="B811" s="3">
        <v>6.6</v>
      </c>
      <c r="C811" s="19">
        <f>Raw_Data!T811</f>
        <v>36935.59861</v>
      </c>
      <c r="D811" s="3">
        <v>0.0</v>
      </c>
      <c r="E811" s="3">
        <v>8.0</v>
      </c>
      <c r="F811" s="4"/>
      <c r="G811" s="3">
        <v>0.0</v>
      </c>
      <c r="H811" s="3">
        <v>670.0</v>
      </c>
      <c r="I811" s="3" t="s">
        <v>110</v>
      </c>
      <c r="J811" s="3">
        <v>273.0</v>
      </c>
      <c r="K811" s="3">
        <v>0.0</v>
      </c>
      <c r="L811" s="3">
        <v>0.0</v>
      </c>
      <c r="M811" s="4" t="str">
        <f>Raw_Data!X811</f>
        <v>mwc</v>
      </c>
      <c r="N811" s="3">
        <v>10.0</v>
      </c>
      <c r="O811" s="3">
        <v>13.671</v>
      </c>
      <c r="P811" s="3">
        <v>-88.938</v>
      </c>
      <c r="Q811" s="3" t="s">
        <v>1878</v>
      </c>
      <c r="R811" s="4"/>
      <c r="S811" s="3" t="s">
        <v>1879</v>
      </c>
      <c r="T811" s="4" t="str">
        <f t="shared" si="2"/>
        <v>Valid</v>
      </c>
      <c r="U811" s="4">
        <f t="shared" si="3"/>
        <v>1</v>
      </c>
      <c r="V811" s="4" t="str">
        <f t="shared" si="4"/>
        <v>Unique</v>
      </c>
      <c r="W811" s="4" t="str">
        <f t="shared" si="5"/>
        <v>Unknown</v>
      </c>
      <c r="X811" s="4" t="str">
        <f t="shared" ref="X811:Z811" si="815">IF(Q811="","Unknown",Q811)</f>
        <v>Cojutepeque, El Salvador</v>
      </c>
      <c r="Y811" s="4" t="str">
        <f t="shared" si="815"/>
        <v>Unknown</v>
      </c>
      <c r="Z811" s="4" t="str">
        <f t="shared" si="815"/>
        <v>El Salvador</v>
      </c>
      <c r="AA811" s="4" t="str">
        <f t="shared" si="7"/>
        <v>mwc</v>
      </c>
    </row>
    <row r="812">
      <c r="A812" s="3" t="s">
        <v>1880</v>
      </c>
      <c r="B812" s="3">
        <v>7.7</v>
      </c>
      <c r="C812" s="19">
        <f>Raw_Data!T812</f>
        <v>36917.13611</v>
      </c>
      <c r="D812" s="3">
        <v>0.0</v>
      </c>
      <c r="E812" s="3">
        <v>9.0</v>
      </c>
      <c r="F812" s="4"/>
      <c r="G812" s="3">
        <v>0.0</v>
      </c>
      <c r="H812" s="3">
        <v>912.0</v>
      </c>
      <c r="I812" s="3" t="s">
        <v>110</v>
      </c>
      <c r="J812" s="3">
        <v>472.0</v>
      </c>
      <c r="K812" s="3">
        <v>0.0</v>
      </c>
      <c r="L812" s="3">
        <v>0.0</v>
      </c>
      <c r="M812" s="4" t="str">
        <f>Raw_Data!X812</f>
        <v>mwc</v>
      </c>
      <c r="N812" s="3">
        <v>16.0</v>
      </c>
      <c r="O812" s="3">
        <v>23.419</v>
      </c>
      <c r="P812" s="3">
        <v>70.232</v>
      </c>
      <c r="Q812" s="3" t="s">
        <v>1882</v>
      </c>
      <c r="R812" s="3" t="s">
        <v>164</v>
      </c>
      <c r="S812" s="3" t="s">
        <v>835</v>
      </c>
      <c r="T812" s="4" t="str">
        <f t="shared" si="2"/>
        <v>Valid</v>
      </c>
      <c r="U812" s="4">
        <f t="shared" si="3"/>
        <v>1</v>
      </c>
      <c r="V812" s="4" t="str">
        <f t="shared" si="4"/>
        <v>Unique</v>
      </c>
      <c r="W812" s="4" t="str">
        <f t="shared" si="5"/>
        <v>Unknown</v>
      </c>
      <c r="X812" s="4" t="str">
        <f t="shared" ref="X812:Z812" si="816">IF(Q812="","Unknown",Q812)</f>
        <v>Bhach?u, India</v>
      </c>
      <c r="Y812" s="4" t="str">
        <f t="shared" si="816"/>
        <v>Asia</v>
      </c>
      <c r="Z812" s="4" t="str">
        <f t="shared" si="816"/>
        <v>India</v>
      </c>
      <c r="AA812" s="4" t="str">
        <f t="shared" si="7"/>
        <v>mwc</v>
      </c>
    </row>
    <row r="813">
      <c r="A813" s="3" t="s">
        <v>1883</v>
      </c>
      <c r="B813" s="3">
        <v>6.9</v>
      </c>
      <c r="C813" s="19">
        <f>Raw_Data!T813</f>
        <v>36907.55903</v>
      </c>
      <c r="D813" s="3">
        <v>0.0</v>
      </c>
      <c r="E813" s="3">
        <v>6.0</v>
      </c>
      <c r="F813" s="4"/>
      <c r="G813" s="3">
        <v>0.0</v>
      </c>
      <c r="H813" s="3">
        <v>732.0</v>
      </c>
      <c r="I813" s="3" t="s">
        <v>110</v>
      </c>
      <c r="J813" s="3">
        <v>117.0</v>
      </c>
      <c r="K813" s="3">
        <v>0.0</v>
      </c>
      <c r="L813" s="3">
        <v>0.0</v>
      </c>
      <c r="M813" s="4" t="str">
        <f>Raw_Data!X813</f>
        <v>mwb</v>
      </c>
      <c r="N813" s="3">
        <v>28.0</v>
      </c>
      <c r="O813" s="3">
        <v>-4.022</v>
      </c>
      <c r="P813" s="3">
        <v>101.776</v>
      </c>
      <c r="Q813" s="3" t="s">
        <v>217</v>
      </c>
      <c r="R813" s="4"/>
      <c r="S813" s="3" t="s">
        <v>153</v>
      </c>
      <c r="T813" s="4" t="str">
        <f t="shared" si="2"/>
        <v>Valid</v>
      </c>
      <c r="U813" s="4">
        <f t="shared" si="3"/>
        <v>1</v>
      </c>
      <c r="V813" s="4" t="str">
        <f t="shared" si="4"/>
        <v>Unique</v>
      </c>
      <c r="W813" s="4" t="str">
        <f t="shared" si="5"/>
        <v>Unknown</v>
      </c>
      <c r="X813" s="4" t="str">
        <f t="shared" ref="X813:Z813" si="817">IF(Q813="","Unknown",Q813)</f>
        <v>Bengkulu, Indonesia</v>
      </c>
      <c r="Y813" s="4" t="str">
        <f t="shared" si="817"/>
        <v>Unknown</v>
      </c>
      <c r="Z813" s="4" t="str">
        <f t="shared" si="817"/>
        <v>Indonesia</v>
      </c>
      <c r="AA813" s="4" t="str">
        <f t="shared" si="7"/>
        <v>mwb</v>
      </c>
    </row>
    <row r="814">
      <c r="A814" s="3" t="s">
        <v>1885</v>
      </c>
      <c r="B814" s="3">
        <v>7.7</v>
      </c>
      <c r="C814" s="19">
        <f>Raw_Data!T814</f>
        <v>36904.73125</v>
      </c>
      <c r="D814" s="3">
        <v>0.0</v>
      </c>
      <c r="E814" s="3">
        <v>8.0</v>
      </c>
      <c r="F814" s="4"/>
      <c r="G814" s="3">
        <v>0.0</v>
      </c>
      <c r="H814" s="3">
        <v>912.0</v>
      </c>
      <c r="I814" s="3" t="s">
        <v>110</v>
      </c>
      <c r="J814" s="3">
        <v>427.0</v>
      </c>
      <c r="K814" s="3">
        <v>0.0</v>
      </c>
      <c r="L814" s="3">
        <v>0.0</v>
      </c>
      <c r="M814" s="4" t="str">
        <f>Raw_Data!X814</f>
        <v>mwc</v>
      </c>
      <c r="N814" s="3">
        <v>60.0</v>
      </c>
      <c r="O814" s="3">
        <v>13.049</v>
      </c>
      <c r="P814" s="3">
        <v>-88.66</v>
      </c>
      <c r="Q814" s="3" t="s">
        <v>753</v>
      </c>
      <c r="R814" s="4"/>
      <c r="S814" s="4"/>
      <c r="T814" s="4" t="str">
        <f t="shared" si="2"/>
        <v>Valid</v>
      </c>
      <c r="U814" s="4">
        <f t="shared" si="3"/>
        <v>1</v>
      </c>
      <c r="V814" s="4" t="str">
        <f t="shared" si="4"/>
        <v>Unique</v>
      </c>
      <c r="W814" s="4" t="str">
        <f t="shared" si="5"/>
        <v>Unknown</v>
      </c>
      <c r="X814" s="4" t="str">
        <f t="shared" ref="X814:Z814" si="818">IF(Q814="","Unknown",Q814)</f>
        <v>Puerto El Triunfo, El Salvador</v>
      </c>
      <c r="Y814" s="4" t="str">
        <f t="shared" si="818"/>
        <v>Unknown</v>
      </c>
      <c r="Z814" s="4" t="str">
        <f t="shared" si="818"/>
        <v>Unknown</v>
      </c>
      <c r="AA814" s="4" t="str">
        <f t="shared" si="7"/>
        <v>mwc</v>
      </c>
    </row>
    <row r="815">
      <c r="A815" s="3" t="s">
        <v>1887</v>
      </c>
      <c r="B815" s="3">
        <v>6.9</v>
      </c>
      <c r="C815" s="19">
        <f>Raw_Data!T815</f>
        <v>36901.66806</v>
      </c>
      <c r="D815" s="3">
        <v>5.0</v>
      </c>
      <c r="E815" s="3">
        <v>7.0</v>
      </c>
      <c r="F815" s="4"/>
      <c r="G815" s="3">
        <v>0.0</v>
      </c>
      <c r="H815" s="3">
        <v>745.0</v>
      </c>
      <c r="I815" s="3" t="s">
        <v>316</v>
      </c>
      <c r="J815" s="3">
        <v>0.0</v>
      </c>
      <c r="K815" s="3">
        <v>0.0</v>
      </c>
      <c r="L815" s="3">
        <v>0.0</v>
      </c>
      <c r="M815" s="4" t="str">
        <f>Raw_Data!X815</f>
        <v>mw</v>
      </c>
      <c r="N815" s="3">
        <v>36.4</v>
      </c>
      <c r="O815" s="3">
        <v>56.7744</v>
      </c>
      <c r="P815" s="3">
        <v>-153.281</v>
      </c>
      <c r="Q815" s="3" t="s">
        <v>1888</v>
      </c>
      <c r="R815" s="3" t="s">
        <v>233</v>
      </c>
      <c r="S815" s="4"/>
      <c r="T815" s="4" t="str">
        <f t="shared" si="2"/>
        <v>Valid</v>
      </c>
      <c r="U815" s="4">
        <f t="shared" si="3"/>
        <v>1</v>
      </c>
      <c r="V815" s="4" t="str">
        <f t="shared" si="4"/>
        <v>Unique</v>
      </c>
      <c r="W815" s="4" t="str">
        <f t="shared" si="5"/>
        <v>Unknown</v>
      </c>
      <c r="X815" s="4" t="str">
        <f t="shared" ref="X815:Z815" si="819">IF(Q815="","Unknown",Q815)</f>
        <v>Old Harbor, Alaska</v>
      </c>
      <c r="Y815" s="4" t="str">
        <f t="shared" si="819"/>
        <v>North America</v>
      </c>
      <c r="Z815" s="4" t="str">
        <f t="shared" si="819"/>
        <v>Unknown</v>
      </c>
      <c r="AA815" s="4" t="str">
        <f t="shared" si="7"/>
        <v>mw</v>
      </c>
    </row>
    <row r="816">
      <c r="A816" s="3" t="s">
        <v>1889</v>
      </c>
      <c r="B816" s="3">
        <v>7.1</v>
      </c>
      <c r="C816" s="19">
        <f>Raw_Data!T816</f>
        <v>36900.70069</v>
      </c>
      <c r="D816" s="3">
        <v>0.0</v>
      </c>
      <c r="E816" s="3">
        <v>7.0</v>
      </c>
      <c r="F816" s="4"/>
      <c r="G816" s="3">
        <v>0.0</v>
      </c>
      <c r="H816" s="3">
        <v>776.0</v>
      </c>
      <c r="I816" s="3" t="s">
        <v>110</v>
      </c>
      <c r="J816" s="3">
        <v>372.0</v>
      </c>
      <c r="K816" s="3">
        <v>0.0</v>
      </c>
      <c r="L816" s="3">
        <v>0.0</v>
      </c>
      <c r="M816" s="4" t="str">
        <f>Raw_Data!X816</f>
        <v>mwb</v>
      </c>
      <c r="N816" s="3">
        <v>103.0</v>
      </c>
      <c r="O816" s="3">
        <v>-14.928</v>
      </c>
      <c r="P816" s="3">
        <v>167.17</v>
      </c>
      <c r="Q816" s="3" t="s">
        <v>185</v>
      </c>
      <c r="R816" s="4"/>
      <c r="S816" s="3" t="s">
        <v>113</v>
      </c>
      <c r="T816" s="4" t="str">
        <f t="shared" si="2"/>
        <v>Valid</v>
      </c>
      <c r="U816" s="4">
        <f t="shared" si="3"/>
        <v>1</v>
      </c>
      <c r="V816" s="4" t="str">
        <f t="shared" si="4"/>
        <v>Unique</v>
      </c>
      <c r="W816" s="4" t="str">
        <f t="shared" si="5"/>
        <v>Unknown</v>
      </c>
      <c r="X816" s="4" t="str">
        <f t="shared" ref="X816:Z816" si="820">IF(Q816="","Unknown",Q816)</f>
        <v>Port-Olry, Vanuatu</v>
      </c>
      <c r="Y816" s="4" t="str">
        <f t="shared" si="820"/>
        <v>Unknown</v>
      </c>
      <c r="Z816" s="4" t="str">
        <f t="shared" si="820"/>
        <v>Vanuatu</v>
      </c>
      <c r="AA816" s="4" t="str">
        <f t="shared" si="7"/>
        <v>mwb</v>
      </c>
    </row>
    <row r="817">
      <c r="A817" s="3" t="s">
        <v>1890</v>
      </c>
      <c r="B817" s="3">
        <v>6.8</v>
      </c>
      <c r="C817" s="19">
        <f>Raw_Data!T817</f>
        <v>36892.37083</v>
      </c>
      <c r="D817" s="3">
        <v>0.0</v>
      </c>
      <c r="E817" s="3">
        <v>5.0</v>
      </c>
      <c r="F817" s="4"/>
      <c r="G817" s="3">
        <v>0.0</v>
      </c>
      <c r="H817" s="3">
        <v>711.0</v>
      </c>
      <c r="I817" s="3" t="s">
        <v>110</v>
      </c>
      <c r="J817" s="3">
        <v>64.0</v>
      </c>
      <c r="K817" s="3">
        <v>0.0</v>
      </c>
      <c r="L817" s="3">
        <v>0.0</v>
      </c>
      <c r="M817" s="4" t="str">
        <f>Raw_Data!X817</f>
        <v>mwc</v>
      </c>
      <c r="N817" s="3">
        <v>33.0</v>
      </c>
      <c r="O817" s="3">
        <v>6.631</v>
      </c>
      <c r="P817" s="3">
        <v>126.899</v>
      </c>
      <c r="Q817" s="3" t="s">
        <v>1821</v>
      </c>
      <c r="R817" s="4"/>
      <c r="S817" s="4"/>
      <c r="T817" s="4" t="str">
        <f t="shared" si="2"/>
        <v>Valid</v>
      </c>
      <c r="U817" s="4">
        <f t="shared" si="3"/>
        <v>1</v>
      </c>
      <c r="V817" s="4" t="str">
        <f t="shared" si="4"/>
        <v>Unique</v>
      </c>
      <c r="W817" s="4" t="str">
        <f t="shared" si="5"/>
        <v>Unknown</v>
      </c>
      <c r="X817" s="4" t="str">
        <f t="shared" ref="X817:Z817" si="821">IF(Q817="","Unknown",Q817)</f>
        <v>Mindanao, Philippines</v>
      </c>
      <c r="Y817" s="4" t="str">
        <f t="shared" si="821"/>
        <v>Unknown</v>
      </c>
      <c r="Z817" s="4" t="str">
        <f t="shared" si="821"/>
        <v>Unknown</v>
      </c>
      <c r="AA817" s="4" t="str">
        <f t="shared" si="7"/>
        <v>mwc</v>
      </c>
    </row>
    <row r="818">
      <c r="A818" s="3" t="s">
        <v>1891</v>
      </c>
      <c r="B818" s="3">
        <v>7.5</v>
      </c>
      <c r="C818" s="19">
        <f>Raw_Data!T818</f>
        <v>36892.28958</v>
      </c>
      <c r="D818" s="3">
        <v>0.0</v>
      </c>
      <c r="E818" s="3">
        <v>7.0</v>
      </c>
      <c r="F818" s="4"/>
      <c r="G818" s="3">
        <v>0.0</v>
      </c>
      <c r="H818" s="3">
        <v>865.0</v>
      </c>
      <c r="I818" s="3" t="s">
        <v>110</v>
      </c>
      <c r="J818" s="3">
        <v>324.0</v>
      </c>
      <c r="K818" s="3">
        <v>0.0</v>
      </c>
      <c r="L818" s="3">
        <v>0.0</v>
      </c>
      <c r="M818" s="4" t="str">
        <f>Raw_Data!X818</f>
        <v>mwc</v>
      </c>
      <c r="N818" s="3">
        <v>33.0</v>
      </c>
      <c r="O818" s="3">
        <v>6.898</v>
      </c>
      <c r="P818" s="3">
        <v>126.579</v>
      </c>
      <c r="Q818" s="3" t="s">
        <v>1892</v>
      </c>
      <c r="R818" s="4"/>
      <c r="S818" s="3" t="s">
        <v>258</v>
      </c>
      <c r="T818" s="4" t="str">
        <f t="shared" si="2"/>
        <v>Valid</v>
      </c>
      <c r="U818" s="4">
        <f t="shared" si="3"/>
        <v>1</v>
      </c>
      <c r="V818" s="4" t="str">
        <f t="shared" si="4"/>
        <v>Unique</v>
      </c>
      <c r="W818" s="4" t="str">
        <f t="shared" si="5"/>
        <v>Unknown</v>
      </c>
      <c r="X818" s="4" t="str">
        <f t="shared" ref="X818:Z818" si="822">IF(Q818="","Unknown",Q818)</f>
        <v>Lukatan, Philippines</v>
      </c>
      <c r="Y818" s="4" t="str">
        <f t="shared" si="822"/>
        <v>Unknown</v>
      </c>
      <c r="Z818" s="4" t="str">
        <f t="shared" si="822"/>
        <v>Philippines</v>
      </c>
      <c r="AA818" s="4" t="str">
        <f t="shared" si="7"/>
        <v>mwc</v>
      </c>
    </row>
    <row r="819">
      <c r="A819" s="3" t="s">
        <v>1893</v>
      </c>
      <c r="B819" s="3">
        <v>6.5</v>
      </c>
      <c r="C819" s="19">
        <f>Raw_Data!T819</f>
        <v>36866.95625</v>
      </c>
      <c r="D819" s="3">
        <v>0.0</v>
      </c>
      <c r="E819" s="3">
        <v>7.0</v>
      </c>
      <c r="F819" s="4"/>
      <c r="G819" s="3">
        <v>0.0</v>
      </c>
      <c r="H819" s="3">
        <v>650.0</v>
      </c>
      <c r="I819" s="3" t="s">
        <v>110</v>
      </c>
      <c r="J819" s="3">
        <v>401.0</v>
      </c>
      <c r="K819" s="3">
        <v>0.0</v>
      </c>
      <c r="L819" s="3">
        <v>0.0</v>
      </c>
      <c r="M819" s="4" t="str">
        <f>Raw_Data!X819</f>
        <v>mwc</v>
      </c>
      <c r="N819" s="3">
        <v>31.0</v>
      </c>
      <c r="O819" s="3">
        <v>-4.218</v>
      </c>
      <c r="P819" s="3">
        <v>152.725</v>
      </c>
      <c r="Q819" s="3" t="s">
        <v>633</v>
      </c>
      <c r="R819" s="4"/>
      <c r="S819" s="3" t="s">
        <v>168</v>
      </c>
      <c r="T819" s="4" t="str">
        <f t="shared" si="2"/>
        <v>Valid</v>
      </c>
      <c r="U819" s="4">
        <f t="shared" si="3"/>
        <v>1</v>
      </c>
      <c r="V819" s="4" t="str">
        <f t="shared" si="4"/>
        <v>Unique</v>
      </c>
      <c r="W819" s="4" t="str">
        <f t="shared" si="5"/>
        <v>Unknown</v>
      </c>
      <c r="X819" s="4" t="str">
        <f t="shared" ref="X819:Z819" si="823">IF(Q819="","Unknown",Q819)</f>
        <v>Kokopo, Papua New Guinea</v>
      </c>
      <c r="Y819" s="4" t="str">
        <f t="shared" si="823"/>
        <v>Unknown</v>
      </c>
      <c r="Z819" s="4" t="str">
        <f t="shared" si="823"/>
        <v>Papua New Guinea</v>
      </c>
      <c r="AA819" s="4" t="str">
        <f t="shared" si="7"/>
        <v>mwc</v>
      </c>
    </row>
    <row r="820">
      <c r="A820" s="3" t="s">
        <v>1894</v>
      </c>
      <c r="B820" s="3">
        <v>7.0</v>
      </c>
      <c r="C820" s="19">
        <f>Raw_Data!T820</f>
        <v>36866.71597</v>
      </c>
      <c r="D820" s="3">
        <v>0.0</v>
      </c>
      <c r="E820" s="3">
        <v>7.0</v>
      </c>
      <c r="F820" s="4"/>
      <c r="G820" s="3">
        <v>0.0</v>
      </c>
      <c r="H820" s="3">
        <v>754.0</v>
      </c>
      <c r="I820" s="3" t="s">
        <v>110</v>
      </c>
      <c r="J820" s="3">
        <v>495.0</v>
      </c>
      <c r="K820" s="3">
        <v>0.0</v>
      </c>
      <c r="L820" s="3">
        <v>0.0</v>
      </c>
      <c r="M820" s="4" t="str">
        <f>Raw_Data!X820</f>
        <v>mwc</v>
      </c>
      <c r="N820" s="3">
        <v>30.0</v>
      </c>
      <c r="O820" s="3">
        <v>39.566</v>
      </c>
      <c r="P820" s="3">
        <v>54.799</v>
      </c>
      <c r="Q820" s="3" t="s">
        <v>1895</v>
      </c>
      <c r="R820" s="3" t="s">
        <v>164</v>
      </c>
      <c r="S820" s="3" t="s">
        <v>1896</v>
      </c>
      <c r="T820" s="4" t="str">
        <f t="shared" si="2"/>
        <v>Valid</v>
      </c>
      <c r="U820" s="4">
        <f t="shared" si="3"/>
        <v>1</v>
      </c>
      <c r="V820" s="4" t="str">
        <f t="shared" si="4"/>
        <v>Unique</v>
      </c>
      <c r="W820" s="4" t="str">
        <f t="shared" si="5"/>
        <v>Unknown</v>
      </c>
      <c r="X820" s="4" t="str">
        <f t="shared" ref="X820:Z820" si="824">IF(Q820="","Unknown",Q820)</f>
        <v>Balkanabat, Turkmenistan</v>
      </c>
      <c r="Y820" s="4" t="str">
        <f t="shared" si="824"/>
        <v>Asia</v>
      </c>
      <c r="Z820" s="4" t="str">
        <f t="shared" si="824"/>
        <v>Turkmenistan</v>
      </c>
      <c r="AA820" s="4" t="str">
        <f t="shared" si="7"/>
        <v>mwc</v>
      </c>
    </row>
    <row r="821">
      <c r="A821" s="3" t="s">
        <v>1897</v>
      </c>
      <c r="B821" s="3">
        <v>6.5</v>
      </c>
      <c r="C821" s="19">
        <f>Raw_Data!T821</f>
        <v>36855.75694</v>
      </c>
      <c r="D821" s="3">
        <v>0.0</v>
      </c>
      <c r="E821" s="3">
        <v>6.0</v>
      </c>
      <c r="F821" s="4"/>
      <c r="G821" s="3">
        <v>0.0</v>
      </c>
      <c r="H821" s="3">
        <v>650.0</v>
      </c>
      <c r="I821" s="3" t="s">
        <v>110</v>
      </c>
      <c r="J821" s="3">
        <v>268.0</v>
      </c>
      <c r="K821" s="3">
        <v>0.0</v>
      </c>
      <c r="L821" s="3">
        <v>0.0</v>
      </c>
      <c r="M821" s="4" t="str">
        <f>Raw_Data!X821</f>
        <v>mwc</v>
      </c>
      <c r="N821" s="3">
        <v>33.0</v>
      </c>
      <c r="O821" s="3">
        <v>40.167</v>
      </c>
      <c r="P821" s="3">
        <v>49.954</v>
      </c>
      <c r="Q821" s="3" t="s">
        <v>1899</v>
      </c>
      <c r="R821" s="3" t="s">
        <v>164</v>
      </c>
      <c r="S821" s="3" t="s">
        <v>1900</v>
      </c>
      <c r="T821" s="4" t="str">
        <f t="shared" si="2"/>
        <v>Valid</v>
      </c>
      <c r="U821" s="4">
        <f t="shared" si="3"/>
        <v>1</v>
      </c>
      <c r="V821" s="4" t="str">
        <f t="shared" si="4"/>
        <v>Unique</v>
      </c>
      <c r="W821" s="4" t="str">
        <f t="shared" si="5"/>
        <v>Unknown</v>
      </c>
      <c r="X821" s="4" t="str">
        <f t="shared" ref="X821:Z821" si="825">IF(Q821="","Unknown",Q821)</f>
        <v>Badamdar, Azerbaijan</v>
      </c>
      <c r="Y821" s="4" t="str">
        <f t="shared" si="825"/>
        <v>Asia</v>
      </c>
      <c r="Z821" s="4" t="str">
        <f t="shared" si="825"/>
        <v>Azerbaijan</v>
      </c>
      <c r="AA821" s="4" t="str">
        <f t="shared" si="7"/>
        <v>mwc</v>
      </c>
    </row>
    <row r="822">
      <c r="A822" s="3" t="s">
        <v>1901</v>
      </c>
      <c r="B822" s="3">
        <v>6.8</v>
      </c>
      <c r="C822" s="19">
        <f>Raw_Data!T822</f>
        <v>36855.75625</v>
      </c>
      <c r="D822" s="3">
        <v>0.0</v>
      </c>
      <c r="E822" s="3">
        <v>6.0</v>
      </c>
      <c r="F822" s="4"/>
      <c r="G822" s="3">
        <v>0.0</v>
      </c>
      <c r="H822" s="3">
        <v>711.0</v>
      </c>
      <c r="I822" s="3" t="s">
        <v>110</v>
      </c>
      <c r="J822" s="3">
        <v>446.0</v>
      </c>
      <c r="K822" s="3">
        <v>0.0</v>
      </c>
      <c r="L822" s="3">
        <v>0.0</v>
      </c>
      <c r="M822" s="4" t="str">
        <f>Raw_Data!X822</f>
        <v>mwc</v>
      </c>
      <c r="N822" s="3">
        <v>50.4</v>
      </c>
      <c r="O822" s="3">
        <v>40.245</v>
      </c>
      <c r="P822" s="3">
        <v>49.946</v>
      </c>
      <c r="Q822" s="3" t="s">
        <v>1903</v>
      </c>
      <c r="R822" s="3" t="s">
        <v>164</v>
      </c>
      <c r="S822" s="3" t="s">
        <v>1900</v>
      </c>
      <c r="T822" s="4" t="str">
        <f t="shared" si="2"/>
        <v>Valid</v>
      </c>
      <c r="U822" s="4">
        <f t="shared" si="3"/>
        <v>1</v>
      </c>
      <c r="V822" s="4" t="str">
        <f t="shared" si="4"/>
        <v>Unique</v>
      </c>
      <c r="W822" s="4" t="str">
        <f t="shared" si="5"/>
        <v>Unknown</v>
      </c>
      <c r="X822" s="4" t="str">
        <f t="shared" ref="X822:Z822" si="826">IF(Q822="","Unknown",Q822)</f>
        <v>Baku, Azerbaijan</v>
      </c>
      <c r="Y822" s="4" t="str">
        <f t="shared" si="826"/>
        <v>Asia</v>
      </c>
      <c r="Z822" s="4" t="str">
        <f t="shared" si="826"/>
        <v>Azerbaijan</v>
      </c>
      <c r="AA822" s="4" t="str">
        <f t="shared" si="7"/>
        <v>mwc</v>
      </c>
    </row>
    <row r="823">
      <c r="A823" s="3" t="s">
        <v>1904</v>
      </c>
      <c r="B823" s="3">
        <v>6.8</v>
      </c>
      <c r="C823" s="19">
        <f>Raw_Data!T823</f>
        <v>36848.2875</v>
      </c>
      <c r="D823" s="3">
        <v>0.0</v>
      </c>
      <c r="E823" s="3">
        <v>6.0</v>
      </c>
      <c r="F823" s="4"/>
      <c r="G823" s="3">
        <v>0.0</v>
      </c>
      <c r="H823" s="3">
        <v>711.0</v>
      </c>
      <c r="I823" s="3" t="s">
        <v>110</v>
      </c>
      <c r="J823" s="3">
        <v>402.0</v>
      </c>
      <c r="K823" s="3">
        <v>0.0</v>
      </c>
      <c r="L823" s="3">
        <v>0.0</v>
      </c>
      <c r="M823" s="4" t="str">
        <f>Raw_Data!X823</f>
        <v>mwb</v>
      </c>
      <c r="N823" s="3">
        <v>33.0</v>
      </c>
      <c r="O823" s="3">
        <v>-5.228</v>
      </c>
      <c r="P823" s="3">
        <v>151.771</v>
      </c>
      <c r="Q823" s="3" t="s">
        <v>633</v>
      </c>
      <c r="R823" s="4"/>
      <c r="S823" s="3" t="s">
        <v>168</v>
      </c>
      <c r="T823" s="4" t="str">
        <f t="shared" si="2"/>
        <v>Valid</v>
      </c>
      <c r="U823" s="4">
        <f t="shared" si="3"/>
        <v>1</v>
      </c>
      <c r="V823" s="4" t="str">
        <f t="shared" si="4"/>
        <v>Unique</v>
      </c>
      <c r="W823" s="4" t="str">
        <f t="shared" si="5"/>
        <v>Unknown</v>
      </c>
      <c r="X823" s="4" t="str">
        <f t="shared" ref="X823:Z823" si="827">IF(Q823="","Unknown",Q823)</f>
        <v>Kokopo, Papua New Guinea</v>
      </c>
      <c r="Y823" s="4" t="str">
        <f t="shared" si="827"/>
        <v>Unknown</v>
      </c>
      <c r="Z823" s="4" t="str">
        <f t="shared" si="827"/>
        <v>Papua New Guinea</v>
      </c>
      <c r="AA823" s="4" t="str">
        <f t="shared" si="7"/>
        <v>mwb</v>
      </c>
    </row>
    <row r="824">
      <c r="A824" s="3" t="s">
        <v>1906</v>
      </c>
      <c r="B824" s="3">
        <v>6.6</v>
      </c>
      <c r="C824" s="19">
        <f>Raw_Data!T824</f>
        <v>36848.08681</v>
      </c>
      <c r="D824" s="3">
        <v>0.0</v>
      </c>
      <c r="E824" s="3">
        <v>6.0</v>
      </c>
      <c r="F824" s="4"/>
      <c r="G824" s="3">
        <v>0.0</v>
      </c>
      <c r="H824" s="3">
        <v>670.0</v>
      </c>
      <c r="I824" s="3" t="s">
        <v>110</v>
      </c>
      <c r="J824" s="3">
        <v>267.0</v>
      </c>
      <c r="K824" s="3">
        <v>0.0</v>
      </c>
      <c r="L824" s="3">
        <v>0.0</v>
      </c>
      <c r="M824" s="4" t="str">
        <f>Raw_Data!X824</f>
        <v>mwc</v>
      </c>
      <c r="N824" s="3">
        <v>33.0</v>
      </c>
      <c r="O824" s="3">
        <v>-5.097</v>
      </c>
      <c r="P824" s="3">
        <v>153.181</v>
      </c>
      <c r="Q824" s="3" t="s">
        <v>633</v>
      </c>
      <c r="R824" s="4"/>
      <c r="S824" s="3" t="s">
        <v>168</v>
      </c>
      <c r="T824" s="4" t="str">
        <f t="shared" si="2"/>
        <v>Valid</v>
      </c>
      <c r="U824" s="4">
        <f t="shared" si="3"/>
        <v>1</v>
      </c>
      <c r="V824" s="4" t="str">
        <f t="shared" si="4"/>
        <v>Unique</v>
      </c>
      <c r="W824" s="4" t="str">
        <f t="shared" si="5"/>
        <v>Unknown</v>
      </c>
      <c r="X824" s="4" t="str">
        <f t="shared" ref="X824:Z824" si="828">IF(Q824="","Unknown",Q824)</f>
        <v>Kokopo, Papua New Guinea</v>
      </c>
      <c r="Y824" s="4" t="str">
        <f t="shared" si="828"/>
        <v>Unknown</v>
      </c>
      <c r="Z824" s="4" t="str">
        <f t="shared" si="828"/>
        <v>Papua New Guinea</v>
      </c>
      <c r="AA824" s="4" t="str">
        <f t="shared" si="7"/>
        <v>mwc</v>
      </c>
    </row>
    <row r="825">
      <c r="A825" s="3" t="s">
        <v>1908</v>
      </c>
      <c r="B825" s="3">
        <v>7.8</v>
      </c>
      <c r="C825" s="19">
        <f>Raw_Data!T825</f>
        <v>36847.87569</v>
      </c>
      <c r="D825" s="3">
        <v>0.0</v>
      </c>
      <c r="E825" s="3">
        <v>7.0</v>
      </c>
      <c r="F825" s="4"/>
      <c r="G825" s="3">
        <v>0.0</v>
      </c>
      <c r="H825" s="3">
        <v>936.0</v>
      </c>
      <c r="I825" s="3" t="s">
        <v>110</v>
      </c>
      <c r="J825" s="3">
        <v>346.0</v>
      </c>
      <c r="K825" s="3">
        <v>0.0</v>
      </c>
      <c r="L825" s="3">
        <v>0.0</v>
      </c>
      <c r="M825" s="4" t="str">
        <f>Raw_Data!X825</f>
        <v>mwc</v>
      </c>
      <c r="N825" s="3">
        <v>33.0</v>
      </c>
      <c r="O825" s="3">
        <v>-5.496</v>
      </c>
      <c r="P825" s="3">
        <v>151.781</v>
      </c>
      <c r="Q825" s="3" t="s">
        <v>633</v>
      </c>
      <c r="R825" s="4"/>
      <c r="S825" s="3" t="s">
        <v>168</v>
      </c>
      <c r="T825" s="4" t="str">
        <f t="shared" si="2"/>
        <v>Valid</v>
      </c>
      <c r="U825" s="4">
        <f t="shared" si="3"/>
        <v>1</v>
      </c>
      <c r="V825" s="4" t="str">
        <f t="shared" si="4"/>
        <v>Unique</v>
      </c>
      <c r="W825" s="4" t="str">
        <f t="shared" si="5"/>
        <v>Unknown</v>
      </c>
      <c r="X825" s="4" t="str">
        <f t="shared" ref="X825:Z825" si="829">IF(Q825="","Unknown",Q825)</f>
        <v>Kokopo, Papua New Guinea</v>
      </c>
      <c r="Y825" s="4" t="str">
        <f t="shared" si="829"/>
        <v>Unknown</v>
      </c>
      <c r="Z825" s="4" t="str">
        <f t="shared" si="829"/>
        <v>Papua New Guinea</v>
      </c>
      <c r="AA825" s="4" t="str">
        <f t="shared" si="7"/>
        <v>mwc</v>
      </c>
    </row>
    <row r="826">
      <c r="A826" s="3" t="s">
        <v>1910</v>
      </c>
      <c r="B826" s="3">
        <v>6.5</v>
      </c>
      <c r="C826" s="19">
        <f>Raw_Data!T826</f>
        <v>36846.32292</v>
      </c>
      <c r="D826" s="3">
        <v>0.0</v>
      </c>
      <c r="E826" s="3">
        <v>6.0</v>
      </c>
      <c r="F826" s="4"/>
      <c r="G826" s="3">
        <v>0.0</v>
      </c>
      <c r="H826" s="3">
        <v>650.0</v>
      </c>
      <c r="I826" s="3" t="s">
        <v>110</v>
      </c>
      <c r="J826" s="3">
        <v>71.0</v>
      </c>
      <c r="K826" s="3">
        <v>0.0</v>
      </c>
      <c r="L826" s="3">
        <v>0.0</v>
      </c>
      <c r="M826" s="4" t="str">
        <f>Raw_Data!X826</f>
        <v>mb</v>
      </c>
      <c r="N826" s="3">
        <v>33.0</v>
      </c>
      <c r="O826" s="3">
        <v>-4.827</v>
      </c>
      <c r="P826" s="3">
        <v>153.226</v>
      </c>
      <c r="Q826" s="3" t="s">
        <v>633</v>
      </c>
      <c r="R826" s="4"/>
      <c r="S826" s="3" t="s">
        <v>168</v>
      </c>
      <c r="T826" s="4" t="str">
        <f t="shared" si="2"/>
        <v>Valid</v>
      </c>
      <c r="U826" s="4">
        <f t="shared" si="3"/>
        <v>1</v>
      </c>
      <c r="V826" s="4" t="str">
        <f t="shared" si="4"/>
        <v>Unique</v>
      </c>
      <c r="W826" s="4" t="str">
        <f t="shared" si="5"/>
        <v>Unknown</v>
      </c>
      <c r="X826" s="4" t="str">
        <f t="shared" ref="X826:Z826" si="830">IF(Q826="","Unknown",Q826)</f>
        <v>Kokopo, Papua New Guinea</v>
      </c>
      <c r="Y826" s="4" t="str">
        <f t="shared" si="830"/>
        <v>Unknown</v>
      </c>
      <c r="Z826" s="4" t="str">
        <f t="shared" si="830"/>
        <v>Papua New Guinea</v>
      </c>
      <c r="AA826" s="4" t="str">
        <f t="shared" si="7"/>
        <v>mb</v>
      </c>
    </row>
    <row r="827">
      <c r="A827" s="3" t="s">
        <v>1912</v>
      </c>
      <c r="B827" s="3">
        <v>7.8</v>
      </c>
      <c r="C827" s="19">
        <f>Raw_Data!T827</f>
        <v>36846.32083</v>
      </c>
      <c r="D827" s="3">
        <v>0.0</v>
      </c>
      <c r="E827" s="3">
        <v>7.0</v>
      </c>
      <c r="F827" s="4"/>
      <c r="G827" s="3">
        <v>0.0</v>
      </c>
      <c r="H827" s="3">
        <v>936.0</v>
      </c>
      <c r="I827" s="3" t="s">
        <v>110</v>
      </c>
      <c r="J827" s="3">
        <v>294.0</v>
      </c>
      <c r="K827" s="3">
        <v>0.0</v>
      </c>
      <c r="L827" s="3">
        <v>0.0</v>
      </c>
      <c r="M827" s="4" t="str">
        <f>Raw_Data!X827</f>
        <v>mwc</v>
      </c>
      <c r="N827" s="3">
        <v>30.0</v>
      </c>
      <c r="O827" s="3">
        <v>-5.233</v>
      </c>
      <c r="P827" s="3">
        <v>153.102</v>
      </c>
      <c r="Q827" s="3" t="s">
        <v>633</v>
      </c>
      <c r="R827" s="4"/>
      <c r="S827" s="4"/>
      <c r="T827" s="4" t="str">
        <f t="shared" si="2"/>
        <v>Valid</v>
      </c>
      <c r="U827" s="4">
        <f t="shared" si="3"/>
        <v>1</v>
      </c>
      <c r="V827" s="4" t="str">
        <f t="shared" si="4"/>
        <v>Unique</v>
      </c>
      <c r="W827" s="4" t="str">
        <f t="shared" si="5"/>
        <v>Unknown</v>
      </c>
      <c r="X827" s="4" t="str">
        <f t="shared" ref="X827:Z827" si="831">IF(Q827="","Unknown",Q827)</f>
        <v>Kokopo, Papua New Guinea</v>
      </c>
      <c r="Y827" s="4" t="str">
        <f t="shared" si="831"/>
        <v>Unknown</v>
      </c>
      <c r="Z827" s="4" t="str">
        <f t="shared" si="831"/>
        <v>Unknown</v>
      </c>
      <c r="AA827" s="4" t="str">
        <f t="shared" si="7"/>
        <v>mwc</v>
      </c>
    </row>
    <row r="828">
      <c r="A828" s="3" t="s">
        <v>1914</v>
      </c>
      <c r="B828" s="3">
        <v>8.0</v>
      </c>
      <c r="C828" s="19">
        <f>Raw_Data!T828</f>
        <v>36846.20417</v>
      </c>
      <c r="D828" s="3">
        <v>0.0</v>
      </c>
      <c r="E828" s="3">
        <v>7.0</v>
      </c>
      <c r="F828" s="4"/>
      <c r="G828" s="3">
        <v>0.0</v>
      </c>
      <c r="H828" s="3">
        <v>985.0</v>
      </c>
      <c r="I828" s="3" t="s">
        <v>110</v>
      </c>
      <c r="J828" s="3">
        <v>254.0</v>
      </c>
      <c r="K828" s="3">
        <v>0.0</v>
      </c>
      <c r="L828" s="3">
        <v>0.0</v>
      </c>
      <c r="M828" s="4" t="str">
        <f>Raw_Data!X828</f>
        <v>mwc</v>
      </c>
      <c r="N828" s="3">
        <v>33.0</v>
      </c>
      <c r="O828" s="3">
        <v>-3.98</v>
      </c>
      <c r="P828" s="3">
        <v>152.169</v>
      </c>
      <c r="Q828" s="3" t="s">
        <v>781</v>
      </c>
      <c r="R828" s="4"/>
      <c r="S828" s="3" t="s">
        <v>168</v>
      </c>
      <c r="T828" s="4" t="str">
        <f t="shared" si="2"/>
        <v>Valid</v>
      </c>
      <c r="U828" s="4">
        <f t="shared" si="3"/>
        <v>1</v>
      </c>
      <c r="V828" s="4" t="str">
        <f t="shared" si="4"/>
        <v>Unique</v>
      </c>
      <c r="W828" s="4" t="str">
        <f t="shared" si="5"/>
        <v>Unknown</v>
      </c>
      <c r="X828" s="4" t="str">
        <f t="shared" ref="X828:Z828" si="832">IF(Q828="","Unknown",Q828)</f>
        <v>Rabaul, Papua New Guinea</v>
      </c>
      <c r="Y828" s="4" t="str">
        <f t="shared" si="832"/>
        <v>Unknown</v>
      </c>
      <c r="Z828" s="4" t="str">
        <f t="shared" si="832"/>
        <v>Papua New Guinea</v>
      </c>
      <c r="AA828" s="4" t="str">
        <f t="shared" si="7"/>
        <v>mwc</v>
      </c>
    </row>
    <row r="829">
      <c r="A829" s="3" t="s">
        <v>1916</v>
      </c>
      <c r="B829" s="3">
        <v>6.5</v>
      </c>
      <c r="C829" s="19">
        <f>Raw_Data!T829</f>
        <v>36838.29097</v>
      </c>
      <c r="D829" s="3">
        <v>0.0</v>
      </c>
      <c r="E829" s="3">
        <v>7.0</v>
      </c>
      <c r="F829" s="4"/>
      <c r="G829" s="3">
        <v>0.0</v>
      </c>
      <c r="H829" s="3">
        <v>650.0</v>
      </c>
      <c r="I829" s="3" t="s">
        <v>110</v>
      </c>
      <c r="J829" s="3">
        <v>462.0</v>
      </c>
      <c r="K829" s="3">
        <v>0.0</v>
      </c>
      <c r="L829" s="3">
        <v>0.0</v>
      </c>
      <c r="M829" s="4" t="str">
        <f>Raw_Data!X829</f>
        <v>mwc</v>
      </c>
      <c r="N829" s="3">
        <v>17.0</v>
      </c>
      <c r="O829" s="3">
        <v>7.042</v>
      </c>
      <c r="P829" s="3">
        <v>-77.829</v>
      </c>
      <c r="Q829" s="3" t="s">
        <v>1917</v>
      </c>
      <c r="R829" s="4"/>
      <c r="S829" s="3" t="s">
        <v>140</v>
      </c>
      <c r="T829" s="4" t="str">
        <f t="shared" si="2"/>
        <v>Valid</v>
      </c>
      <c r="U829" s="4">
        <f t="shared" si="3"/>
        <v>1</v>
      </c>
      <c r="V829" s="4" t="str">
        <f t="shared" si="4"/>
        <v>Unique</v>
      </c>
      <c r="W829" s="4" t="str">
        <f t="shared" si="5"/>
        <v>Unknown</v>
      </c>
      <c r="X829" s="4" t="str">
        <f t="shared" ref="X829:Z829" si="833">IF(Q829="","Unknown",Q829)</f>
        <v>Juradó, Colombia</v>
      </c>
      <c r="Y829" s="4" t="str">
        <f t="shared" si="833"/>
        <v>Unknown</v>
      </c>
      <c r="Z829" s="4" t="str">
        <f t="shared" si="833"/>
        <v>Colombia</v>
      </c>
      <c r="AA829" s="4" t="str">
        <f t="shared" si="7"/>
        <v>mwc</v>
      </c>
    </row>
    <row r="830">
      <c r="A830" s="3" t="s">
        <v>1918</v>
      </c>
      <c r="B830" s="3">
        <v>7.0</v>
      </c>
      <c r="C830" s="19">
        <f>Raw_Data!T830</f>
        <v>36828.35903</v>
      </c>
      <c r="D830" s="3">
        <v>0.0</v>
      </c>
      <c r="E830" s="3">
        <v>7.0</v>
      </c>
      <c r="F830" s="4"/>
      <c r="G830" s="3">
        <v>0.0</v>
      </c>
      <c r="H830" s="3">
        <v>754.0</v>
      </c>
      <c r="I830" s="3" t="s">
        <v>110</v>
      </c>
      <c r="J830" s="3">
        <v>60.0</v>
      </c>
      <c r="K830" s="3">
        <v>0.0</v>
      </c>
      <c r="L830" s="3">
        <v>0.0</v>
      </c>
      <c r="M830" s="4" t="str">
        <f>Raw_Data!X830</f>
        <v>mwc</v>
      </c>
      <c r="N830" s="3">
        <v>50.0</v>
      </c>
      <c r="O830" s="3">
        <v>-4.766</v>
      </c>
      <c r="P830" s="3">
        <v>153.945</v>
      </c>
      <c r="Q830" s="3" t="s">
        <v>633</v>
      </c>
      <c r="R830" s="4"/>
      <c r="S830" s="3" t="s">
        <v>168</v>
      </c>
      <c r="T830" s="4" t="str">
        <f t="shared" si="2"/>
        <v>Valid</v>
      </c>
      <c r="U830" s="4">
        <f t="shared" si="3"/>
        <v>1</v>
      </c>
      <c r="V830" s="4" t="str">
        <f t="shared" si="4"/>
        <v>Unique</v>
      </c>
      <c r="W830" s="4" t="str">
        <f t="shared" si="5"/>
        <v>Unknown</v>
      </c>
      <c r="X830" s="4" t="str">
        <f t="shared" ref="X830:Z830" si="834">IF(Q830="","Unknown",Q830)</f>
        <v>Kokopo, Papua New Guinea</v>
      </c>
      <c r="Y830" s="4" t="str">
        <f t="shared" si="834"/>
        <v>Unknown</v>
      </c>
      <c r="Z830" s="4" t="str">
        <f t="shared" si="834"/>
        <v>Papua New Guinea</v>
      </c>
      <c r="AA830" s="4" t="str">
        <f t="shared" si="7"/>
        <v>mwc</v>
      </c>
    </row>
    <row r="831">
      <c r="A831" s="3" t="s">
        <v>1920</v>
      </c>
      <c r="B831" s="3">
        <v>6.8</v>
      </c>
      <c r="C831" s="19">
        <f>Raw_Data!T831</f>
        <v>36824.39722</v>
      </c>
      <c r="D831" s="3">
        <v>0.0</v>
      </c>
      <c r="E831" s="3">
        <v>6.0</v>
      </c>
      <c r="F831" s="4"/>
      <c r="G831" s="3">
        <v>0.0</v>
      </c>
      <c r="H831" s="3">
        <v>711.0</v>
      </c>
      <c r="I831" s="3" t="s">
        <v>110</v>
      </c>
      <c r="J831" s="3">
        <v>415.0</v>
      </c>
      <c r="K831" s="3">
        <v>0.0</v>
      </c>
      <c r="L831" s="3">
        <v>0.0</v>
      </c>
      <c r="M831" s="4" t="str">
        <f>Raw_Data!X831</f>
        <v>mwc</v>
      </c>
      <c r="N831" s="3">
        <v>38.0</v>
      </c>
      <c r="O831" s="3">
        <v>-6.549</v>
      </c>
      <c r="P831" s="3">
        <v>105.63</v>
      </c>
      <c r="Q831" s="3" t="s">
        <v>294</v>
      </c>
      <c r="R831" s="4"/>
      <c r="S831" s="3" t="s">
        <v>153</v>
      </c>
      <c r="T831" s="4" t="str">
        <f t="shared" si="2"/>
        <v>Valid</v>
      </c>
      <c r="U831" s="4">
        <f t="shared" si="3"/>
        <v>1</v>
      </c>
      <c r="V831" s="4" t="str">
        <f t="shared" si="4"/>
        <v>Unique</v>
      </c>
      <c r="W831" s="4" t="str">
        <f t="shared" si="5"/>
        <v>Unknown</v>
      </c>
      <c r="X831" s="4" t="str">
        <f t="shared" ref="X831:Z831" si="835">IF(Q831="","Unknown",Q831)</f>
        <v>Labuan, Indonesia</v>
      </c>
      <c r="Y831" s="4" t="str">
        <f t="shared" si="835"/>
        <v>Unknown</v>
      </c>
      <c r="Z831" s="4" t="str">
        <f t="shared" si="835"/>
        <v>Indonesia</v>
      </c>
      <c r="AA831" s="4" t="str">
        <f t="shared" si="7"/>
        <v>mwc</v>
      </c>
    </row>
    <row r="832">
      <c r="A832" s="3" t="s">
        <v>1922</v>
      </c>
      <c r="B832" s="3">
        <v>6.7</v>
      </c>
      <c r="C832" s="19">
        <f>Raw_Data!T832</f>
        <v>36805.1875</v>
      </c>
      <c r="D832" s="3">
        <v>0.0</v>
      </c>
      <c r="E832" s="3">
        <v>8.0</v>
      </c>
      <c r="F832" s="4"/>
      <c r="G832" s="3">
        <v>0.0</v>
      </c>
      <c r="H832" s="3">
        <v>691.0</v>
      </c>
      <c r="I832" s="3" t="s">
        <v>110</v>
      </c>
      <c r="J832" s="3">
        <v>390.0</v>
      </c>
      <c r="K832" s="3">
        <v>0.0</v>
      </c>
      <c r="L832" s="3">
        <v>0.0</v>
      </c>
      <c r="M832" s="4" t="str">
        <f>Raw_Data!X832</f>
        <v>mwc</v>
      </c>
      <c r="N832" s="3">
        <v>10.0</v>
      </c>
      <c r="O832" s="3">
        <v>35.456</v>
      </c>
      <c r="P832" s="3">
        <v>133.134</v>
      </c>
      <c r="Q832" s="3" t="s">
        <v>1923</v>
      </c>
      <c r="R832" s="3" t="s">
        <v>164</v>
      </c>
      <c r="S832" s="3" t="s">
        <v>371</v>
      </c>
      <c r="T832" s="4" t="str">
        <f t="shared" si="2"/>
        <v>Valid</v>
      </c>
      <c r="U832" s="4">
        <f t="shared" si="3"/>
        <v>1</v>
      </c>
      <c r="V832" s="4" t="str">
        <f t="shared" si="4"/>
        <v>Unique</v>
      </c>
      <c r="W832" s="4" t="str">
        <f t="shared" si="5"/>
        <v>Unknown</v>
      </c>
      <c r="X832" s="4" t="str">
        <f t="shared" ref="X832:Z832" si="836">IF(Q832="","Unknown",Q832)</f>
        <v>Matsue, Japan</v>
      </c>
      <c r="Y832" s="4" t="str">
        <f t="shared" si="836"/>
        <v>Asia</v>
      </c>
      <c r="Z832" s="4" t="str">
        <f t="shared" si="836"/>
        <v>Japan</v>
      </c>
      <c r="AA832" s="4" t="str">
        <f t="shared" si="7"/>
        <v>mwc</v>
      </c>
    </row>
    <row r="833">
      <c r="A833" s="3" t="s">
        <v>1924</v>
      </c>
      <c r="B833" s="3">
        <v>7.0</v>
      </c>
      <c r="C833" s="19">
        <f>Raw_Data!T833</f>
        <v>36803.70694</v>
      </c>
      <c r="D833" s="3">
        <v>0.0</v>
      </c>
      <c r="E833" s="3">
        <v>7.0</v>
      </c>
      <c r="F833" s="4"/>
      <c r="G833" s="3">
        <v>0.0</v>
      </c>
      <c r="H833" s="3">
        <v>754.0</v>
      </c>
      <c r="I833" s="3" t="s">
        <v>110</v>
      </c>
      <c r="J833" s="3">
        <v>357.0</v>
      </c>
      <c r="K833" s="3">
        <v>0.0</v>
      </c>
      <c r="L833" s="3">
        <v>0.0</v>
      </c>
      <c r="M833" s="4" t="str">
        <f>Raw_Data!X833</f>
        <v>mwc</v>
      </c>
      <c r="N833" s="3">
        <v>23.0</v>
      </c>
      <c r="O833" s="3">
        <v>-15.421</v>
      </c>
      <c r="P833" s="3">
        <v>166.91</v>
      </c>
      <c r="Q833" s="3" t="s">
        <v>1517</v>
      </c>
      <c r="R833" s="4"/>
      <c r="S833" s="3" t="s">
        <v>113</v>
      </c>
      <c r="T833" s="4" t="str">
        <f t="shared" si="2"/>
        <v>Valid</v>
      </c>
      <c r="U833" s="4">
        <f t="shared" si="3"/>
        <v>1</v>
      </c>
      <c r="V833" s="4" t="str">
        <f t="shared" si="4"/>
        <v>Unique</v>
      </c>
      <c r="W833" s="4" t="str">
        <f t="shared" si="5"/>
        <v>Unknown</v>
      </c>
      <c r="X833" s="4" t="str">
        <f t="shared" ref="X833:Z833" si="837">IF(Q833="","Unknown",Q833)</f>
        <v>Luganville, Vanuatu</v>
      </c>
      <c r="Y833" s="4" t="str">
        <f t="shared" si="837"/>
        <v>Unknown</v>
      </c>
      <c r="Z833" s="4" t="str">
        <f t="shared" si="837"/>
        <v>Vanuatu</v>
      </c>
      <c r="AA833" s="4" t="str">
        <f t="shared" si="7"/>
        <v>mwc</v>
      </c>
    </row>
    <row r="834">
      <c r="A834" s="3" t="s">
        <v>1925</v>
      </c>
      <c r="B834" s="3">
        <v>6.5</v>
      </c>
      <c r="C834" s="19">
        <f>Raw_Data!T834</f>
        <v>36801.10069</v>
      </c>
      <c r="D834" s="3">
        <v>0.0</v>
      </c>
      <c r="E834" s="3">
        <v>6.0</v>
      </c>
      <c r="F834" s="4"/>
      <c r="G834" s="3">
        <v>0.0</v>
      </c>
      <c r="H834" s="3">
        <v>650.0</v>
      </c>
      <c r="I834" s="3" t="s">
        <v>110</v>
      </c>
      <c r="J834" s="3">
        <v>415.0</v>
      </c>
      <c r="K834" s="3">
        <v>0.0</v>
      </c>
      <c r="L834" s="3">
        <v>0.0</v>
      </c>
      <c r="M834" s="4" t="str">
        <f>Raw_Data!X834</f>
        <v>mwb</v>
      </c>
      <c r="N834" s="3">
        <v>34.0</v>
      </c>
      <c r="O834" s="3">
        <v>-7.977</v>
      </c>
      <c r="P834" s="3">
        <v>30.709</v>
      </c>
      <c r="Q834" s="3" t="s">
        <v>1926</v>
      </c>
      <c r="R834" s="3" t="s">
        <v>715</v>
      </c>
      <c r="S834" s="3" t="s">
        <v>1605</v>
      </c>
      <c r="T834" s="4" t="str">
        <f t="shared" si="2"/>
        <v>Valid</v>
      </c>
      <c r="U834" s="4">
        <f t="shared" si="3"/>
        <v>1</v>
      </c>
      <c r="V834" s="4" t="str">
        <f t="shared" si="4"/>
        <v>Unique</v>
      </c>
      <c r="W834" s="4" t="str">
        <f t="shared" si="5"/>
        <v>Unknown</v>
      </c>
      <c r="X834" s="4" t="str">
        <f t="shared" ref="X834:Z834" si="838">IF(Q834="","Unknown",Q834)</f>
        <v>Nkove, Tanzania</v>
      </c>
      <c r="Y834" s="4" t="str">
        <f t="shared" si="838"/>
        <v>Africa</v>
      </c>
      <c r="Z834" s="4" t="str">
        <f t="shared" si="838"/>
        <v>Tanzania</v>
      </c>
      <c r="AA834" s="4" t="str">
        <f t="shared" si="7"/>
        <v>mwb</v>
      </c>
    </row>
    <row r="835">
      <c r="A835" s="3" t="s">
        <v>1927</v>
      </c>
      <c r="B835" s="3">
        <v>6.8</v>
      </c>
      <c r="C835" s="19">
        <f>Raw_Data!T835</f>
        <v>36766.62847</v>
      </c>
      <c r="D835" s="3">
        <v>0.0</v>
      </c>
      <c r="E835" s="3">
        <v>6.0</v>
      </c>
      <c r="F835" s="4"/>
      <c r="G835" s="3">
        <v>0.0</v>
      </c>
      <c r="H835" s="3">
        <v>711.0</v>
      </c>
      <c r="I835" s="3" t="s">
        <v>110</v>
      </c>
      <c r="J835" s="3">
        <v>336.0</v>
      </c>
      <c r="K835" s="3">
        <v>0.0</v>
      </c>
      <c r="L835" s="3">
        <v>0.0</v>
      </c>
      <c r="M835" s="4" t="str">
        <f>Raw_Data!X835</f>
        <v>mwc</v>
      </c>
      <c r="N835" s="3">
        <v>16.0</v>
      </c>
      <c r="O835" s="3">
        <v>-4.11</v>
      </c>
      <c r="P835" s="3">
        <v>127.394</v>
      </c>
      <c r="Q835" s="3" t="s">
        <v>1594</v>
      </c>
      <c r="R835" s="4"/>
      <c r="S835" s="3" t="s">
        <v>153</v>
      </c>
      <c r="T835" s="4" t="str">
        <f t="shared" si="2"/>
        <v>Valid</v>
      </c>
      <c r="U835" s="4">
        <f t="shared" si="3"/>
        <v>1</v>
      </c>
      <c r="V835" s="4" t="str">
        <f t="shared" si="4"/>
        <v>Unique</v>
      </c>
      <c r="W835" s="4" t="str">
        <f t="shared" si="5"/>
        <v>Unknown</v>
      </c>
      <c r="X835" s="4" t="str">
        <f t="shared" ref="X835:Z835" si="839">IF(Q835="","Unknown",Q835)</f>
        <v>Ambon, Indonesia</v>
      </c>
      <c r="Y835" s="4" t="str">
        <f t="shared" si="839"/>
        <v>Unknown</v>
      </c>
      <c r="Z835" s="4" t="str">
        <f t="shared" si="839"/>
        <v>Indonesia</v>
      </c>
      <c r="AA835" s="4" t="str">
        <f t="shared" si="7"/>
        <v>mwc</v>
      </c>
    </row>
    <row r="836">
      <c r="A836" s="3" t="s">
        <v>1929</v>
      </c>
      <c r="B836" s="3">
        <v>6.5</v>
      </c>
      <c r="C836" s="19">
        <f>Raw_Data!T836</f>
        <v>36747.48681</v>
      </c>
      <c r="D836" s="3">
        <v>0.0</v>
      </c>
      <c r="E836" s="3">
        <v>6.0</v>
      </c>
      <c r="F836" s="4"/>
      <c r="G836" s="3">
        <v>0.0</v>
      </c>
      <c r="H836" s="3">
        <v>650.0</v>
      </c>
      <c r="I836" s="3" t="s">
        <v>110</v>
      </c>
      <c r="J836" s="3">
        <v>481.0</v>
      </c>
      <c r="K836" s="3">
        <v>0.0</v>
      </c>
      <c r="L836" s="3">
        <v>0.0</v>
      </c>
      <c r="M836" s="4" t="str">
        <f>Raw_Data!X836</f>
        <v>mwc</v>
      </c>
      <c r="N836" s="3">
        <v>45.8</v>
      </c>
      <c r="O836" s="3">
        <v>18.198</v>
      </c>
      <c r="P836" s="3">
        <v>-102.48</v>
      </c>
      <c r="Q836" s="3" t="s">
        <v>1192</v>
      </c>
      <c r="R836" s="3" t="s">
        <v>233</v>
      </c>
      <c r="S836" s="3" t="s">
        <v>234</v>
      </c>
      <c r="T836" s="4" t="str">
        <f t="shared" si="2"/>
        <v>Valid</v>
      </c>
      <c r="U836" s="4">
        <f t="shared" si="3"/>
        <v>1</v>
      </c>
      <c r="V836" s="4" t="str">
        <f t="shared" si="4"/>
        <v>Unique</v>
      </c>
      <c r="W836" s="4" t="str">
        <f t="shared" si="5"/>
        <v>Unknown</v>
      </c>
      <c r="X836" s="4" t="str">
        <f t="shared" ref="X836:Z836" si="840">IF(Q836="","Unknown",Q836)</f>
        <v>El Habillal, Mexico</v>
      </c>
      <c r="Y836" s="4" t="str">
        <f t="shared" si="840"/>
        <v>North America</v>
      </c>
      <c r="Z836" s="4" t="str">
        <f t="shared" si="840"/>
        <v>Mexico</v>
      </c>
      <c r="AA836" s="4" t="str">
        <f t="shared" si="7"/>
        <v>mwc</v>
      </c>
    </row>
    <row r="837">
      <c r="A837" s="3" t="s">
        <v>1930</v>
      </c>
      <c r="B837" s="3">
        <v>6.8</v>
      </c>
      <c r="C837" s="19">
        <f>Raw_Data!T837</f>
        <v>36742.88403</v>
      </c>
      <c r="D837" s="3">
        <v>0.0</v>
      </c>
      <c r="E837" s="3">
        <v>7.0</v>
      </c>
      <c r="F837" s="4"/>
      <c r="G837" s="3">
        <v>0.0</v>
      </c>
      <c r="H837" s="3">
        <v>711.0</v>
      </c>
      <c r="I837" s="3" t="s">
        <v>110</v>
      </c>
      <c r="J837" s="3">
        <v>593.0</v>
      </c>
      <c r="K837" s="3">
        <v>0.0</v>
      </c>
      <c r="L837" s="3">
        <v>0.0</v>
      </c>
      <c r="M837" s="4" t="str">
        <f>Raw_Data!X837</f>
        <v>mwc</v>
      </c>
      <c r="N837" s="3">
        <v>10.0</v>
      </c>
      <c r="O837" s="3">
        <v>48.786</v>
      </c>
      <c r="P837" s="3">
        <v>142.246</v>
      </c>
      <c r="Q837" s="3" t="s">
        <v>1931</v>
      </c>
      <c r="R837" s="3" t="s">
        <v>164</v>
      </c>
      <c r="S837" s="3" t="s">
        <v>464</v>
      </c>
      <c r="T837" s="4" t="str">
        <f t="shared" si="2"/>
        <v>Valid</v>
      </c>
      <c r="U837" s="4">
        <f t="shared" si="3"/>
        <v>1</v>
      </c>
      <c r="V837" s="4" t="str">
        <f t="shared" si="4"/>
        <v>Unique</v>
      </c>
      <c r="W837" s="4" t="str">
        <f t="shared" si="5"/>
        <v>Unknown</v>
      </c>
      <c r="X837" s="4" t="str">
        <f t="shared" ref="X837:Z837" si="841">IF(Q837="","Unknown",Q837)</f>
        <v>Uglegorsk, Russia</v>
      </c>
      <c r="Y837" s="4" t="str">
        <f t="shared" si="841"/>
        <v>Asia</v>
      </c>
      <c r="Z837" s="4" t="str">
        <f t="shared" si="841"/>
        <v>Russia</v>
      </c>
      <c r="AA837" s="4" t="str">
        <f t="shared" si="7"/>
        <v>mwc</v>
      </c>
    </row>
    <row r="838">
      <c r="A838" s="3" t="s">
        <v>1932</v>
      </c>
      <c r="B838" s="3">
        <v>6.6</v>
      </c>
      <c r="C838" s="19">
        <f>Raw_Data!T838</f>
        <v>36741.04792</v>
      </c>
      <c r="D838" s="3">
        <v>0.0</v>
      </c>
      <c r="E838" s="3">
        <v>6.0</v>
      </c>
      <c r="F838" s="4"/>
      <c r="G838" s="3">
        <v>0.0</v>
      </c>
      <c r="H838" s="3">
        <v>670.0</v>
      </c>
      <c r="I838" s="3" t="s">
        <v>110</v>
      </c>
      <c r="J838" s="3">
        <v>218.0</v>
      </c>
      <c r="K838" s="3">
        <v>0.0</v>
      </c>
      <c r="L838" s="3">
        <v>0.0</v>
      </c>
      <c r="M838" s="4" t="str">
        <f>Raw_Data!X838</f>
        <v>mwc</v>
      </c>
      <c r="N838" s="3">
        <v>33.0</v>
      </c>
      <c r="O838" s="3">
        <v>-12.037</v>
      </c>
      <c r="P838" s="3">
        <v>166.448</v>
      </c>
      <c r="Q838" s="3" t="s">
        <v>450</v>
      </c>
      <c r="R838" s="4"/>
      <c r="S838" s="4"/>
      <c r="T838" s="4" t="str">
        <f t="shared" si="2"/>
        <v>Valid</v>
      </c>
      <c r="U838" s="4">
        <f t="shared" si="3"/>
        <v>1</v>
      </c>
      <c r="V838" s="4" t="str">
        <f t="shared" si="4"/>
        <v>Unique</v>
      </c>
      <c r="W838" s="4" t="str">
        <f t="shared" si="5"/>
        <v>Unknown</v>
      </c>
      <c r="X838" s="4" t="str">
        <f t="shared" ref="X838:Z838" si="842">IF(Q838="","Unknown",Q838)</f>
        <v>Lata, Solomon Islands</v>
      </c>
      <c r="Y838" s="4" t="str">
        <f t="shared" si="842"/>
        <v>Unknown</v>
      </c>
      <c r="Z838" s="4" t="str">
        <f t="shared" si="842"/>
        <v>Unknown</v>
      </c>
      <c r="AA838" s="4" t="str">
        <f t="shared" si="7"/>
        <v>mwc</v>
      </c>
    </row>
    <row r="839">
      <c r="A839" s="3" t="s">
        <v>1933</v>
      </c>
      <c r="B839" s="3">
        <v>6.5</v>
      </c>
      <c r="C839" s="19">
        <f>Raw_Data!T839</f>
        <v>36737.51736</v>
      </c>
      <c r="D839" s="3">
        <v>0.0</v>
      </c>
      <c r="E839" s="3">
        <v>7.0</v>
      </c>
      <c r="F839" s="4"/>
      <c r="G839" s="3">
        <v>0.0</v>
      </c>
      <c r="H839" s="3">
        <v>650.0</v>
      </c>
      <c r="I839" s="3" t="s">
        <v>110</v>
      </c>
      <c r="J839" s="3">
        <v>428.0</v>
      </c>
      <c r="K839" s="3">
        <v>0.0</v>
      </c>
      <c r="L839" s="3">
        <v>0.0</v>
      </c>
      <c r="M839" s="4" t="str">
        <f>Raw_Data!X839</f>
        <v>mwc</v>
      </c>
      <c r="N839" s="3">
        <v>10.0</v>
      </c>
      <c r="O839" s="3">
        <v>33.901</v>
      </c>
      <c r="P839" s="3">
        <v>139.376</v>
      </c>
      <c r="Q839" s="3" t="s">
        <v>1935</v>
      </c>
      <c r="R839" s="4"/>
      <c r="S839" s="3" t="s">
        <v>371</v>
      </c>
      <c r="T839" s="4" t="str">
        <f t="shared" si="2"/>
        <v>Valid</v>
      </c>
      <c r="U839" s="4">
        <f t="shared" si="3"/>
        <v>1</v>
      </c>
      <c r="V839" s="4" t="str">
        <f t="shared" si="4"/>
        <v>Unique</v>
      </c>
      <c r="W839" s="4" t="str">
        <f t="shared" si="5"/>
        <v>Unknown</v>
      </c>
      <c r="X839" s="4" t="str">
        <f t="shared" ref="X839:Z839" si="843">IF(Q839="","Unknown",Q839)</f>
        <v>Shimoda, Japan</v>
      </c>
      <c r="Y839" s="4" t="str">
        <f t="shared" si="843"/>
        <v>Unknown</v>
      </c>
      <c r="Z839" s="4" t="str">
        <f t="shared" si="843"/>
        <v>Japan</v>
      </c>
      <c r="AA839" s="4" t="str">
        <f t="shared" si="7"/>
        <v>mwc</v>
      </c>
    </row>
    <row r="840">
      <c r="A840" s="3" t="s">
        <v>1936</v>
      </c>
      <c r="B840" s="3">
        <v>6.6</v>
      </c>
      <c r="C840" s="19">
        <f>Raw_Data!T840</f>
        <v>36723.16458</v>
      </c>
      <c r="D840" s="3">
        <v>0.0</v>
      </c>
      <c r="E840" s="3">
        <v>5.0</v>
      </c>
      <c r="F840" s="4"/>
      <c r="G840" s="3">
        <v>0.0</v>
      </c>
      <c r="H840" s="3">
        <v>670.0</v>
      </c>
      <c r="I840" s="3" t="s">
        <v>110</v>
      </c>
      <c r="J840" s="3">
        <v>367.0</v>
      </c>
      <c r="K840" s="3">
        <v>0.0</v>
      </c>
      <c r="L840" s="3">
        <v>0.0</v>
      </c>
      <c r="M840" s="4" t="str">
        <f>Raw_Data!X840</f>
        <v>mwc</v>
      </c>
      <c r="N840" s="3">
        <v>10.0</v>
      </c>
      <c r="O840" s="3">
        <v>-7.747</v>
      </c>
      <c r="P840" s="3">
        <v>150.917</v>
      </c>
      <c r="Q840" s="3" t="s">
        <v>774</v>
      </c>
      <c r="R840" s="4"/>
      <c r="S840" s="4"/>
      <c r="T840" s="4" t="str">
        <f t="shared" si="2"/>
        <v>Valid</v>
      </c>
      <c r="U840" s="4">
        <f t="shared" si="3"/>
        <v>1</v>
      </c>
      <c r="V840" s="4" t="str">
        <f t="shared" si="4"/>
        <v>Unique</v>
      </c>
      <c r="W840" s="4" t="str">
        <f t="shared" si="5"/>
        <v>Unknown</v>
      </c>
      <c r="X840" s="4" t="str">
        <f t="shared" ref="X840:Z840" si="844">IF(Q840="","Unknown",Q840)</f>
        <v>Kandrian, Papua New Guinea</v>
      </c>
      <c r="Y840" s="4" t="str">
        <f t="shared" si="844"/>
        <v>Unknown</v>
      </c>
      <c r="Z840" s="4" t="str">
        <f t="shared" si="844"/>
        <v>Unknown</v>
      </c>
      <c r="AA840" s="4" t="str">
        <f t="shared" si="7"/>
        <v>mwc</v>
      </c>
    </row>
    <row r="841">
      <c r="A841" s="3" t="s">
        <v>1938</v>
      </c>
      <c r="B841" s="3">
        <v>6.5</v>
      </c>
      <c r="C841" s="19">
        <f>Raw_Data!T841</f>
        <v>36718.06389</v>
      </c>
      <c r="D841" s="3">
        <v>0.0</v>
      </c>
      <c r="E841" s="3">
        <v>6.0</v>
      </c>
      <c r="F841" s="4"/>
      <c r="G841" s="3">
        <v>0.0</v>
      </c>
      <c r="H841" s="3">
        <v>650.0</v>
      </c>
      <c r="I841" s="3" t="s">
        <v>316</v>
      </c>
      <c r="J841" s="3">
        <v>0.0</v>
      </c>
      <c r="K841" s="3">
        <v>0.0</v>
      </c>
      <c r="L841" s="3">
        <v>0.0</v>
      </c>
      <c r="M841" s="4" t="str">
        <f>Raw_Data!X841</f>
        <v>mw</v>
      </c>
      <c r="N841" s="3">
        <v>42.9</v>
      </c>
      <c r="O841" s="3">
        <v>57.3546</v>
      </c>
      <c r="P841" s="3">
        <v>-154.198</v>
      </c>
      <c r="Q841" s="3" t="s">
        <v>1939</v>
      </c>
      <c r="R841" s="3" t="s">
        <v>233</v>
      </c>
      <c r="S841" s="3" t="s">
        <v>318</v>
      </c>
      <c r="T841" s="4" t="str">
        <f t="shared" si="2"/>
        <v>Valid</v>
      </c>
      <c r="U841" s="4">
        <f t="shared" si="3"/>
        <v>1</v>
      </c>
      <c r="V841" s="4" t="str">
        <f t="shared" si="4"/>
        <v>Unique</v>
      </c>
      <c r="W841" s="4" t="str">
        <f t="shared" si="5"/>
        <v>Unknown</v>
      </c>
      <c r="X841" s="4" t="str">
        <f t="shared" ref="X841:Z841" si="845">IF(Q841="","Unknown",Q841)</f>
        <v>Larsen Bay, Alaska</v>
      </c>
      <c r="Y841" s="4" t="str">
        <f t="shared" si="845"/>
        <v>North America</v>
      </c>
      <c r="Z841" s="4" t="str">
        <f t="shared" si="845"/>
        <v>United States of America</v>
      </c>
      <c r="AA841" s="4" t="str">
        <f t="shared" si="7"/>
        <v>mw</v>
      </c>
    </row>
    <row r="842">
      <c r="A842" s="3" t="s">
        <v>1940</v>
      </c>
      <c r="B842" s="3">
        <v>6.5</v>
      </c>
      <c r="C842" s="19">
        <f>Raw_Data!T842</f>
        <v>36698.03542</v>
      </c>
      <c r="D842" s="3">
        <v>0.0</v>
      </c>
      <c r="E842" s="3">
        <v>9.0</v>
      </c>
      <c r="F842" s="4"/>
      <c r="G842" s="3">
        <v>0.0</v>
      </c>
      <c r="H842" s="3">
        <v>650.0</v>
      </c>
      <c r="I842" s="3" t="s">
        <v>110</v>
      </c>
      <c r="J842" s="3">
        <v>351.0</v>
      </c>
      <c r="K842" s="3">
        <v>0.0</v>
      </c>
      <c r="L842" s="3">
        <v>0.0</v>
      </c>
      <c r="M842" s="4" t="str">
        <f>Raw_Data!X842</f>
        <v>mwc</v>
      </c>
      <c r="N842" s="3">
        <v>10.0</v>
      </c>
      <c r="O842" s="3">
        <v>63.98</v>
      </c>
      <c r="P842" s="3">
        <v>-20.758</v>
      </c>
      <c r="Q842" s="3" t="s">
        <v>1942</v>
      </c>
      <c r="R842" s="4"/>
      <c r="S842" s="3" t="s">
        <v>1943</v>
      </c>
      <c r="T842" s="4" t="str">
        <f t="shared" si="2"/>
        <v>Valid</v>
      </c>
      <c r="U842" s="4">
        <f t="shared" si="3"/>
        <v>1</v>
      </c>
      <c r="V842" s="4" t="str">
        <f t="shared" si="4"/>
        <v>Unique</v>
      </c>
      <c r="W842" s="4" t="str">
        <f t="shared" si="5"/>
        <v>Unknown</v>
      </c>
      <c r="X842" s="4" t="str">
        <f t="shared" ref="X842:Z842" si="846">IF(Q842="","Unknown",Q842)</f>
        <v>Selfoss, Iceland</v>
      </c>
      <c r="Y842" s="4" t="str">
        <f t="shared" si="846"/>
        <v>Unknown</v>
      </c>
      <c r="Z842" s="4" t="str">
        <f t="shared" si="846"/>
        <v>Iceland</v>
      </c>
      <c r="AA842" s="4" t="str">
        <f t="shared" si="7"/>
        <v>mwc</v>
      </c>
    </row>
    <row r="843">
      <c r="A843" s="3" t="s">
        <v>1944</v>
      </c>
      <c r="B843" s="3">
        <v>7.9</v>
      </c>
      <c r="C843" s="19">
        <f>Raw_Data!T843</f>
        <v>36695.61389</v>
      </c>
      <c r="D843" s="3">
        <v>0.0</v>
      </c>
      <c r="E843" s="3">
        <v>5.0</v>
      </c>
      <c r="F843" s="4"/>
      <c r="G843" s="3">
        <v>0.0</v>
      </c>
      <c r="H843" s="3">
        <v>960.0</v>
      </c>
      <c r="I843" s="3" t="s">
        <v>110</v>
      </c>
      <c r="J843" s="3">
        <v>405.0</v>
      </c>
      <c r="K843" s="3">
        <v>0.0</v>
      </c>
      <c r="L843" s="3">
        <v>0.0</v>
      </c>
      <c r="M843" s="4" t="str">
        <f>Raw_Data!X843</f>
        <v>mwc</v>
      </c>
      <c r="N843" s="3">
        <v>10.0</v>
      </c>
      <c r="O843" s="3">
        <v>-13.802</v>
      </c>
      <c r="P843" s="3">
        <v>97.453</v>
      </c>
      <c r="Q843" s="3" t="s">
        <v>1946</v>
      </c>
      <c r="R843" s="4"/>
      <c r="S843" s="4"/>
      <c r="T843" s="4" t="str">
        <f t="shared" si="2"/>
        <v>Valid</v>
      </c>
      <c r="U843" s="4">
        <f t="shared" si="3"/>
        <v>1</v>
      </c>
      <c r="V843" s="4" t="str">
        <f t="shared" si="4"/>
        <v>Unique</v>
      </c>
      <c r="W843" s="4" t="str">
        <f t="shared" si="5"/>
        <v>Unknown</v>
      </c>
      <c r="X843" s="4" t="str">
        <f t="shared" ref="X843:Z843" si="847">IF(Q843="","Unknown",Q843)</f>
        <v>South Indian Ocean</v>
      </c>
      <c r="Y843" s="4" t="str">
        <f t="shared" si="847"/>
        <v>Unknown</v>
      </c>
      <c r="Z843" s="4" t="str">
        <f t="shared" si="847"/>
        <v>Unknown</v>
      </c>
      <c r="AA843" s="4" t="str">
        <f t="shared" si="7"/>
        <v>mwc</v>
      </c>
    </row>
    <row r="844">
      <c r="A844" s="3" t="s">
        <v>1947</v>
      </c>
      <c r="B844" s="3">
        <v>6.5</v>
      </c>
      <c r="C844" s="19">
        <f>Raw_Data!T844</f>
        <v>36694.65278</v>
      </c>
      <c r="D844" s="3">
        <v>0.0</v>
      </c>
      <c r="E844" s="3">
        <v>8.0</v>
      </c>
      <c r="F844" s="4"/>
      <c r="G844" s="3">
        <v>0.0</v>
      </c>
      <c r="H844" s="3">
        <v>650.0</v>
      </c>
      <c r="I844" s="3" t="s">
        <v>110</v>
      </c>
      <c r="J844" s="3">
        <v>406.0</v>
      </c>
      <c r="K844" s="3">
        <v>0.0</v>
      </c>
      <c r="L844" s="3">
        <v>0.0</v>
      </c>
      <c r="M844" s="4" t="str">
        <f>Raw_Data!X844</f>
        <v>mwc</v>
      </c>
      <c r="N844" s="3">
        <v>10.0</v>
      </c>
      <c r="O844" s="3">
        <v>63.966</v>
      </c>
      <c r="P844" s="3">
        <v>-20.487</v>
      </c>
      <c r="Q844" s="3" t="s">
        <v>1942</v>
      </c>
      <c r="R844" s="4"/>
      <c r="S844" s="3" t="s">
        <v>1943</v>
      </c>
      <c r="T844" s="4" t="str">
        <f t="shared" si="2"/>
        <v>Valid</v>
      </c>
      <c r="U844" s="4">
        <f t="shared" si="3"/>
        <v>1</v>
      </c>
      <c r="V844" s="4" t="str">
        <f t="shared" si="4"/>
        <v>Unique</v>
      </c>
      <c r="W844" s="4" t="str">
        <f t="shared" si="5"/>
        <v>Unknown</v>
      </c>
      <c r="X844" s="4" t="str">
        <f t="shared" ref="X844:Z844" si="848">IF(Q844="","Unknown",Q844)</f>
        <v>Selfoss, Iceland</v>
      </c>
      <c r="Y844" s="4" t="str">
        <f t="shared" si="848"/>
        <v>Unknown</v>
      </c>
      <c r="Z844" s="4" t="str">
        <f t="shared" si="848"/>
        <v>Iceland</v>
      </c>
      <c r="AA844" s="4" t="str">
        <f t="shared" si="7"/>
        <v>mwc</v>
      </c>
    </row>
    <row r="845">
      <c r="A845" s="3" t="s">
        <v>1949</v>
      </c>
      <c r="B845" s="3">
        <v>6.7</v>
      </c>
      <c r="C845" s="19">
        <f>Raw_Data!T845</f>
        <v>36684.98958</v>
      </c>
      <c r="D845" s="3">
        <v>0.0</v>
      </c>
      <c r="E845" s="3">
        <v>5.0</v>
      </c>
      <c r="F845" s="4"/>
      <c r="G845" s="3">
        <v>0.0</v>
      </c>
      <c r="H845" s="3">
        <v>691.0</v>
      </c>
      <c r="I845" s="3" t="s">
        <v>110</v>
      </c>
      <c r="J845" s="3">
        <v>352.0</v>
      </c>
      <c r="K845" s="3">
        <v>0.0</v>
      </c>
      <c r="L845" s="3">
        <v>0.0</v>
      </c>
      <c r="M845" s="4" t="str">
        <f>Raw_Data!X845</f>
        <v>mwc</v>
      </c>
      <c r="N845" s="3">
        <v>33.0</v>
      </c>
      <c r="O845" s="3">
        <v>-4.612</v>
      </c>
      <c r="P845" s="3">
        <v>101.905</v>
      </c>
      <c r="Q845" s="3" t="s">
        <v>217</v>
      </c>
      <c r="R845" s="4"/>
      <c r="S845" s="3" t="s">
        <v>153</v>
      </c>
      <c r="T845" s="4" t="str">
        <f t="shared" si="2"/>
        <v>Valid</v>
      </c>
      <c r="U845" s="4">
        <f t="shared" si="3"/>
        <v>1</v>
      </c>
      <c r="V845" s="4" t="str">
        <f t="shared" si="4"/>
        <v>Unique</v>
      </c>
      <c r="W845" s="4" t="str">
        <f t="shared" si="5"/>
        <v>Unknown</v>
      </c>
      <c r="X845" s="4" t="str">
        <f t="shared" ref="X845:Z845" si="849">IF(Q845="","Unknown",Q845)</f>
        <v>Bengkulu, Indonesia</v>
      </c>
      <c r="Y845" s="4" t="str">
        <f t="shared" si="849"/>
        <v>Unknown</v>
      </c>
      <c r="Z845" s="4" t="str">
        <f t="shared" si="849"/>
        <v>Indonesia</v>
      </c>
      <c r="AA845" s="4" t="str">
        <f t="shared" si="7"/>
        <v>mwc</v>
      </c>
    </row>
    <row r="846">
      <c r="A846" s="3" t="s">
        <v>1950</v>
      </c>
      <c r="B846" s="3">
        <v>6.7</v>
      </c>
      <c r="C846" s="19">
        <f>Raw_Data!T846</f>
        <v>36681.69375</v>
      </c>
      <c r="D846" s="3">
        <v>0.0</v>
      </c>
      <c r="E846" s="3">
        <v>5.0</v>
      </c>
      <c r="F846" s="4"/>
      <c r="G846" s="3">
        <v>0.0</v>
      </c>
      <c r="H846" s="3">
        <v>691.0</v>
      </c>
      <c r="I846" s="3" t="s">
        <v>110</v>
      </c>
      <c r="J846" s="3">
        <v>147.0</v>
      </c>
      <c r="K846" s="3">
        <v>0.0</v>
      </c>
      <c r="L846" s="3">
        <v>0.0</v>
      </c>
      <c r="M846" s="4" t="str">
        <f>Raw_Data!X846</f>
        <v>mb</v>
      </c>
      <c r="N846" s="3">
        <v>33.0</v>
      </c>
      <c r="O846" s="3">
        <v>-4.646</v>
      </c>
      <c r="P846" s="3">
        <v>102.102</v>
      </c>
      <c r="Q846" s="3" t="s">
        <v>217</v>
      </c>
      <c r="R846" s="4"/>
      <c r="S846" s="3" t="s">
        <v>153</v>
      </c>
      <c r="T846" s="4" t="str">
        <f t="shared" si="2"/>
        <v>Valid</v>
      </c>
      <c r="U846" s="4">
        <f t="shared" si="3"/>
        <v>1</v>
      </c>
      <c r="V846" s="4" t="str">
        <f t="shared" si="4"/>
        <v>Unique</v>
      </c>
      <c r="W846" s="4" t="str">
        <f t="shared" si="5"/>
        <v>Unknown</v>
      </c>
      <c r="X846" s="4" t="str">
        <f t="shared" ref="X846:Z846" si="850">IF(Q846="","Unknown",Q846)</f>
        <v>Bengkulu, Indonesia</v>
      </c>
      <c r="Y846" s="4" t="str">
        <f t="shared" si="850"/>
        <v>Unknown</v>
      </c>
      <c r="Z846" s="4" t="str">
        <f t="shared" si="850"/>
        <v>Indonesia</v>
      </c>
      <c r="AA846" s="4" t="str">
        <f t="shared" si="7"/>
        <v>mb</v>
      </c>
    </row>
    <row r="847">
      <c r="A847" s="3" t="s">
        <v>1951</v>
      </c>
      <c r="B847" s="3">
        <v>7.9</v>
      </c>
      <c r="C847" s="19">
        <f>Raw_Data!T847</f>
        <v>36681.68611</v>
      </c>
      <c r="D847" s="3">
        <v>0.0</v>
      </c>
      <c r="E847" s="3">
        <v>8.0</v>
      </c>
      <c r="F847" s="4"/>
      <c r="G847" s="3">
        <v>0.0</v>
      </c>
      <c r="H847" s="3">
        <v>960.0</v>
      </c>
      <c r="I847" s="3" t="s">
        <v>110</v>
      </c>
      <c r="J847" s="3">
        <v>379.0</v>
      </c>
      <c r="K847" s="3">
        <v>0.0</v>
      </c>
      <c r="L847" s="3">
        <v>0.0</v>
      </c>
      <c r="M847" s="4" t="str">
        <f>Raw_Data!X847</f>
        <v>mwc</v>
      </c>
      <c r="N847" s="3">
        <v>33.0</v>
      </c>
      <c r="O847" s="3">
        <v>-4.721</v>
      </c>
      <c r="P847" s="3">
        <v>102.087</v>
      </c>
      <c r="Q847" s="3" t="s">
        <v>217</v>
      </c>
      <c r="R847" s="4"/>
      <c r="S847" s="3" t="s">
        <v>153</v>
      </c>
      <c r="T847" s="4" t="str">
        <f t="shared" si="2"/>
        <v>Valid</v>
      </c>
      <c r="U847" s="4">
        <f t="shared" si="3"/>
        <v>1</v>
      </c>
      <c r="V847" s="4" t="str">
        <f t="shared" si="4"/>
        <v>Unique</v>
      </c>
      <c r="W847" s="4" t="str">
        <f t="shared" si="5"/>
        <v>Unknown</v>
      </c>
      <c r="X847" s="4" t="str">
        <f t="shared" ref="X847:Z847" si="851">IF(Q847="","Unknown",Q847)</f>
        <v>Bengkulu, Indonesia</v>
      </c>
      <c r="Y847" s="4" t="str">
        <f t="shared" si="851"/>
        <v>Unknown</v>
      </c>
      <c r="Z847" s="4" t="str">
        <f t="shared" si="851"/>
        <v>Indonesia</v>
      </c>
      <c r="AA847" s="4" t="str">
        <f t="shared" si="7"/>
        <v>mwc</v>
      </c>
    </row>
    <row r="848">
      <c r="A848" s="3" t="s">
        <v>1952</v>
      </c>
      <c r="B848" s="3">
        <v>7.2</v>
      </c>
      <c r="C848" s="19">
        <f>Raw_Data!T848</f>
        <v>36658.77986</v>
      </c>
      <c r="D848" s="3">
        <v>0.0</v>
      </c>
      <c r="E848" s="3">
        <v>5.0</v>
      </c>
      <c r="F848" s="4"/>
      <c r="G848" s="3">
        <v>0.0</v>
      </c>
      <c r="H848" s="3">
        <v>798.0</v>
      </c>
      <c r="I848" s="3" t="s">
        <v>110</v>
      </c>
      <c r="J848" s="3">
        <v>0.0</v>
      </c>
      <c r="K848" s="3">
        <v>0.0</v>
      </c>
      <c r="L848" s="3">
        <v>0.0</v>
      </c>
      <c r="M848" s="4" t="str">
        <f>Raw_Data!X848</f>
        <v>mwc</v>
      </c>
      <c r="N848" s="3">
        <v>225.0</v>
      </c>
      <c r="O848" s="3">
        <v>-23.548</v>
      </c>
      <c r="P848" s="3">
        <v>-66.452</v>
      </c>
      <c r="Q848" s="3" t="s">
        <v>171</v>
      </c>
      <c r="R848" s="3" t="s">
        <v>121</v>
      </c>
      <c r="S848" s="3" t="s">
        <v>122</v>
      </c>
      <c r="T848" s="4" t="str">
        <f t="shared" si="2"/>
        <v>Valid</v>
      </c>
      <c r="U848" s="4">
        <f t="shared" si="3"/>
        <v>1</v>
      </c>
      <c r="V848" s="4" t="str">
        <f t="shared" si="4"/>
        <v>Unique</v>
      </c>
      <c r="W848" s="4" t="str">
        <f t="shared" si="5"/>
        <v>Unknown</v>
      </c>
      <c r="X848" s="4" t="str">
        <f t="shared" ref="X848:Z848" si="852">IF(Q848="","Unknown",Q848)</f>
        <v>San Antonio de los Cobres, Argentina</v>
      </c>
      <c r="Y848" s="4" t="str">
        <f t="shared" si="852"/>
        <v>South America</v>
      </c>
      <c r="Z848" s="4" t="str">
        <f t="shared" si="852"/>
        <v>Argentina</v>
      </c>
      <c r="AA848" s="4" t="str">
        <f t="shared" si="7"/>
        <v>mwc</v>
      </c>
    </row>
    <row r="849">
      <c r="A849" s="3" t="s">
        <v>1953</v>
      </c>
      <c r="B849" s="3">
        <v>7.6</v>
      </c>
      <c r="C849" s="19">
        <f>Raw_Data!T849</f>
        <v>36650.18125</v>
      </c>
      <c r="D849" s="3">
        <v>0.0</v>
      </c>
      <c r="E849" s="3">
        <v>7.0</v>
      </c>
      <c r="F849" s="4"/>
      <c r="G849" s="3">
        <v>0.0</v>
      </c>
      <c r="H849" s="3">
        <v>889.0</v>
      </c>
      <c r="I849" s="3" t="s">
        <v>110</v>
      </c>
      <c r="J849" s="3">
        <v>0.0</v>
      </c>
      <c r="K849" s="3">
        <v>0.0</v>
      </c>
      <c r="L849" s="3">
        <v>0.0</v>
      </c>
      <c r="M849" s="4" t="str">
        <f>Raw_Data!X849</f>
        <v>mwc</v>
      </c>
      <c r="N849" s="3">
        <v>26.0</v>
      </c>
      <c r="O849" s="3">
        <v>-1.105</v>
      </c>
      <c r="P849" s="3">
        <v>123.573</v>
      </c>
      <c r="Q849" s="3" t="s">
        <v>534</v>
      </c>
      <c r="R849" s="4"/>
      <c r="S849" s="3" t="s">
        <v>153</v>
      </c>
      <c r="T849" s="4" t="str">
        <f t="shared" si="2"/>
        <v>Valid</v>
      </c>
      <c r="U849" s="4">
        <f t="shared" si="3"/>
        <v>1</v>
      </c>
      <c r="V849" s="4" t="str">
        <f t="shared" si="4"/>
        <v>Unique</v>
      </c>
      <c r="W849" s="4" t="str">
        <f t="shared" si="5"/>
        <v>Unknown</v>
      </c>
      <c r="X849" s="4" t="str">
        <f t="shared" ref="X849:Z849" si="853">IF(Q849="","Unknown",Q849)</f>
        <v>Luwuk, Indonesia</v>
      </c>
      <c r="Y849" s="4" t="str">
        <f t="shared" si="853"/>
        <v>Unknown</v>
      </c>
      <c r="Z849" s="4" t="str">
        <f t="shared" si="853"/>
        <v>Indonesia</v>
      </c>
      <c r="AA849" s="4" t="str">
        <f t="shared" si="7"/>
        <v>mwc</v>
      </c>
    </row>
    <row r="850">
      <c r="A850" s="3" t="s">
        <v>1954</v>
      </c>
      <c r="B850" s="3">
        <v>6.6</v>
      </c>
      <c r="C850" s="19">
        <f>Raw_Data!T850</f>
        <v>36588.93194</v>
      </c>
      <c r="D850" s="3">
        <v>0.0</v>
      </c>
      <c r="E850" s="3">
        <v>8.0</v>
      </c>
      <c r="F850" s="4"/>
      <c r="G850" s="3">
        <v>0.0</v>
      </c>
      <c r="H850" s="3">
        <v>670.0</v>
      </c>
      <c r="I850" s="3" t="s">
        <v>110</v>
      </c>
      <c r="J850" s="3">
        <v>0.0</v>
      </c>
      <c r="K850" s="3">
        <v>0.0</v>
      </c>
      <c r="L850" s="3">
        <v>0.0</v>
      </c>
      <c r="M850" s="4" t="str">
        <f>Raw_Data!X850</f>
        <v>mwc</v>
      </c>
      <c r="N850" s="3">
        <v>10.0</v>
      </c>
      <c r="O850" s="3">
        <v>-6.817</v>
      </c>
      <c r="P850" s="3">
        <v>143.807</v>
      </c>
      <c r="Q850" s="3" t="s">
        <v>1955</v>
      </c>
      <c r="R850" s="4"/>
      <c r="S850" s="3" t="s">
        <v>168</v>
      </c>
      <c r="T850" s="4" t="str">
        <f t="shared" si="2"/>
        <v>Valid</v>
      </c>
      <c r="U850" s="4">
        <f t="shared" si="3"/>
        <v>1</v>
      </c>
      <c r="V850" s="4" t="str">
        <f t="shared" si="4"/>
        <v>Unique</v>
      </c>
      <c r="W850" s="4" t="str">
        <f t="shared" si="5"/>
        <v>Unknown</v>
      </c>
      <c r="X850" s="4" t="str">
        <f t="shared" ref="X850:Z850" si="854">IF(Q850="","Unknown",Q850)</f>
        <v>Ialibu, Papua New Guinea</v>
      </c>
      <c r="Y850" s="4" t="str">
        <f t="shared" si="854"/>
        <v>Unknown</v>
      </c>
      <c r="Z850" s="4" t="str">
        <f t="shared" si="854"/>
        <v>Papua New Guinea</v>
      </c>
      <c r="AA850" s="4" t="str">
        <f t="shared" si="7"/>
        <v>mwc</v>
      </c>
    </row>
    <row r="851">
      <c r="A851" s="3" t="s">
        <v>1956</v>
      </c>
      <c r="B851" s="3">
        <v>6.6</v>
      </c>
      <c r="C851" s="19">
        <f>Raw_Data!T851</f>
        <v>36562.48125</v>
      </c>
      <c r="D851" s="3">
        <v>0.0</v>
      </c>
      <c r="E851" s="3">
        <v>6.0</v>
      </c>
      <c r="F851" s="4"/>
      <c r="G851" s="3">
        <v>0.0</v>
      </c>
      <c r="H851" s="3">
        <v>670.0</v>
      </c>
      <c r="I851" s="3" t="s">
        <v>110</v>
      </c>
      <c r="J851" s="3">
        <v>0.0</v>
      </c>
      <c r="K851" s="3">
        <v>0.0</v>
      </c>
      <c r="L851" s="3">
        <v>0.0</v>
      </c>
      <c r="M851" s="4" t="str">
        <f>Raw_Data!X851</f>
        <v>mwc</v>
      </c>
      <c r="N851" s="3">
        <v>33.0</v>
      </c>
      <c r="O851" s="3">
        <v>-5.844</v>
      </c>
      <c r="P851" s="3">
        <v>150.876</v>
      </c>
      <c r="Q851" s="3" t="s">
        <v>187</v>
      </c>
      <c r="R851" s="4"/>
      <c r="S851" s="3" t="s">
        <v>168</v>
      </c>
      <c r="T851" s="4" t="str">
        <f t="shared" si="2"/>
        <v>Valid</v>
      </c>
      <c r="U851" s="4">
        <f t="shared" si="3"/>
        <v>1</v>
      </c>
      <c r="V851" s="4" t="str">
        <f t="shared" si="4"/>
        <v>Unique</v>
      </c>
      <c r="W851" s="4" t="str">
        <f t="shared" si="5"/>
        <v>Unknown</v>
      </c>
      <c r="X851" s="4" t="str">
        <f t="shared" ref="X851:Z851" si="855">IF(Q851="","Unknown",Q851)</f>
        <v>Kimbe, Papua New Guinea</v>
      </c>
      <c r="Y851" s="4" t="str">
        <f t="shared" si="855"/>
        <v>Unknown</v>
      </c>
      <c r="Z851" s="4" t="str">
        <f t="shared" si="855"/>
        <v>Papua New Guinea</v>
      </c>
      <c r="AA851" s="4" t="str">
        <f t="shared" si="7"/>
        <v>mwc</v>
      </c>
    </row>
    <row r="852">
      <c r="A852" s="3" t="s">
        <v>1957</v>
      </c>
      <c r="B852" s="3">
        <v>6.8</v>
      </c>
      <c r="C852" s="19">
        <f>Raw_Data!T852</f>
        <v>36553.59792</v>
      </c>
      <c r="D852" s="3">
        <v>0.0</v>
      </c>
      <c r="E852" s="3">
        <v>6.0</v>
      </c>
      <c r="F852" s="4"/>
      <c r="G852" s="3">
        <v>0.0</v>
      </c>
      <c r="H852" s="3">
        <v>711.0</v>
      </c>
      <c r="I852" s="3" t="s">
        <v>110</v>
      </c>
      <c r="J852" s="3">
        <v>0.0</v>
      </c>
      <c r="K852" s="3">
        <v>0.0</v>
      </c>
      <c r="L852" s="3">
        <v>0.0</v>
      </c>
      <c r="M852" s="4" t="str">
        <f>Raw_Data!X852</f>
        <v>mwc</v>
      </c>
      <c r="N852" s="3">
        <v>61.1</v>
      </c>
      <c r="O852" s="3">
        <v>43.046</v>
      </c>
      <c r="P852" s="3">
        <v>146.837</v>
      </c>
      <c r="Q852" s="3" t="s">
        <v>1959</v>
      </c>
      <c r="R852" s="4"/>
      <c r="S852" s="4"/>
      <c r="T852" s="4" t="str">
        <f t="shared" si="2"/>
        <v>Valid</v>
      </c>
      <c r="U852" s="4">
        <f t="shared" si="3"/>
        <v>1</v>
      </c>
      <c r="V852" s="4" t="str">
        <f t="shared" si="4"/>
        <v>Unique</v>
      </c>
      <c r="W852" s="4" t="str">
        <f t="shared" si="5"/>
        <v>Unknown</v>
      </c>
      <c r="X852" s="4" t="str">
        <f t="shared" ref="X852:Z852" si="856">IF(Q852="","Unknown",Q852)</f>
        <v>Shikotan, Russia</v>
      </c>
      <c r="Y852" s="4" t="str">
        <f t="shared" si="856"/>
        <v>Unknown</v>
      </c>
      <c r="Z852" s="4" t="str">
        <f t="shared" si="856"/>
        <v>Unknown</v>
      </c>
      <c r="AA852" s="4" t="str">
        <f t="shared" si="7"/>
        <v>mwc</v>
      </c>
    </row>
    <row r="853">
      <c r="A853" s="3" t="s">
        <v>1960</v>
      </c>
      <c r="B853" s="3">
        <v>7.2</v>
      </c>
      <c r="C853" s="19">
        <f>Raw_Data!T853</f>
        <v>36533.69931</v>
      </c>
      <c r="D853" s="3">
        <v>0.0</v>
      </c>
      <c r="E853" s="3">
        <v>6.0</v>
      </c>
      <c r="F853" s="4"/>
      <c r="G853" s="3">
        <v>0.0</v>
      </c>
      <c r="H853" s="3">
        <v>798.0</v>
      </c>
      <c r="I853" s="3" t="s">
        <v>110</v>
      </c>
      <c r="J853" s="3">
        <v>0.0</v>
      </c>
      <c r="K853" s="3">
        <v>0.0</v>
      </c>
      <c r="L853" s="3">
        <v>0.0</v>
      </c>
      <c r="M853" s="4" t="str">
        <f>Raw_Data!X853</f>
        <v>mwc</v>
      </c>
      <c r="N853" s="3">
        <v>183.4</v>
      </c>
      <c r="O853" s="3">
        <v>-16.925</v>
      </c>
      <c r="P853" s="3">
        <v>-174.248</v>
      </c>
      <c r="Q853" s="3" t="s">
        <v>147</v>
      </c>
      <c r="R853" s="4"/>
      <c r="S853" s="4"/>
      <c r="T853" s="4" t="str">
        <f t="shared" si="2"/>
        <v>Valid</v>
      </c>
      <c r="U853" s="4">
        <f t="shared" si="3"/>
        <v>1</v>
      </c>
      <c r="V853" s="4" t="str">
        <f t="shared" si="4"/>
        <v>Unique</v>
      </c>
      <c r="W853" s="4" t="str">
        <f t="shared" si="5"/>
        <v>Unknown</v>
      </c>
      <c r="X853" s="4" t="str">
        <f t="shared" ref="X853:Z853" si="857">IF(Q853="","Unknown",Q853)</f>
        <v>Hihifo, Tonga</v>
      </c>
      <c r="Y853" s="4" t="str">
        <f t="shared" si="857"/>
        <v>Unknown</v>
      </c>
      <c r="Z853" s="4" t="str">
        <f t="shared" si="857"/>
        <v>Unknown</v>
      </c>
      <c r="AA853" s="4" t="str">
        <f t="shared" si="7"/>
        <v>mwc</v>
      </c>
    </row>
    <row r="854">
      <c r="A854" s="3" t="s">
        <v>1961</v>
      </c>
      <c r="B854" s="3">
        <v>6.9</v>
      </c>
      <c r="C854" s="19">
        <f>Raw_Data!T854</f>
        <v>36523.56181</v>
      </c>
      <c r="D854" s="3">
        <v>0.0</v>
      </c>
      <c r="E854" s="3">
        <v>6.0</v>
      </c>
      <c r="F854" s="4"/>
      <c r="G854" s="3">
        <v>0.0</v>
      </c>
      <c r="H854" s="3">
        <v>732.0</v>
      </c>
      <c r="I854" s="3" t="s">
        <v>110</v>
      </c>
      <c r="J854" s="3">
        <v>0.0</v>
      </c>
      <c r="K854" s="3">
        <v>0.0</v>
      </c>
      <c r="L854" s="3">
        <v>0.0</v>
      </c>
      <c r="M854" s="4" t="str">
        <f>Raw_Data!X854</f>
        <v>mwb</v>
      </c>
      <c r="N854" s="3">
        <v>33.0</v>
      </c>
      <c r="O854" s="3">
        <v>-10.86</v>
      </c>
      <c r="P854" s="3">
        <v>165.354</v>
      </c>
      <c r="Q854" s="3" t="s">
        <v>450</v>
      </c>
      <c r="R854" s="4"/>
      <c r="S854" s="4"/>
      <c r="T854" s="4" t="str">
        <f t="shared" si="2"/>
        <v>Valid</v>
      </c>
      <c r="U854" s="4">
        <f t="shared" si="3"/>
        <v>1</v>
      </c>
      <c r="V854" s="4" t="str">
        <f t="shared" si="4"/>
        <v>Unique</v>
      </c>
      <c r="W854" s="4" t="str">
        <f t="shared" si="5"/>
        <v>Unknown</v>
      </c>
      <c r="X854" s="4" t="str">
        <f t="shared" ref="X854:Z854" si="858">IF(Q854="","Unknown",Q854)</f>
        <v>Lata, Solomon Islands</v>
      </c>
      <c r="Y854" s="4" t="str">
        <f t="shared" si="858"/>
        <v>Unknown</v>
      </c>
      <c r="Z854" s="4" t="str">
        <f t="shared" si="858"/>
        <v>Unknown</v>
      </c>
      <c r="AA854" s="4" t="str">
        <f t="shared" si="7"/>
        <v>mwb</v>
      </c>
    </row>
    <row r="855">
      <c r="A855" s="3" t="s">
        <v>1963</v>
      </c>
      <c r="B855" s="3">
        <v>6.5</v>
      </c>
      <c r="C855" s="19">
        <f>Raw_Data!T855</f>
        <v>36515.59306</v>
      </c>
      <c r="D855" s="3">
        <v>0.0</v>
      </c>
      <c r="E855" s="3">
        <v>6.0</v>
      </c>
      <c r="F855" s="4"/>
      <c r="G855" s="3">
        <v>0.0</v>
      </c>
      <c r="H855" s="3">
        <v>650.0</v>
      </c>
      <c r="I855" s="3" t="s">
        <v>110</v>
      </c>
      <c r="J855" s="3">
        <v>0.0</v>
      </c>
      <c r="K855" s="3">
        <v>0.0</v>
      </c>
      <c r="L855" s="3">
        <v>0.0</v>
      </c>
      <c r="M855" s="4" t="str">
        <f>Raw_Data!X855</f>
        <v>mwb</v>
      </c>
      <c r="N855" s="3">
        <v>56.0</v>
      </c>
      <c r="O855" s="3">
        <v>-6.845</v>
      </c>
      <c r="P855" s="3">
        <v>105.555</v>
      </c>
      <c r="Q855" s="3" t="s">
        <v>294</v>
      </c>
      <c r="R855" s="4"/>
      <c r="S855" s="3" t="s">
        <v>153</v>
      </c>
      <c r="T855" s="4" t="str">
        <f t="shared" si="2"/>
        <v>Valid</v>
      </c>
      <c r="U855" s="4">
        <f t="shared" si="3"/>
        <v>1</v>
      </c>
      <c r="V855" s="4" t="str">
        <f t="shared" si="4"/>
        <v>Unique</v>
      </c>
      <c r="W855" s="4" t="str">
        <f t="shared" si="5"/>
        <v>Unknown</v>
      </c>
      <c r="X855" s="4" t="str">
        <f t="shared" ref="X855:Z855" si="859">IF(Q855="","Unknown",Q855)</f>
        <v>Labuan, Indonesia</v>
      </c>
      <c r="Y855" s="4" t="str">
        <f t="shared" si="859"/>
        <v>Unknown</v>
      </c>
      <c r="Z855" s="4" t="str">
        <f t="shared" si="859"/>
        <v>Indonesia</v>
      </c>
      <c r="AA855" s="4" t="str">
        <f t="shared" si="7"/>
        <v>mwb</v>
      </c>
    </row>
    <row r="856">
      <c r="A856" s="3" t="s">
        <v>1965</v>
      </c>
      <c r="B856" s="3">
        <v>7.3</v>
      </c>
      <c r="C856" s="19">
        <f>Raw_Data!T856</f>
        <v>36505.75208</v>
      </c>
      <c r="D856" s="3">
        <v>0.0</v>
      </c>
      <c r="E856" s="3">
        <v>7.0</v>
      </c>
      <c r="F856" s="4"/>
      <c r="G856" s="3">
        <v>0.0</v>
      </c>
      <c r="H856" s="3">
        <v>820.0</v>
      </c>
      <c r="I856" s="3" t="s">
        <v>110</v>
      </c>
      <c r="J856" s="3">
        <v>0.0</v>
      </c>
      <c r="K856" s="3">
        <v>0.0</v>
      </c>
      <c r="L856" s="3">
        <v>0.0</v>
      </c>
      <c r="M856" s="4" t="str">
        <f>Raw_Data!X856</f>
        <v>mwc</v>
      </c>
      <c r="N856" s="3">
        <v>33.0</v>
      </c>
      <c r="O856" s="3">
        <v>15.766</v>
      </c>
      <c r="P856" s="3">
        <v>119.74</v>
      </c>
      <c r="Q856" s="3" t="s">
        <v>1966</v>
      </c>
      <c r="R856" s="4"/>
      <c r="S856" s="3" t="s">
        <v>258</v>
      </c>
      <c r="T856" s="4" t="str">
        <f t="shared" si="2"/>
        <v>Valid</v>
      </c>
      <c r="U856" s="4">
        <f t="shared" si="3"/>
        <v>1</v>
      </c>
      <c r="V856" s="4" t="str">
        <f t="shared" si="4"/>
        <v>Unique</v>
      </c>
      <c r="W856" s="4" t="str">
        <f t="shared" si="5"/>
        <v>Unknown</v>
      </c>
      <c r="X856" s="4" t="str">
        <f t="shared" ref="X856:Z856" si="860">IF(Q856="","Unknown",Q856)</f>
        <v>Bolitoc, Philippines</v>
      </c>
      <c r="Y856" s="4" t="str">
        <f t="shared" si="860"/>
        <v>Unknown</v>
      </c>
      <c r="Z856" s="4" t="str">
        <f t="shared" si="860"/>
        <v>Philippines</v>
      </c>
      <c r="AA856" s="4" t="str">
        <f t="shared" si="7"/>
        <v>mwc</v>
      </c>
    </row>
    <row r="857">
      <c r="A857" s="3" t="s">
        <v>1967</v>
      </c>
      <c r="B857" s="3">
        <v>7.0</v>
      </c>
      <c r="C857" s="19">
        <f>Raw_Data!T857</f>
        <v>36500.96667</v>
      </c>
      <c r="D857" s="3">
        <v>0.0</v>
      </c>
      <c r="E857" s="3">
        <v>7.0</v>
      </c>
      <c r="F857" s="4"/>
      <c r="G857" s="3">
        <v>0.0</v>
      </c>
      <c r="H857" s="3">
        <v>754.0</v>
      </c>
      <c r="I857" s="3" t="s">
        <v>316</v>
      </c>
      <c r="J857" s="3">
        <v>0.0</v>
      </c>
      <c r="K857" s="3">
        <v>0.0</v>
      </c>
      <c r="L857" s="3">
        <v>0.0</v>
      </c>
      <c r="M857" s="4" t="str">
        <f>Raw_Data!X857</f>
        <v>mw</v>
      </c>
      <c r="N857" s="3">
        <v>43.6</v>
      </c>
      <c r="O857" s="3">
        <v>57.3424</v>
      </c>
      <c r="P857" s="3">
        <v>-154.347</v>
      </c>
      <c r="Q857" s="3" t="s">
        <v>1968</v>
      </c>
      <c r="R857" s="3" t="s">
        <v>233</v>
      </c>
      <c r="S857" s="3" t="s">
        <v>318</v>
      </c>
      <c r="T857" s="4" t="str">
        <f t="shared" si="2"/>
        <v>Valid</v>
      </c>
      <c r="U857" s="4">
        <f t="shared" si="3"/>
        <v>1</v>
      </c>
      <c r="V857" s="4" t="str">
        <f t="shared" si="4"/>
        <v>Unique</v>
      </c>
      <c r="W857" s="4" t="str">
        <f t="shared" si="5"/>
        <v>Unknown</v>
      </c>
      <c r="X857" s="4" t="str">
        <f t="shared" ref="X857:Z857" si="861">IF(Q857="","Unknown",Q857)</f>
        <v>Karluk, Alaska</v>
      </c>
      <c r="Y857" s="4" t="str">
        <f t="shared" si="861"/>
        <v>North America</v>
      </c>
      <c r="Z857" s="4" t="str">
        <f t="shared" si="861"/>
        <v>United States of America</v>
      </c>
      <c r="AA857" s="4" t="str">
        <f t="shared" si="7"/>
        <v>mw</v>
      </c>
    </row>
    <row r="858">
      <c r="A858" s="3" t="s">
        <v>1969</v>
      </c>
      <c r="B858" s="3">
        <v>6.6</v>
      </c>
      <c r="C858" s="19">
        <f>Raw_Data!T858</f>
        <v>36494.16736</v>
      </c>
      <c r="D858" s="3">
        <v>0.0</v>
      </c>
      <c r="E858" s="3">
        <v>5.0</v>
      </c>
      <c r="F858" s="4"/>
      <c r="G858" s="3">
        <v>0.0</v>
      </c>
      <c r="H858" s="3">
        <v>670.0</v>
      </c>
      <c r="I858" s="3" t="s">
        <v>110</v>
      </c>
      <c r="J858" s="3">
        <v>0.0</v>
      </c>
      <c r="K858" s="3">
        <v>0.0</v>
      </c>
      <c r="L858" s="3">
        <v>0.0</v>
      </c>
      <c r="M858" s="4" t="str">
        <f>Raw_Data!X858</f>
        <v>mwb</v>
      </c>
      <c r="N858" s="3">
        <v>128.1</v>
      </c>
      <c r="O858" s="3">
        <v>-18.901</v>
      </c>
      <c r="P858" s="3">
        <v>-69.171</v>
      </c>
      <c r="Q858" s="3" t="s">
        <v>1971</v>
      </c>
      <c r="R858" s="3" t="s">
        <v>121</v>
      </c>
      <c r="S858" s="3" t="s">
        <v>414</v>
      </c>
      <c r="T858" s="4" t="str">
        <f t="shared" si="2"/>
        <v>Valid</v>
      </c>
      <c r="U858" s="4">
        <f t="shared" si="3"/>
        <v>1</v>
      </c>
      <c r="V858" s="4" t="str">
        <f t="shared" si="4"/>
        <v>Unique</v>
      </c>
      <c r="W858" s="4" t="str">
        <f t="shared" si="5"/>
        <v>Unknown</v>
      </c>
      <c r="X858" s="4" t="str">
        <f t="shared" ref="X858:Z858" si="862">IF(Q858="","Unknown",Q858)</f>
        <v>Arica, Chile</v>
      </c>
      <c r="Y858" s="4" t="str">
        <f t="shared" si="862"/>
        <v>South America</v>
      </c>
      <c r="Z858" s="4" t="str">
        <f t="shared" si="862"/>
        <v>Chile</v>
      </c>
      <c r="AA858" s="4" t="str">
        <f t="shared" si="7"/>
        <v>mwb</v>
      </c>
    </row>
    <row r="859">
      <c r="A859" s="3" t="s">
        <v>1972</v>
      </c>
      <c r="B859" s="3">
        <v>7.5</v>
      </c>
      <c r="C859" s="19">
        <f>Raw_Data!T859</f>
        <v>36490.55625</v>
      </c>
      <c r="D859" s="3">
        <v>0.0</v>
      </c>
      <c r="E859" s="3">
        <v>7.0</v>
      </c>
      <c r="F859" s="4"/>
      <c r="G859" s="3">
        <v>0.0</v>
      </c>
      <c r="H859" s="3">
        <v>865.0</v>
      </c>
      <c r="I859" s="3" t="s">
        <v>110</v>
      </c>
      <c r="J859" s="3">
        <v>0.0</v>
      </c>
      <c r="K859" s="3">
        <v>0.0</v>
      </c>
      <c r="L859" s="3">
        <v>0.0</v>
      </c>
      <c r="M859" s="4" t="str">
        <f>Raw_Data!X859</f>
        <v>mwc</v>
      </c>
      <c r="N859" s="3">
        <v>33.0</v>
      </c>
      <c r="O859" s="3">
        <v>-16.423</v>
      </c>
      <c r="P859" s="3">
        <v>168.214</v>
      </c>
      <c r="Q859" s="3" t="s">
        <v>503</v>
      </c>
      <c r="R859" s="4"/>
      <c r="S859" s="3" t="s">
        <v>113</v>
      </c>
      <c r="T859" s="4" t="str">
        <f t="shared" si="2"/>
        <v>Valid</v>
      </c>
      <c r="U859" s="4">
        <f t="shared" si="3"/>
        <v>1</v>
      </c>
      <c r="V859" s="4" t="str">
        <f t="shared" si="4"/>
        <v>Unique</v>
      </c>
      <c r="W859" s="4" t="str">
        <f t="shared" si="5"/>
        <v>Unknown</v>
      </c>
      <c r="X859" s="4" t="str">
        <f t="shared" ref="X859:Z859" si="863">IF(Q859="","Unknown",Q859)</f>
        <v>Lakatoro, Vanuatu</v>
      </c>
      <c r="Y859" s="4" t="str">
        <f t="shared" si="863"/>
        <v>Unknown</v>
      </c>
      <c r="Z859" s="4" t="str">
        <f t="shared" si="863"/>
        <v>Vanuatu</v>
      </c>
      <c r="AA859" s="4" t="str">
        <f t="shared" si="7"/>
        <v>mwc</v>
      </c>
    </row>
    <row r="860">
      <c r="A860" s="3" t="s">
        <v>1974</v>
      </c>
      <c r="B860" s="3">
        <v>7.0</v>
      </c>
      <c r="C860" s="19">
        <f>Raw_Data!T860</f>
        <v>36483.58056</v>
      </c>
      <c r="D860" s="3">
        <v>0.0</v>
      </c>
      <c r="E860" s="3">
        <v>6.0</v>
      </c>
      <c r="F860" s="4"/>
      <c r="G860" s="3">
        <v>0.0</v>
      </c>
      <c r="H860" s="3">
        <v>754.0</v>
      </c>
      <c r="I860" s="3" t="s">
        <v>110</v>
      </c>
      <c r="J860" s="3">
        <v>0.0</v>
      </c>
      <c r="K860" s="3">
        <v>0.0</v>
      </c>
      <c r="L860" s="3">
        <v>0.0</v>
      </c>
      <c r="M860" s="4" t="str">
        <f>Raw_Data!X860</f>
        <v>mwc</v>
      </c>
      <c r="N860" s="3">
        <v>33.0</v>
      </c>
      <c r="O860" s="3">
        <v>-6.351</v>
      </c>
      <c r="P860" s="3">
        <v>148.763</v>
      </c>
      <c r="Q860" s="3" t="s">
        <v>774</v>
      </c>
      <c r="R860" s="4"/>
      <c r="S860" s="3" t="s">
        <v>168</v>
      </c>
      <c r="T860" s="4" t="str">
        <f t="shared" si="2"/>
        <v>Valid</v>
      </c>
      <c r="U860" s="4">
        <f t="shared" si="3"/>
        <v>1</v>
      </c>
      <c r="V860" s="4" t="str">
        <f t="shared" si="4"/>
        <v>Unique</v>
      </c>
      <c r="W860" s="4" t="str">
        <f t="shared" si="5"/>
        <v>Unknown</v>
      </c>
      <c r="X860" s="4" t="str">
        <f t="shared" ref="X860:Z860" si="864">IF(Q860="","Unknown",Q860)</f>
        <v>Kandrian, Papua New Guinea</v>
      </c>
      <c r="Y860" s="4" t="str">
        <f t="shared" si="864"/>
        <v>Unknown</v>
      </c>
      <c r="Z860" s="4" t="str">
        <f t="shared" si="864"/>
        <v>Papua New Guinea</v>
      </c>
      <c r="AA860" s="4" t="str">
        <f t="shared" si="7"/>
        <v>mwc</v>
      </c>
    </row>
    <row r="861">
      <c r="A861" s="3" t="s">
        <v>1976</v>
      </c>
      <c r="B861" s="3">
        <v>6.9</v>
      </c>
      <c r="C861" s="19">
        <f>Raw_Data!T861</f>
        <v>36481.14375</v>
      </c>
      <c r="D861" s="3">
        <v>0.0</v>
      </c>
      <c r="E861" s="3">
        <v>6.0</v>
      </c>
      <c r="F861" s="4"/>
      <c r="G861" s="3">
        <v>0.0</v>
      </c>
      <c r="H861" s="3">
        <v>732.0</v>
      </c>
      <c r="I861" s="3" t="s">
        <v>110</v>
      </c>
      <c r="J861" s="3">
        <v>0.0</v>
      </c>
      <c r="K861" s="3">
        <v>0.0</v>
      </c>
      <c r="L861" s="3">
        <v>0.0</v>
      </c>
      <c r="M861" s="4" t="str">
        <f>Raw_Data!X861</f>
        <v>mwc</v>
      </c>
      <c r="N861" s="3">
        <v>47.5</v>
      </c>
      <c r="O861" s="3">
        <v>-5.978</v>
      </c>
      <c r="P861" s="3">
        <v>148.82</v>
      </c>
      <c r="Q861" s="3" t="s">
        <v>774</v>
      </c>
      <c r="R861" s="4"/>
      <c r="S861" s="3" t="s">
        <v>168</v>
      </c>
      <c r="T861" s="4" t="str">
        <f t="shared" si="2"/>
        <v>Valid</v>
      </c>
      <c r="U861" s="4">
        <f t="shared" si="3"/>
        <v>1</v>
      </c>
      <c r="V861" s="4" t="str">
        <f t="shared" si="4"/>
        <v>Unique</v>
      </c>
      <c r="W861" s="4" t="str">
        <f t="shared" si="5"/>
        <v>Unknown</v>
      </c>
      <c r="X861" s="4" t="str">
        <f t="shared" ref="X861:Z861" si="865">IF(Q861="","Unknown",Q861)</f>
        <v>Kandrian, Papua New Guinea</v>
      </c>
      <c r="Y861" s="4" t="str">
        <f t="shared" si="865"/>
        <v>Unknown</v>
      </c>
      <c r="Z861" s="4" t="str">
        <f t="shared" si="865"/>
        <v>Papua New Guinea</v>
      </c>
      <c r="AA861" s="4" t="str">
        <f t="shared" si="7"/>
        <v>mwc</v>
      </c>
    </row>
    <row r="862">
      <c r="A862" s="3" t="s">
        <v>1978</v>
      </c>
      <c r="B862" s="3">
        <v>7.2</v>
      </c>
      <c r="C862" s="19">
        <f>Raw_Data!T862</f>
        <v>36476.70625</v>
      </c>
      <c r="D862" s="3">
        <v>0.0</v>
      </c>
      <c r="E862" s="3">
        <v>9.0</v>
      </c>
      <c r="F862" s="4"/>
      <c r="G862" s="3">
        <v>0.0</v>
      </c>
      <c r="H862" s="3">
        <v>798.0</v>
      </c>
      <c r="I862" s="3" t="s">
        <v>110</v>
      </c>
      <c r="J862" s="3">
        <v>0.0</v>
      </c>
      <c r="K862" s="3">
        <v>0.0</v>
      </c>
      <c r="L862" s="3">
        <v>0.0</v>
      </c>
      <c r="M862" s="4" t="str">
        <f>Raw_Data!X862</f>
        <v>mwc</v>
      </c>
      <c r="N862" s="3">
        <v>10.0</v>
      </c>
      <c r="O862" s="3">
        <v>40.758</v>
      </c>
      <c r="P862" s="3">
        <v>31.161</v>
      </c>
      <c r="Q862" s="3" t="s">
        <v>1979</v>
      </c>
      <c r="R862" s="3" t="s">
        <v>164</v>
      </c>
      <c r="S862" s="3" t="s">
        <v>471</v>
      </c>
      <c r="T862" s="4" t="str">
        <f t="shared" si="2"/>
        <v>Valid</v>
      </c>
      <c r="U862" s="4">
        <f t="shared" si="3"/>
        <v>1</v>
      </c>
      <c r="V862" s="4" t="str">
        <f t="shared" si="4"/>
        <v>Unique</v>
      </c>
      <c r="W862" s="4" t="str">
        <f t="shared" si="5"/>
        <v>Unknown</v>
      </c>
      <c r="X862" s="4" t="str">
        <f t="shared" ref="X862:Z862" si="866">IF(Q862="","Unknown",Q862)</f>
        <v>Düzce, Turkey</v>
      </c>
      <c r="Y862" s="4" t="str">
        <f t="shared" si="866"/>
        <v>Asia</v>
      </c>
      <c r="Z862" s="4" t="str">
        <f t="shared" si="866"/>
        <v>Turkey</v>
      </c>
      <c r="AA862" s="4" t="str">
        <f t="shared" si="7"/>
        <v>mwc</v>
      </c>
    </row>
    <row r="863">
      <c r="A863" s="3" t="s">
        <v>1980</v>
      </c>
      <c r="B863" s="3">
        <v>6.5</v>
      </c>
      <c r="C863" s="19">
        <f>Raw_Data!T863</f>
        <v>36472.69792</v>
      </c>
      <c r="D863" s="3">
        <v>0.0</v>
      </c>
      <c r="E863" s="3">
        <v>4.0</v>
      </c>
      <c r="F863" s="4"/>
      <c r="G863" s="3">
        <v>0.0</v>
      </c>
      <c r="H863" s="3">
        <v>650.0</v>
      </c>
      <c r="I863" s="3" t="s">
        <v>110</v>
      </c>
      <c r="J863" s="3">
        <v>0.0</v>
      </c>
      <c r="K863" s="3">
        <v>0.0</v>
      </c>
      <c r="L863" s="3">
        <v>0.0</v>
      </c>
      <c r="M863" s="4" t="str">
        <f>Raw_Data!X863</f>
        <v>mwc</v>
      </c>
      <c r="N863" s="3">
        <v>228.4</v>
      </c>
      <c r="O863" s="3">
        <v>36.522</v>
      </c>
      <c r="P863" s="3">
        <v>71.24</v>
      </c>
      <c r="Q863" s="3" t="s">
        <v>813</v>
      </c>
      <c r="R863" s="3" t="s">
        <v>164</v>
      </c>
      <c r="S863" s="3" t="s">
        <v>175</v>
      </c>
      <c r="T863" s="4" t="str">
        <f t="shared" si="2"/>
        <v>Valid</v>
      </c>
      <c r="U863" s="4">
        <f t="shared" si="3"/>
        <v>1</v>
      </c>
      <c r="V863" s="4" t="str">
        <f t="shared" si="4"/>
        <v>Unique</v>
      </c>
      <c r="W863" s="4" t="str">
        <f t="shared" si="5"/>
        <v>Unknown</v>
      </c>
      <c r="X863" s="4" t="str">
        <f t="shared" ref="X863:Z863" si="867">IF(Q863="","Unknown",Q863)</f>
        <v>Ashk?sham, Afghanistan</v>
      </c>
      <c r="Y863" s="4" t="str">
        <f t="shared" si="867"/>
        <v>Asia</v>
      </c>
      <c r="Z863" s="4" t="str">
        <f t="shared" si="867"/>
        <v>Afghanistan</v>
      </c>
      <c r="AA863" s="4" t="str">
        <f t="shared" si="7"/>
        <v>mwc</v>
      </c>
    </row>
    <row r="864">
      <c r="A864" s="3" t="s">
        <v>1981</v>
      </c>
      <c r="B864" s="3">
        <v>7.1</v>
      </c>
      <c r="C864" s="19">
        <f>Raw_Data!T864</f>
        <v>36449.40694</v>
      </c>
      <c r="D864" s="3">
        <v>8.0</v>
      </c>
      <c r="E864" s="3">
        <v>8.0</v>
      </c>
      <c r="F864" s="4"/>
      <c r="G864" s="3">
        <v>0.0</v>
      </c>
      <c r="H864" s="3">
        <v>1576.0</v>
      </c>
      <c r="I864" s="3" t="s">
        <v>513</v>
      </c>
      <c r="J864" s="3">
        <v>73.0</v>
      </c>
      <c r="K864" s="3">
        <v>0.0</v>
      </c>
      <c r="L864" s="3">
        <v>57.0</v>
      </c>
      <c r="M864" s="4" t="str">
        <f>Raw_Data!X864</f>
        <v>mw</v>
      </c>
      <c r="N864" s="3">
        <v>13.73</v>
      </c>
      <c r="O864" s="3">
        <v>34.6033</v>
      </c>
      <c r="P864" s="3">
        <v>-116.265</v>
      </c>
      <c r="Q864" s="3" t="s">
        <v>1983</v>
      </c>
      <c r="R864" s="3" t="s">
        <v>233</v>
      </c>
      <c r="S864" s="3" t="s">
        <v>318</v>
      </c>
      <c r="T864" s="4" t="str">
        <f t="shared" si="2"/>
        <v>Valid</v>
      </c>
      <c r="U864" s="4">
        <f t="shared" si="3"/>
        <v>1</v>
      </c>
      <c r="V864" s="4" t="str">
        <f t="shared" si="4"/>
        <v>Unique</v>
      </c>
      <c r="W864" s="4" t="str">
        <f t="shared" si="5"/>
        <v>Unknown</v>
      </c>
      <c r="X864" s="4" t="str">
        <f t="shared" ref="X864:Z864" si="868">IF(Q864="","Unknown",Q864)</f>
        <v>Hector Mine, CA Earthquake</v>
      </c>
      <c r="Y864" s="4" t="str">
        <f t="shared" si="868"/>
        <v>North America</v>
      </c>
      <c r="Z864" s="4" t="str">
        <f t="shared" si="868"/>
        <v>United States of America</v>
      </c>
      <c r="AA864" s="4" t="str">
        <f t="shared" si="7"/>
        <v>mw</v>
      </c>
    </row>
    <row r="865">
      <c r="A865" s="3" t="s">
        <v>1984</v>
      </c>
      <c r="B865" s="3">
        <v>7.5</v>
      </c>
      <c r="C865" s="19">
        <f>Raw_Data!T865</f>
        <v>36433.68819</v>
      </c>
      <c r="D865" s="3">
        <v>0.0</v>
      </c>
      <c r="E865" s="3">
        <v>8.0</v>
      </c>
      <c r="F865" s="4"/>
      <c r="G865" s="3">
        <v>0.0</v>
      </c>
      <c r="H865" s="3">
        <v>865.0</v>
      </c>
      <c r="I865" s="3" t="s">
        <v>110</v>
      </c>
      <c r="J865" s="3">
        <v>0.0</v>
      </c>
      <c r="K865" s="3">
        <v>0.0</v>
      </c>
      <c r="L865" s="3">
        <v>0.0</v>
      </c>
      <c r="M865" s="4" t="str">
        <f>Raw_Data!X865</f>
        <v>mwc</v>
      </c>
      <c r="N865" s="3">
        <v>60.6</v>
      </c>
      <c r="O865" s="3">
        <v>16.059</v>
      </c>
      <c r="P865" s="3">
        <v>-96.931</v>
      </c>
      <c r="Q865" s="3" t="s">
        <v>1986</v>
      </c>
      <c r="R865" s="3" t="s">
        <v>233</v>
      </c>
      <c r="S865" s="3" t="s">
        <v>234</v>
      </c>
      <c r="T865" s="4" t="str">
        <f t="shared" si="2"/>
        <v>Valid</v>
      </c>
      <c r="U865" s="4">
        <f t="shared" si="3"/>
        <v>1</v>
      </c>
      <c r="V865" s="4" t="str">
        <f t="shared" si="4"/>
        <v>Unique</v>
      </c>
      <c r="W865" s="4" t="str">
        <f t="shared" si="5"/>
        <v>Unknown</v>
      </c>
      <c r="X865" s="4" t="str">
        <f t="shared" ref="X865:Z865" si="869">IF(Q865="","Unknown",Q865)</f>
        <v>San Baltazar Loxicha, Mexico</v>
      </c>
      <c r="Y865" s="4" t="str">
        <f t="shared" si="869"/>
        <v>North America</v>
      </c>
      <c r="Z865" s="4" t="str">
        <f t="shared" si="869"/>
        <v>Mexico</v>
      </c>
      <c r="AA865" s="4" t="str">
        <f t="shared" si="7"/>
        <v>mwc</v>
      </c>
    </row>
    <row r="866">
      <c r="A866" s="3" t="s">
        <v>1987</v>
      </c>
      <c r="B866" s="3">
        <v>6.5</v>
      </c>
      <c r="C866" s="19">
        <f>Raw_Data!T866</f>
        <v>36428.99444</v>
      </c>
      <c r="D866" s="3">
        <v>0.0</v>
      </c>
      <c r="E866" s="3">
        <v>7.0</v>
      </c>
      <c r="F866" s="4"/>
      <c r="G866" s="3">
        <v>0.0</v>
      </c>
      <c r="H866" s="3">
        <v>650.0</v>
      </c>
      <c r="I866" s="3" t="s">
        <v>110</v>
      </c>
      <c r="J866" s="3">
        <v>0.0</v>
      </c>
      <c r="K866" s="3">
        <v>0.0</v>
      </c>
      <c r="L866" s="3">
        <v>0.0</v>
      </c>
      <c r="M866" s="4" t="str">
        <f>Raw_Data!X866</f>
        <v>mwc</v>
      </c>
      <c r="N866" s="3">
        <v>17.0</v>
      </c>
      <c r="O866" s="3">
        <v>23.738</v>
      </c>
      <c r="P866" s="3">
        <v>121.158</v>
      </c>
      <c r="Q866" s="3" t="s">
        <v>1989</v>
      </c>
      <c r="R866" s="3" t="s">
        <v>164</v>
      </c>
      <c r="S866" s="3" t="s">
        <v>240</v>
      </c>
      <c r="T866" s="4" t="str">
        <f t="shared" si="2"/>
        <v>Valid</v>
      </c>
      <c r="U866" s="4">
        <f t="shared" si="3"/>
        <v>1</v>
      </c>
      <c r="V866" s="4" t="str">
        <f t="shared" si="4"/>
        <v>Unique</v>
      </c>
      <c r="W866" s="4" t="str">
        <f t="shared" si="5"/>
        <v>Unknown</v>
      </c>
      <c r="X866" s="4" t="str">
        <f t="shared" ref="X866:Z866" si="870">IF(Q866="","Unknown",Q866)</f>
        <v>Puli, Taiwan</v>
      </c>
      <c r="Y866" s="4" t="str">
        <f t="shared" si="870"/>
        <v>Asia</v>
      </c>
      <c r="Z866" s="4" t="str">
        <f t="shared" si="870"/>
        <v>Taiwan</v>
      </c>
      <c r="AA866" s="4" t="str">
        <f t="shared" si="7"/>
        <v>mwc</v>
      </c>
    </row>
    <row r="867">
      <c r="A867" s="3" t="s">
        <v>1990</v>
      </c>
      <c r="B867" s="3">
        <v>7.7</v>
      </c>
      <c r="C867" s="19">
        <f>Raw_Data!T867</f>
        <v>36423.74097</v>
      </c>
      <c r="D867" s="3">
        <v>0.0</v>
      </c>
      <c r="E867" s="3">
        <v>9.0</v>
      </c>
      <c r="F867" s="4"/>
      <c r="G867" s="3">
        <v>0.0</v>
      </c>
      <c r="H867" s="3">
        <v>912.0</v>
      </c>
      <c r="I867" s="3" t="s">
        <v>110</v>
      </c>
      <c r="J867" s="3">
        <v>0.0</v>
      </c>
      <c r="K867" s="3">
        <v>0.0</v>
      </c>
      <c r="L867" s="3">
        <v>0.0</v>
      </c>
      <c r="M867" s="4" t="str">
        <f>Raw_Data!X867</f>
        <v>mwc</v>
      </c>
      <c r="N867" s="3">
        <v>33.0</v>
      </c>
      <c r="O867" s="3">
        <v>23.772</v>
      </c>
      <c r="P867" s="3">
        <v>120.982</v>
      </c>
      <c r="Q867" s="3" t="s">
        <v>1989</v>
      </c>
      <c r="R867" s="3" t="s">
        <v>164</v>
      </c>
      <c r="S867" s="3" t="s">
        <v>240</v>
      </c>
      <c r="T867" s="4" t="str">
        <f t="shared" si="2"/>
        <v>Valid</v>
      </c>
      <c r="U867" s="4">
        <f t="shared" si="3"/>
        <v>1</v>
      </c>
      <c r="V867" s="4" t="str">
        <f t="shared" si="4"/>
        <v>Unique</v>
      </c>
      <c r="W867" s="4" t="str">
        <f t="shared" si="5"/>
        <v>Unknown</v>
      </c>
      <c r="X867" s="4" t="str">
        <f t="shared" ref="X867:Z867" si="871">IF(Q867="","Unknown",Q867)</f>
        <v>Puli, Taiwan</v>
      </c>
      <c r="Y867" s="4" t="str">
        <f t="shared" si="871"/>
        <v>Asia</v>
      </c>
      <c r="Z867" s="4" t="str">
        <f t="shared" si="871"/>
        <v>Taiwan</v>
      </c>
      <c r="AA867" s="4" t="str">
        <f t="shared" si="7"/>
        <v>mwc</v>
      </c>
    </row>
    <row r="868">
      <c r="A868" s="3" t="s">
        <v>1992</v>
      </c>
      <c r="B868" s="3">
        <v>6.6</v>
      </c>
      <c r="C868" s="19">
        <f>Raw_Data!T868</f>
        <v>36394.52778</v>
      </c>
      <c r="D868" s="3">
        <v>0.0</v>
      </c>
      <c r="E868" s="3">
        <v>6.0</v>
      </c>
      <c r="F868" s="4"/>
      <c r="G868" s="3">
        <v>0.0</v>
      </c>
      <c r="H868" s="3">
        <v>670.0</v>
      </c>
      <c r="I868" s="3" t="s">
        <v>110</v>
      </c>
      <c r="J868" s="3">
        <v>0.0</v>
      </c>
      <c r="K868" s="3">
        <v>0.0</v>
      </c>
      <c r="L868" s="3">
        <v>0.0</v>
      </c>
      <c r="M868" s="4" t="str">
        <f>Raw_Data!X868</f>
        <v>mwc</v>
      </c>
      <c r="N868" s="3">
        <v>33.0</v>
      </c>
      <c r="O868" s="3">
        <v>-16.117</v>
      </c>
      <c r="P868" s="3">
        <v>168.039</v>
      </c>
      <c r="Q868" s="3" t="s">
        <v>503</v>
      </c>
      <c r="R868" s="4"/>
      <c r="S868" s="3" t="s">
        <v>113</v>
      </c>
      <c r="T868" s="4" t="str">
        <f t="shared" si="2"/>
        <v>Valid</v>
      </c>
      <c r="U868" s="4">
        <f t="shared" si="3"/>
        <v>1</v>
      </c>
      <c r="V868" s="4" t="str">
        <f t="shared" si="4"/>
        <v>Unique</v>
      </c>
      <c r="W868" s="4" t="str">
        <f t="shared" si="5"/>
        <v>Unknown</v>
      </c>
      <c r="X868" s="4" t="str">
        <f t="shared" ref="X868:Z868" si="872">IF(Q868="","Unknown",Q868)</f>
        <v>Lakatoro, Vanuatu</v>
      </c>
      <c r="Y868" s="4" t="str">
        <f t="shared" si="872"/>
        <v>Unknown</v>
      </c>
      <c r="Z868" s="4" t="str">
        <f t="shared" si="872"/>
        <v>Vanuatu</v>
      </c>
      <c r="AA868" s="4" t="str">
        <f t="shared" si="7"/>
        <v>mwc</v>
      </c>
    </row>
    <row r="869">
      <c r="A869" s="3" t="s">
        <v>1994</v>
      </c>
      <c r="B869" s="3">
        <v>6.9</v>
      </c>
      <c r="C869" s="19">
        <f>Raw_Data!T869</f>
        <v>36392.41806</v>
      </c>
      <c r="D869" s="3">
        <v>0.0</v>
      </c>
      <c r="E869" s="3">
        <v>6.0</v>
      </c>
      <c r="F869" s="4"/>
      <c r="G869" s="3">
        <v>0.0</v>
      </c>
      <c r="H869" s="3">
        <v>732.0</v>
      </c>
      <c r="I869" s="3" t="s">
        <v>110</v>
      </c>
      <c r="J869" s="3">
        <v>0.0</v>
      </c>
      <c r="K869" s="3">
        <v>0.0</v>
      </c>
      <c r="L869" s="3">
        <v>0.0</v>
      </c>
      <c r="M869" s="4" t="str">
        <f>Raw_Data!X869</f>
        <v>mwc</v>
      </c>
      <c r="N869" s="3">
        <v>20.0</v>
      </c>
      <c r="O869" s="3">
        <v>9.044</v>
      </c>
      <c r="P869" s="3">
        <v>-84.159</v>
      </c>
      <c r="Q869" s="3" t="s">
        <v>1996</v>
      </c>
      <c r="R869" s="4"/>
      <c r="S869" s="4"/>
      <c r="T869" s="4" t="str">
        <f t="shared" si="2"/>
        <v>Valid</v>
      </c>
      <c r="U869" s="4">
        <f t="shared" si="3"/>
        <v>1</v>
      </c>
      <c r="V869" s="4" t="str">
        <f t="shared" si="4"/>
        <v>Unique</v>
      </c>
      <c r="W869" s="4" t="str">
        <f t="shared" si="5"/>
        <v>Unknown</v>
      </c>
      <c r="X869" s="4" t="str">
        <f t="shared" ref="X869:Z869" si="873">IF(Q869="","Unknown",Q869)</f>
        <v>Quepos, Costa Rica</v>
      </c>
      <c r="Y869" s="4" t="str">
        <f t="shared" si="873"/>
        <v>Unknown</v>
      </c>
      <c r="Z869" s="4" t="str">
        <f t="shared" si="873"/>
        <v>Unknown</v>
      </c>
      <c r="AA869" s="4" t="str">
        <f t="shared" si="7"/>
        <v>mwc</v>
      </c>
    </row>
    <row r="870">
      <c r="A870" s="3" t="s">
        <v>1997</v>
      </c>
      <c r="B870" s="3">
        <v>7.6</v>
      </c>
      <c r="C870" s="19">
        <f>Raw_Data!T870</f>
        <v>36389.00069</v>
      </c>
      <c r="D870" s="3">
        <v>0.0</v>
      </c>
      <c r="E870" s="3">
        <v>9.0</v>
      </c>
      <c r="F870" s="4"/>
      <c r="G870" s="3">
        <v>0.0</v>
      </c>
      <c r="H870" s="3">
        <v>889.0</v>
      </c>
      <c r="I870" s="3" t="s">
        <v>110</v>
      </c>
      <c r="J870" s="3">
        <v>0.0</v>
      </c>
      <c r="K870" s="3">
        <v>0.0</v>
      </c>
      <c r="L870" s="3">
        <v>0.0</v>
      </c>
      <c r="M870" s="4" t="str">
        <f>Raw_Data!X870</f>
        <v>mwc</v>
      </c>
      <c r="N870" s="3">
        <v>17.0</v>
      </c>
      <c r="O870" s="3">
        <v>40.748</v>
      </c>
      <c r="P870" s="3">
        <v>29.864</v>
      </c>
      <c r="Q870" s="3" t="s">
        <v>1999</v>
      </c>
      <c r="R870" s="3" t="s">
        <v>164</v>
      </c>
      <c r="S870" s="3" t="s">
        <v>471</v>
      </c>
      <c r="T870" s="4" t="str">
        <f t="shared" si="2"/>
        <v>Valid</v>
      </c>
      <c r="U870" s="4">
        <f t="shared" si="3"/>
        <v>1</v>
      </c>
      <c r="V870" s="4" t="str">
        <f t="shared" si="4"/>
        <v>Unique</v>
      </c>
      <c r="W870" s="4" t="str">
        <f t="shared" si="5"/>
        <v>Unknown</v>
      </c>
      <c r="X870" s="4" t="str">
        <f t="shared" ref="X870:Z870" si="874">IF(Q870="","Unknown",Q870)</f>
        <v>Derince, Turkey</v>
      </c>
      <c r="Y870" s="4" t="str">
        <f t="shared" si="874"/>
        <v>Asia</v>
      </c>
      <c r="Z870" s="4" t="str">
        <f t="shared" si="874"/>
        <v>Turkey</v>
      </c>
      <c r="AA870" s="4" t="str">
        <f t="shared" si="7"/>
        <v>mwc</v>
      </c>
    </row>
    <row r="871">
      <c r="A871" s="3" t="s">
        <v>2000</v>
      </c>
      <c r="B871" s="3">
        <v>6.7</v>
      </c>
      <c r="C871" s="19">
        <f>Raw_Data!T871</f>
        <v>36352.59306</v>
      </c>
      <c r="D871" s="3">
        <v>0.0</v>
      </c>
      <c r="E871" s="3">
        <v>8.0</v>
      </c>
      <c r="F871" s="4"/>
      <c r="G871" s="3">
        <v>0.0</v>
      </c>
      <c r="H871" s="3">
        <v>691.0</v>
      </c>
      <c r="I871" s="3" t="s">
        <v>110</v>
      </c>
      <c r="J871" s="3">
        <v>0.0</v>
      </c>
      <c r="K871" s="3">
        <v>0.0</v>
      </c>
      <c r="L871" s="3">
        <v>0.0</v>
      </c>
      <c r="M871" s="4" t="str">
        <f>Raw_Data!X871</f>
        <v>mwc</v>
      </c>
      <c r="N871" s="3">
        <v>10.0</v>
      </c>
      <c r="O871" s="3">
        <v>15.782</v>
      </c>
      <c r="P871" s="3">
        <v>-88.33</v>
      </c>
      <c r="Q871" s="3" t="s">
        <v>2001</v>
      </c>
      <c r="R871" s="4"/>
      <c r="S871" s="3" t="s">
        <v>700</v>
      </c>
      <c r="T871" s="4" t="str">
        <f t="shared" si="2"/>
        <v>Valid</v>
      </c>
      <c r="U871" s="4">
        <f t="shared" si="3"/>
        <v>1</v>
      </c>
      <c r="V871" s="4" t="str">
        <f t="shared" si="4"/>
        <v>Unique</v>
      </c>
      <c r="W871" s="4" t="str">
        <f t="shared" si="5"/>
        <v>Unknown</v>
      </c>
      <c r="X871" s="4" t="str">
        <f t="shared" ref="X871:Z871" si="875">IF(Q871="","Unknown",Q871)</f>
        <v>Potrerillos, Honduras</v>
      </c>
      <c r="Y871" s="4" t="str">
        <f t="shared" si="875"/>
        <v>Unknown</v>
      </c>
      <c r="Z871" s="4" t="str">
        <f t="shared" si="875"/>
        <v>Guatemala</v>
      </c>
      <c r="AA871" s="4" t="str">
        <f t="shared" si="7"/>
        <v>mwc</v>
      </c>
    </row>
    <row r="872">
      <c r="A872" s="3" t="s">
        <v>2002</v>
      </c>
      <c r="B872" s="3">
        <v>7.0</v>
      </c>
      <c r="C872" s="19">
        <f>Raw_Data!T872</f>
        <v>36326.8625</v>
      </c>
      <c r="D872" s="3">
        <v>0.0</v>
      </c>
      <c r="E872" s="3">
        <v>7.0</v>
      </c>
      <c r="F872" s="4"/>
      <c r="G872" s="3">
        <v>0.0</v>
      </c>
      <c r="H872" s="3">
        <v>754.0</v>
      </c>
      <c r="I872" s="3" t="s">
        <v>110</v>
      </c>
      <c r="J872" s="3">
        <v>0.0</v>
      </c>
      <c r="K872" s="3">
        <v>0.0</v>
      </c>
      <c r="L872" s="3">
        <v>0.0</v>
      </c>
      <c r="M872" s="4" t="str">
        <f>Raw_Data!X872</f>
        <v>mwc</v>
      </c>
      <c r="N872" s="3">
        <v>70.0</v>
      </c>
      <c r="O872" s="3">
        <v>18.386</v>
      </c>
      <c r="P872" s="3">
        <v>-97.436</v>
      </c>
      <c r="Q872" s="3" t="s">
        <v>2004</v>
      </c>
      <c r="R872" s="3" t="s">
        <v>233</v>
      </c>
      <c r="S872" s="3" t="s">
        <v>234</v>
      </c>
      <c r="T872" s="4" t="str">
        <f t="shared" si="2"/>
        <v>Valid</v>
      </c>
      <c r="U872" s="4">
        <f t="shared" si="3"/>
        <v>1</v>
      </c>
      <c r="V872" s="4" t="str">
        <f t="shared" si="4"/>
        <v>Unique</v>
      </c>
      <c r="W872" s="4" t="str">
        <f t="shared" si="5"/>
        <v>Unknown</v>
      </c>
      <c r="X872" s="4" t="str">
        <f t="shared" ref="X872:Z872" si="876">IF(Q872="","Unknown",Q872)</f>
        <v>Texcala, Mexico</v>
      </c>
      <c r="Y872" s="4" t="str">
        <f t="shared" si="876"/>
        <v>North America</v>
      </c>
      <c r="Z872" s="4" t="str">
        <f t="shared" si="876"/>
        <v>Mexico</v>
      </c>
      <c r="AA872" s="4" t="str">
        <f t="shared" si="7"/>
        <v>mwc</v>
      </c>
    </row>
    <row r="873">
      <c r="A873" s="3" t="s">
        <v>2005</v>
      </c>
      <c r="B873" s="3">
        <v>6.6</v>
      </c>
      <c r="C873" s="19">
        <f>Raw_Data!T873</f>
        <v>36297.42153</v>
      </c>
      <c r="D873" s="3">
        <v>0.0</v>
      </c>
      <c r="E873" s="3">
        <v>5.0</v>
      </c>
      <c r="F873" s="4"/>
      <c r="G873" s="3">
        <v>0.0</v>
      </c>
      <c r="H873" s="3">
        <v>670.0</v>
      </c>
      <c r="I873" s="3" t="s">
        <v>110</v>
      </c>
      <c r="J873" s="3">
        <v>0.0</v>
      </c>
      <c r="K873" s="3">
        <v>0.0</v>
      </c>
      <c r="L873" s="3">
        <v>0.0</v>
      </c>
      <c r="M873" s="4" t="str">
        <f>Raw_Data!X873</f>
        <v>mwc</v>
      </c>
      <c r="N873" s="3">
        <v>27.0</v>
      </c>
      <c r="O873" s="3">
        <v>-5.165</v>
      </c>
      <c r="P873" s="3">
        <v>152.877</v>
      </c>
      <c r="Q873" s="3" t="s">
        <v>633</v>
      </c>
      <c r="R873" s="4"/>
      <c r="S873" s="3" t="s">
        <v>168</v>
      </c>
      <c r="T873" s="4" t="str">
        <f t="shared" si="2"/>
        <v>Valid</v>
      </c>
      <c r="U873" s="4">
        <f t="shared" si="3"/>
        <v>1</v>
      </c>
      <c r="V873" s="4" t="str">
        <f t="shared" si="4"/>
        <v>Unique</v>
      </c>
      <c r="W873" s="4" t="str">
        <f t="shared" si="5"/>
        <v>Unknown</v>
      </c>
      <c r="X873" s="4" t="str">
        <f t="shared" ref="X873:Z873" si="877">IF(Q873="","Unknown",Q873)</f>
        <v>Kokopo, Papua New Guinea</v>
      </c>
      <c r="Y873" s="4" t="str">
        <f t="shared" si="877"/>
        <v>Unknown</v>
      </c>
      <c r="Z873" s="4" t="str">
        <f t="shared" si="877"/>
        <v>Papua New Guinea</v>
      </c>
      <c r="AA873" s="4" t="str">
        <f t="shared" si="7"/>
        <v>mwc</v>
      </c>
    </row>
    <row r="874">
      <c r="A874" s="3" t="s">
        <v>2007</v>
      </c>
      <c r="B874" s="3">
        <v>7.1</v>
      </c>
      <c r="C874" s="19">
        <f>Raw_Data!T874</f>
        <v>36296.03542</v>
      </c>
      <c r="D874" s="3">
        <v>0.0</v>
      </c>
      <c r="E874" s="3">
        <v>7.0</v>
      </c>
      <c r="F874" s="4"/>
      <c r="G874" s="3">
        <v>0.0</v>
      </c>
      <c r="H874" s="3">
        <v>776.0</v>
      </c>
      <c r="I874" s="3" t="s">
        <v>110</v>
      </c>
      <c r="J874" s="3">
        <v>0.0</v>
      </c>
      <c r="K874" s="3">
        <v>0.0</v>
      </c>
      <c r="L874" s="3">
        <v>0.0</v>
      </c>
      <c r="M874" s="4" t="str">
        <f>Raw_Data!X874</f>
        <v>mwc</v>
      </c>
      <c r="N874" s="3">
        <v>73.7</v>
      </c>
      <c r="O874" s="3">
        <v>-4.751</v>
      </c>
      <c r="P874" s="3">
        <v>152.486</v>
      </c>
      <c r="Q874" s="3" t="s">
        <v>633</v>
      </c>
      <c r="R874" s="4"/>
      <c r="S874" s="3" t="s">
        <v>168</v>
      </c>
      <c r="T874" s="4" t="str">
        <f t="shared" si="2"/>
        <v>Valid</v>
      </c>
      <c r="U874" s="4">
        <f t="shared" si="3"/>
        <v>1</v>
      </c>
      <c r="V874" s="4" t="str">
        <f t="shared" si="4"/>
        <v>Unique</v>
      </c>
      <c r="W874" s="4" t="str">
        <f t="shared" si="5"/>
        <v>Unknown</v>
      </c>
      <c r="X874" s="4" t="str">
        <f t="shared" ref="X874:Z874" si="878">IF(Q874="","Unknown",Q874)</f>
        <v>Kokopo, Papua New Guinea</v>
      </c>
      <c r="Y874" s="4" t="str">
        <f t="shared" si="878"/>
        <v>Unknown</v>
      </c>
      <c r="Z874" s="4" t="str">
        <f t="shared" si="878"/>
        <v>Papua New Guinea</v>
      </c>
      <c r="AA874" s="4" t="str">
        <f t="shared" si="7"/>
        <v>mwc</v>
      </c>
    </row>
    <row r="875">
      <c r="A875" s="3" t="s">
        <v>2009</v>
      </c>
      <c r="B875" s="3">
        <v>7.1</v>
      </c>
      <c r="C875" s="19">
        <f>Raw_Data!T875</f>
        <v>36290.85625</v>
      </c>
      <c r="D875" s="3">
        <v>0.0</v>
      </c>
      <c r="E875" s="3">
        <v>7.0</v>
      </c>
      <c r="F875" s="4"/>
      <c r="G875" s="3">
        <v>0.0</v>
      </c>
      <c r="H875" s="3">
        <v>776.0</v>
      </c>
      <c r="I875" s="3" t="s">
        <v>110</v>
      </c>
      <c r="J875" s="3">
        <v>0.0</v>
      </c>
      <c r="K875" s="3">
        <v>0.0</v>
      </c>
      <c r="L875" s="3">
        <v>0.0</v>
      </c>
      <c r="M875" s="4" t="str">
        <f>Raw_Data!X875</f>
        <v>mwb</v>
      </c>
      <c r="N875" s="3">
        <v>138.0</v>
      </c>
      <c r="O875" s="3">
        <v>-5.159</v>
      </c>
      <c r="P875" s="3">
        <v>150.88</v>
      </c>
      <c r="Q875" s="3" t="s">
        <v>187</v>
      </c>
      <c r="R875" s="4"/>
      <c r="S875" s="3" t="s">
        <v>168</v>
      </c>
      <c r="T875" s="4" t="str">
        <f t="shared" si="2"/>
        <v>Valid</v>
      </c>
      <c r="U875" s="4">
        <f t="shared" si="3"/>
        <v>1</v>
      </c>
      <c r="V875" s="4" t="str">
        <f t="shared" si="4"/>
        <v>Unique</v>
      </c>
      <c r="W875" s="4" t="str">
        <f t="shared" si="5"/>
        <v>Unknown</v>
      </c>
      <c r="X875" s="4" t="str">
        <f t="shared" ref="X875:Z875" si="879">IF(Q875="","Unknown",Q875)</f>
        <v>Kimbe, Papua New Guinea</v>
      </c>
      <c r="Y875" s="4" t="str">
        <f t="shared" si="879"/>
        <v>Unknown</v>
      </c>
      <c r="Z875" s="4" t="str">
        <f t="shared" si="879"/>
        <v>Papua New Guinea</v>
      </c>
      <c r="AA875" s="4" t="str">
        <f t="shared" si="7"/>
        <v>mwb</v>
      </c>
    </row>
    <row r="876">
      <c r="A876" s="3" t="s">
        <v>2010</v>
      </c>
      <c r="B876" s="3">
        <v>6.8</v>
      </c>
      <c r="C876" s="19">
        <f>Raw_Data!T876</f>
        <v>36263.44306</v>
      </c>
      <c r="D876" s="3">
        <v>0.0</v>
      </c>
      <c r="E876" s="3">
        <v>5.0</v>
      </c>
      <c r="F876" s="4"/>
      <c r="G876" s="3">
        <v>0.0</v>
      </c>
      <c r="H876" s="3">
        <v>711.0</v>
      </c>
      <c r="I876" s="3" t="s">
        <v>110</v>
      </c>
      <c r="J876" s="3">
        <v>0.0</v>
      </c>
      <c r="K876" s="3">
        <v>0.0</v>
      </c>
      <c r="L876" s="3">
        <v>0.0</v>
      </c>
      <c r="M876" s="4" t="str">
        <f>Raw_Data!X876</f>
        <v>mwc</v>
      </c>
      <c r="N876" s="3">
        <v>164.2</v>
      </c>
      <c r="O876" s="3">
        <v>-21.422</v>
      </c>
      <c r="P876" s="3">
        <v>-176.46</v>
      </c>
      <c r="Q876" s="3" t="s">
        <v>374</v>
      </c>
      <c r="R876" s="4"/>
      <c r="S876" s="4"/>
      <c r="T876" s="4" t="str">
        <f t="shared" si="2"/>
        <v>Valid</v>
      </c>
      <c r="U876" s="4">
        <f t="shared" si="3"/>
        <v>1</v>
      </c>
      <c r="V876" s="4" t="str">
        <f t="shared" si="4"/>
        <v>Unique</v>
      </c>
      <c r="W876" s="4" t="str">
        <f t="shared" si="5"/>
        <v>Unknown</v>
      </c>
      <c r="X876" s="4" t="str">
        <f t="shared" ref="X876:Z876" si="880">IF(Q876="","Unknown",Q876)</f>
        <v>Haveluloto, Tonga</v>
      </c>
      <c r="Y876" s="4" t="str">
        <f t="shared" si="880"/>
        <v>Unknown</v>
      </c>
      <c r="Z876" s="4" t="str">
        <f t="shared" si="880"/>
        <v>Unknown</v>
      </c>
      <c r="AA876" s="4" t="str">
        <f t="shared" si="7"/>
        <v>mwc</v>
      </c>
    </row>
    <row r="877">
      <c r="A877" s="3" t="s">
        <v>2012</v>
      </c>
      <c r="B877" s="3">
        <v>7.4</v>
      </c>
      <c r="C877" s="19">
        <f>Raw_Data!T877</f>
        <v>36255.46389</v>
      </c>
      <c r="D877" s="3">
        <v>0.0</v>
      </c>
      <c r="E877" s="3">
        <v>7.0</v>
      </c>
      <c r="F877" s="4"/>
      <c r="G877" s="3">
        <v>0.0</v>
      </c>
      <c r="H877" s="3">
        <v>842.0</v>
      </c>
      <c r="I877" s="3" t="s">
        <v>110</v>
      </c>
      <c r="J877" s="3">
        <v>0.0</v>
      </c>
      <c r="K877" s="3">
        <v>0.0</v>
      </c>
      <c r="L877" s="3">
        <v>0.0</v>
      </c>
      <c r="M877" s="4" t="str">
        <f>Raw_Data!X877</f>
        <v>mwc</v>
      </c>
      <c r="N877" s="3">
        <v>150.0</v>
      </c>
      <c r="O877" s="3">
        <v>-5.591</v>
      </c>
      <c r="P877" s="3">
        <v>149.568</v>
      </c>
      <c r="Q877" s="3" t="s">
        <v>187</v>
      </c>
      <c r="R877" s="4"/>
      <c r="S877" s="3" t="s">
        <v>168</v>
      </c>
      <c r="T877" s="4" t="str">
        <f t="shared" si="2"/>
        <v>Valid</v>
      </c>
      <c r="U877" s="4">
        <f t="shared" si="3"/>
        <v>1</v>
      </c>
      <c r="V877" s="4" t="str">
        <f t="shared" si="4"/>
        <v>Unique</v>
      </c>
      <c r="W877" s="4" t="str">
        <f t="shared" si="5"/>
        <v>Unknown</v>
      </c>
      <c r="X877" s="4" t="str">
        <f t="shared" ref="X877:Z877" si="881">IF(Q877="","Unknown",Q877)</f>
        <v>Kimbe, Papua New Guinea</v>
      </c>
      <c r="Y877" s="4" t="str">
        <f t="shared" si="881"/>
        <v>Unknown</v>
      </c>
      <c r="Z877" s="4" t="str">
        <f t="shared" si="881"/>
        <v>Papua New Guinea</v>
      </c>
      <c r="AA877" s="4" t="str">
        <f t="shared" si="7"/>
        <v>mwc</v>
      </c>
    </row>
    <row r="878">
      <c r="A878" s="3" t="s">
        <v>2013</v>
      </c>
      <c r="B878" s="3">
        <v>6.8</v>
      </c>
      <c r="C878" s="19">
        <f>Raw_Data!T878</f>
        <v>36253.26181</v>
      </c>
      <c r="D878" s="3">
        <v>0.0</v>
      </c>
      <c r="E878" s="3">
        <v>7.0</v>
      </c>
      <c r="F878" s="4"/>
      <c r="G878" s="3">
        <v>0.0</v>
      </c>
      <c r="H878" s="3">
        <v>711.0</v>
      </c>
      <c r="I878" s="3" t="s">
        <v>110</v>
      </c>
      <c r="J878" s="3">
        <v>0.0</v>
      </c>
      <c r="K878" s="3">
        <v>0.0</v>
      </c>
      <c r="L878" s="3">
        <v>0.0</v>
      </c>
      <c r="M878" s="4" t="str">
        <f>Raw_Data!X878</f>
        <v>mwc</v>
      </c>
      <c r="N878" s="3">
        <v>87.2</v>
      </c>
      <c r="O878" s="3">
        <v>-16.66</v>
      </c>
      <c r="P878" s="3">
        <v>-72.662</v>
      </c>
      <c r="Q878" s="3" t="s">
        <v>2014</v>
      </c>
      <c r="R878" s="3" t="s">
        <v>121</v>
      </c>
      <c r="S878" s="3" t="s">
        <v>265</v>
      </c>
      <c r="T878" s="4" t="str">
        <f t="shared" si="2"/>
        <v>Valid</v>
      </c>
      <c r="U878" s="4">
        <f t="shared" si="3"/>
        <v>1</v>
      </c>
      <c r="V878" s="4" t="str">
        <f t="shared" si="4"/>
        <v>Unique</v>
      </c>
      <c r="W878" s="4" t="str">
        <f t="shared" si="5"/>
        <v>Unknown</v>
      </c>
      <c r="X878" s="4" t="str">
        <f t="shared" ref="X878:Z878" si="882">IF(Q878="","Unknown",Q878)</f>
        <v>Camaná, Peru</v>
      </c>
      <c r="Y878" s="4" t="str">
        <f t="shared" si="882"/>
        <v>South America</v>
      </c>
      <c r="Z878" s="4" t="str">
        <f t="shared" si="882"/>
        <v>Peru</v>
      </c>
      <c r="AA878" s="4" t="str">
        <f t="shared" si="7"/>
        <v>mwc</v>
      </c>
    </row>
    <row r="879">
      <c r="A879" s="3" t="s">
        <v>2015</v>
      </c>
      <c r="B879" s="3">
        <v>6.6</v>
      </c>
      <c r="C879" s="19">
        <f>Raw_Data!T879</f>
        <v>36247.79514</v>
      </c>
      <c r="D879" s="3">
        <v>0.0</v>
      </c>
      <c r="E879" s="3">
        <v>7.0</v>
      </c>
      <c r="F879" s="4"/>
      <c r="G879" s="3">
        <v>0.0</v>
      </c>
      <c r="H879" s="3">
        <v>670.0</v>
      </c>
      <c r="I879" s="3" t="s">
        <v>110</v>
      </c>
      <c r="J879" s="3">
        <v>0.0</v>
      </c>
      <c r="K879" s="3">
        <v>0.0</v>
      </c>
      <c r="L879" s="3">
        <v>0.0</v>
      </c>
      <c r="M879" s="4" t="str">
        <f>Raw_Data!X879</f>
        <v>mwb</v>
      </c>
      <c r="N879" s="3">
        <v>15.0</v>
      </c>
      <c r="O879" s="3">
        <v>30.512</v>
      </c>
      <c r="P879" s="3">
        <v>79.403</v>
      </c>
      <c r="Q879" s="3" t="s">
        <v>2017</v>
      </c>
      <c r="R879" s="3" t="s">
        <v>164</v>
      </c>
      <c r="S879" s="3" t="s">
        <v>835</v>
      </c>
      <c r="T879" s="4" t="str">
        <f t="shared" si="2"/>
        <v>Valid</v>
      </c>
      <c r="U879" s="4">
        <f t="shared" si="3"/>
        <v>1</v>
      </c>
      <c r="V879" s="4" t="str">
        <f t="shared" si="4"/>
        <v>Unique</v>
      </c>
      <c r="W879" s="4" t="str">
        <f t="shared" si="5"/>
        <v>Unknown</v>
      </c>
      <c r="X879" s="4" t="str">
        <f t="shared" ref="X879:Z879" si="883">IF(Q879="","Unknown",Q879)</f>
        <v>P?palkoti, India</v>
      </c>
      <c r="Y879" s="4" t="str">
        <f t="shared" si="883"/>
        <v>Asia</v>
      </c>
      <c r="Z879" s="4" t="str">
        <f t="shared" si="883"/>
        <v>India</v>
      </c>
      <c r="AA879" s="4" t="str">
        <f t="shared" si="7"/>
        <v>mwb</v>
      </c>
    </row>
    <row r="880">
      <c r="A880" s="3" t="s">
        <v>2018</v>
      </c>
      <c r="B880" s="3">
        <v>6.9</v>
      </c>
      <c r="C880" s="19">
        <f>Raw_Data!T880</f>
        <v>36239.44931</v>
      </c>
      <c r="D880" s="3">
        <v>0.0</v>
      </c>
      <c r="E880" s="3">
        <v>6.0</v>
      </c>
      <c r="F880" s="4"/>
      <c r="G880" s="3">
        <v>0.0</v>
      </c>
      <c r="H880" s="3">
        <v>732.0</v>
      </c>
      <c r="I880" s="3" t="s">
        <v>110</v>
      </c>
      <c r="J880" s="3">
        <v>0.0</v>
      </c>
      <c r="K880" s="3">
        <v>0.0</v>
      </c>
      <c r="L880" s="3">
        <v>0.0</v>
      </c>
      <c r="M880" s="4" t="str">
        <f>Raw_Data!X880</f>
        <v>mwc</v>
      </c>
      <c r="N880" s="3">
        <v>33.0</v>
      </c>
      <c r="O880" s="3">
        <v>51.587</v>
      </c>
      <c r="P880" s="3">
        <v>-177.668</v>
      </c>
      <c r="Q880" s="3" t="s">
        <v>620</v>
      </c>
      <c r="R880" s="3" t="s">
        <v>233</v>
      </c>
      <c r="S880" s="3" t="s">
        <v>318</v>
      </c>
      <c r="T880" s="4" t="str">
        <f t="shared" si="2"/>
        <v>Valid</v>
      </c>
      <c r="U880" s="4">
        <f t="shared" si="3"/>
        <v>1</v>
      </c>
      <c r="V880" s="4" t="str">
        <f t="shared" si="4"/>
        <v>Unique</v>
      </c>
      <c r="W880" s="4" t="str">
        <f t="shared" si="5"/>
        <v>Unknown</v>
      </c>
      <c r="X880" s="4" t="str">
        <f t="shared" ref="X880:Z880" si="884">IF(Q880="","Unknown",Q880)</f>
        <v>Adak, Alaska</v>
      </c>
      <c r="Y880" s="4" t="str">
        <f t="shared" si="884"/>
        <v>North America</v>
      </c>
      <c r="Z880" s="4" t="str">
        <f t="shared" si="884"/>
        <v>United States of America</v>
      </c>
      <c r="AA880" s="4" t="str">
        <f t="shared" si="7"/>
        <v>mwc</v>
      </c>
    </row>
    <row r="881">
      <c r="A881" s="3" t="s">
        <v>2020</v>
      </c>
      <c r="B881" s="3">
        <v>6.9</v>
      </c>
      <c r="C881" s="19">
        <f>Raw_Data!T881</f>
        <v>36227.51736</v>
      </c>
      <c r="D881" s="3">
        <v>0.0</v>
      </c>
      <c r="E881" s="3">
        <v>5.0</v>
      </c>
      <c r="F881" s="4"/>
      <c r="G881" s="3">
        <v>0.0</v>
      </c>
      <c r="H881" s="3">
        <v>732.0</v>
      </c>
      <c r="I881" s="3" t="s">
        <v>110</v>
      </c>
      <c r="J881" s="3">
        <v>0.0</v>
      </c>
      <c r="K881" s="3">
        <v>0.0</v>
      </c>
      <c r="L881" s="3">
        <v>0.0</v>
      </c>
      <c r="M881" s="4" t="str">
        <f>Raw_Data!X881</f>
        <v>mwc</v>
      </c>
      <c r="N881" s="3">
        <v>56.6</v>
      </c>
      <c r="O881" s="3">
        <v>52.056</v>
      </c>
      <c r="P881" s="3">
        <v>159.52</v>
      </c>
      <c r="Q881" s="3" t="s">
        <v>2021</v>
      </c>
      <c r="R881" s="4"/>
      <c r="S881" s="4"/>
      <c r="T881" s="4" t="str">
        <f t="shared" si="2"/>
        <v>Valid</v>
      </c>
      <c r="U881" s="4">
        <f t="shared" si="3"/>
        <v>1</v>
      </c>
      <c r="V881" s="4" t="str">
        <f t="shared" si="4"/>
        <v>Unique</v>
      </c>
      <c r="W881" s="4" t="str">
        <f t="shared" si="5"/>
        <v>Unknown</v>
      </c>
      <c r="X881" s="4" t="str">
        <f t="shared" ref="X881:Z881" si="885">IF(Q881="","Unknown",Q881)</f>
        <v>Vilyuchinsk, Russia</v>
      </c>
      <c r="Y881" s="4" t="str">
        <f t="shared" si="885"/>
        <v>Unknown</v>
      </c>
      <c r="Z881" s="4" t="str">
        <f t="shared" si="885"/>
        <v>Unknown</v>
      </c>
      <c r="AA881" s="4" t="str">
        <f t="shared" si="7"/>
        <v>mwc</v>
      </c>
    </row>
    <row r="882">
      <c r="A882" s="3" t="s">
        <v>2022</v>
      </c>
      <c r="B882" s="3">
        <v>7.1</v>
      </c>
      <c r="C882" s="19">
        <f>Raw_Data!T882</f>
        <v>36223.36944</v>
      </c>
      <c r="D882" s="3">
        <v>0.0</v>
      </c>
      <c r="E882" s="3">
        <v>6.0</v>
      </c>
      <c r="F882" s="4"/>
      <c r="G882" s="3">
        <v>0.0</v>
      </c>
      <c r="H882" s="3">
        <v>776.0</v>
      </c>
      <c r="I882" s="3" t="s">
        <v>110</v>
      </c>
      <c r="J882" s="3">
        <v>0.0</v>
      </c>
      <c r="K882" s="3">
        <v>0.0</v>
      </c>
      <c r="L882" s="3">
        <v>0.0</v>
      </c>
      <c r="M882" s="4" t="str">
        <f>Raw_Data!X882</f>
        <v>mwc</v>
      </c>
      <c r="N882" s="3">
        <v>33.0</v>
      </c>
      <c r="O882" s="3">
        <v>5.397</v>
      </c>
      <c r="P882" s="3">
        <v>121.937</v>
      </c>
      <c r="Q882" s="3" t="s">
        <v>732</v>
      </c>
      <c r="R882" s="4"/>
      <c r="S882" s="4"/>
      <c r="T882" s="4" t="str">
        <f t="shared" si="2"/>
        <v>Valid</v>
      </c>
      <c r="U882" s="4">
        <f t="shared" si="3"/>
        <v>1</v>
      </c>
      <c r="V882" s="4" t="str">
        <f t="shared" si="4"/>
        <v>Unique</v>
      </c>
      <c r="W882" s="4" t="str">
        <f t="shared" si="5"/>
        <v>Unknown</v>
      </c>
      <c r="X882" s="4" t="str">
        <f t="shared" ref="X882:Z882" si="886">IF(Q882="","Unknown",Q882)</f>
        <v>Tabiauan, Philippines</v>
      </c>
      <c r="Y882" s="4" t="str">
        <f t="shared" si="886"/>
        <v>Unknown</v>
      </c>
      <c r="Z882" s="4" t="str">
        <f t="shared" si="886"/>
        <v>Unknown</v>
      </c>
      <c r="AA882" s="4" t="str">
        <f t="shared" si="7"/>
        <v>mwc</v>
      </c>
    </row>
    <row r="883">
      <c r="A883" s="3" t="s">
        <v>2023</v>
      </c>
      <c r="B883" s="3">
        <v>6.6</v>
      </c>
      <c r="C883" s="19">
        <f>Raw_Data!T883</f>
        <v>36223.23472</v>
      </c>
      <c r="D883" s="3">
        <v>0.0</v>
      </c>
      <c r="E883" s="3">
        <v>7.0</v>
      </c>
      <c r="F883" s="4"/>
      <c r="G883" s="3">
        <v>0.0</v>
      </c>
      <c r="H883" s="3">
        <v>670.0</v>
      </c>
      <c r="I883" s="3" t="s">
        <v>110</v>
      </c>
      <c r="J883" s="3">
        <v>0.0</v>
      </c>
      <c r="K883" s="3">
        <v>0.0</v>
      </c>
      <c r="L883" s="3">
        <v>0.0</v>
      </c>
      <c r="M883" s="4" t="str">
        <f>Raw_Data!X883</f>
        <v>mwc</v>
      </c>
      <c r="N883" s="3">
        <v>33.0</v>
      </c>
      <c r="O883" s="3">
        <v>28.343</v>
      </c>
      <c r="P883" s="3">
        <v>57.193</v>
      </c>
      <c r="Q883" s="3" t="s">
        <v>2024</v>
      </c>
      <c r="R883" s="3" t="s">
        <v>164</v>
      </c>
      <c r="S883" s="3" t="s">
        <v>665</v>
      </c>
      <c r="T883" s="4" t="str">
        <f t="shared" si="2"/>
        <v>Valid</v>
      </c>
      <c r="U883" s="4">
        <f t="shared" si="3"/>
        <v>1</v>
      </c>
      <c r="V883" s="4" t="str">
        <f t="shared" si="4"/>
        <v>Unique</v>
      </c>
      <c r="W883" s="4" t="str">
        <f t="shared" si="5"/>
        <v>Unknown</v>
      </c>
      <c r="X883" s="4" t="str">
        <f t="shared" ref="X883:Z883" si="887">IF(Q883="","Unknown",Q883)</f>
        <v>K?h Sef?d, Iran</v>
      </c>
      <c r="Y883" s="4" t="str">
        <f t="shared" si="887"/>
        <v>Asia</v>
      </c>
      <c r="Z883" s="4" t="str">
        <f t="shared" si="887"/>
        <v>Iran</v>
      </c>
      <c r="AA883" s="4" t="str">
        <f t="shared" si="7"/>
        <v>mwc</v>
      </c>
    </row>
    <row r="884">
      <c r="A884" s="3" t="s">
        <v>2025</v>
      </c>
      <c r="B884" s="3">
        <v>7.3</v>
      </c>
      <c r="C884" s="19">
        <f>Raw_Data!T884</f>
        <v>36197.90764</v>
      </c>
      <c r="D884" s="3">
        <v>0.0</v>
      </c>
      <c r="E884" s="3">
        <v>7.0</v>
      </c>
      <c r="F884" s="4"/>
      <c r="G884" s="3">
        <v>0.0</v>
      </c>
      <c r="H884" s="3">
        <v>820.0</v>
      </c>
      <c r="I884" s="3" t="s">
        <v>110</v>
      </c>
      <c r="J884" s="3">
        <v>0.0</v>
      </c>
      <c r="K884" s="3">
        <v>0.0</v>
      </c>
      <c r="L884" s="3">
        <v>0.0</v>
      </c>
      <c r="M884" s="4" t="str">
        <f>Raw_Data!X884</f>
        <v>mwc</v>
      </c>
      <c r="N884" s="3">
        <v>90.1</v>
      </c>
      <c r="O884" s="3">
        <v>-12.853</v>
      </c>
      <c r="P884" s="3">
        <v>166.697</v>
      </c>
      <c r="Q884" s="3" t="s">
        <v>112</v>
      </c>
      <c r="R884" s="4"/>
      <c r="S884" s="4"/>
      <c r="T884" s="4" t="str">
        <f t="shared" si="2"/>
        <v>Valid</v>
      </c>
      <c r="U884" s="4">
        <f t="shared" si="3"/>
        <v>1</v>
      </c>
      <c r="V884" s="4" t="str">
        <f t="shared" si="4"/>
        <v>Unique</v>
      </c>
      <c r="W884" s="4" t="str">
        <f t="shared" si="5"/>
        <v>Unknown</v>
      </c>
      <c r="X884" s="4" t="str">
        <f t="shared" ref="X884:Z884" si="888">IF(Q884="","Unknown",Q884)</f>
        <v>Sola, Vanuatu</v>
      </c>
      <c r="Y884" s="4" t="str">
        <f t="shared" si="888"/>
        <v>Unknown</v>
      </c>
      <c r="Z884" s="4" t="str">
        <f t="shared" si="888"/>
        <v>Unknown</v>
      </c>
      <c r="AA884" s="4" t="str">
        <f t="shared" si="7"/>
        <v>mwc</v>
      </c>
    </row>
    <row r="885">
      <c r="A885" s="3" t="s">
        <v>2026</v>
      </c>
      <c r="B885" s="3">
        <v>6.6</v>
      </c>
      <c r="C885" s="19">
        <f>Raw_Data!T885</f>
        <v>36188.34028</v>
      </c>
      <c r="D885" s="3">
        <v>0.0</v>
      </c>
      <c r="E885" s="3">
        <v>6.0</v>
      </c>
      <c r="F885" s="4"/>
      <c r="G885" s="3">
        <v>0.0</v>
      </c>
      <c r="H885" s="3">
        <v>670.0</v>
      </c>
      <c r="I885" s="3" t="s">
        <v>110</v>
      </c>
      <c r="J885" s="3">
        <v>0.0</v>
      </c>
      <c r="K885" s="3">
        <v>0.0</v>
      </c>
      <c r="L885" s="3">
        <v>0.0</v>
      </c>
      <c r="M885" s="4" t="str">
        <f>Raw_Data!X885</f>
        <v>mwc</v>
      </c>
      <c r="N885" s="3">
        <v>67.2</v>
      </c>
      <c r="O885" s="3">
        <v>52.886</v>
      </c>
      <c r="P885" s="3">
        <v>-169.123</v>
      </c>
      <c r="Q885" s="3" t="s">
        <v>296</v>
      </c>
      <c r="R885" s="3" t="s">
        <v>233</v>
      </c>
      <c r="S885" s="3" t="s">
        <v>318</v>
      </c>
      <c r="T885" s="4" t="str">
        <f t="shared" si="2"/>
        <v>Valid</v>
      </c>
      <c r="U885" s="4">
        <f t="shared" si="3"/>
        <v>1</v>
      </c>
      <c r="V885" s="4" t="str">
        <f t="shared" si="4"/>
        <v>Unique</v>
      </c>
      <c r="W885" s="4" t="str">
        <f t="shared" si="5"/>
        <v>Unknown</v>
      </c>
      <c r="X885" s="4" t="str">
        <f t="shared" ref="X885:Z885" si="889">IF(Q885="","Unknown",Q885)</f>
        <v>Nikolski, Alaska</v>
      </c>
      <c r="Y885" s="4" t="str">
        <f t="shared" si="889"/>
        <v>North America</v>
      </c>
      <c r="Z885" s="4" t="str">
        <f t="shared" si="889"/>
        <v>United States of America</v>
      </c>
      <c r="AA885" s="4" t="str">
        <f t="shared" si="7"/>
        <v>mwc</v>
      </c>
    </row>
    <row r="886">
      <c r="A886" s="3" t="s">
        <v>2028</v>
      </c>
      <c r="B886" s="3">
        <v>7.0</v>
      </c>
      <c r="C886" s="19">
        <f>Raw_Data!T886</f>
        <v>36179.14931</v>
      </c>
      <c r="D886" s="3">
        <v>0.0</v>
      </c>
      <c r="E886" s="3">
        <v>7.0</v>
      </c>
      <c r="F886" s="4"/>
      <c r="G886" s="3">
        <v>0.0</v>
      </c>
      <c r="H886" s="3">
        <v>754.0</v>
      </c>
      <c r="I886" s="3" t="s">
        <v>110</v>
      </c>
      <c r="J886" s="3">
        <v>0.0</v>
      </c>
      <c r="K886" s="3">
        <v>0.0</v>
      </c>
      <c r="L886" s="3">
        <v>0.0</v>
      </c>
      <c r="M886" s="4" t="str">
        <f>Raw_Data!X886</f>
        <v>mwc</v>
      </c>
      <c r="N886" s="3">
        <v>114.1</v>
      </c>
      <c r="O886" s="3">
        <v>-4.596</v>
      </c>
      <c r="P886" s="3">
        <v>153.235</v>
      </c>
      <c r="Q886" s="3" t="s">
        <v>633</v>
      </c>
      <c r="R886" s="4"/>
      <c r="S886" s="3" t="s">
        <v>168</v>
      </c>
      <c r="T886" s="4" t="str">
        <f t="shared" si="2"/>
        <v>Valid</v>
      </c>
      <c r="U886" s="4">
        <f t="shared" si="3"/>
        <v>1</v>
      </c>
      <c r="V886" s="4" t="str">
        <f t="shared" si="4"/>
        <v>Unique</v>
      </c>
      <c r="W886" s="4" t="str">
        <f t="shared" si="5"/>
        <v>Unknown</v>
      </c>
      <c r="X886" s="4" t="str">
        <f t="shared" ref="X886:Z886" si="890">IF(Q886="","Unknown",Q886)</f>
        <v>Kokopo, Papua New Guinea</v>
      </c>
      <c r="Y886" s="4" t="str">
        <f t="shared" si="890"/>
        <v>Unknown</v>
      </c>
      <c r="Z886" s="4" t="str">
        <f t="shared" si="890"/>
        <v>Papua New Guinea</v>
      </c>
      <c r="AA886" s="4" t="str">
        <f t="shared" si="7"/>
        <v>mwc</v>
      </c>
    </row>
    <row r="887">
      <c r="A887" s="3" t="s">
        <v>2030</v>
      </c>
      <c r="B887" s="3">
        <v>6.8</v>
      </c>
      <c r="C887" s="19">
        <f>Raw_Data!T887</f>
        <v>36156.02639</v>
      </c>
      <c r="D887" s="3">
        <v>0.0</v>
      </c>
      <c r="E887" s="3">
        <v>5.0</v>
      </c>
      <c r="F887" s="4"/>
      <c r="G887" s="3">
        <v>0.0</v>
      </c>
      <c r="H887" s="3">
        <v>711.0</v>
      </c>
      <c r="I887" s="3" t="s">
        <v>110</v>
      </c>
      <c r="J887" s="3">
        <v>0.0</v>
      </c>
      <c r="K887" s="3">
        <v>0.0</v>
      </c>
      <c r="L887" s="3">
        <v>0.0</v>
      </c>
      <c r="M887" s="4" t="str">
        <f>Raw_Data!X887</f>
        <v>mwc</v>
      </c>
      <c r="N887" s="3">
        <v>144.3</v>
      </c>
      <c r="O887" s="3">
        <v>-21.632</v>
      </c>
      <c r="P887" s="3">
        <v>-176.376</v>
      </c>
      <c r="Q887" s="3" t="s">
        <v>374</v>
      </c>
      <c r="R887" s="4"/>
      <c r="S887" s="4"/>
      <c r="T887" s="4" t="str">
        <f t="shared" si="2"/>
        <v>Valid</v>
      </c>
      <c r="U887" s="4">
        <f t="shared" si="3"/>
        <v>1</v>
      </c>
      <c r="V887" s="4" t="str">
        <f t="shared" si="4"/>
        <v>Unique</v>
      </c>
      <c r="W887" s="4" t="str">
        <f t="shared" si="5"/>
        <v>Unknown</v>
      </c>
      <c r="X887" s="4" t="str">
        <f t="shared" ref="X887:Z887" si="891">IF(Q887="","Unknown",Q887)</f>
        <v>Haveluloto, Tonga</v>
      </c>
      <c r="Y887" s="4" t="str">
        <f t="shared" si="891"/>
        <v>Unknown</v>
      </c>
      <c r="Z887" s="4" t="str">
        <f t="shared" si="891"/>
        <v>Unknown</v>
      </c>
      <c r="AA887" s="4" t="str">
        <f t="shared" si="7"/>
        <v>mwc</v>
      </c>
    </row>
    <row r="888">
      <c r="A888" s="3" t="s">
        <v>2032</v>
      </c>
      <c r="B888" s="3">
        <v>7.7</v>
      </c>
      <c r="C888" s="19">
        <f>Raw_Data!T888</f>
        <v>36128.59028</v>
      </c>
      <c r="D888" s="3">
        <v>0.0</v>
      </c>
      <c r="E888" s="3">
        <v>7.0</v>
      </c>
      <c r="F888" s="4"/>
      <c r="G888" s="3">
        <v>0.0</v>
      </c>
      <c r="H888" s="3">
        <v>912.0</v>
      </c>
      <c r="I888" s="3" t="s">
        <v>110</v>
      </c>
      <c r="J888" s="3">
        <v>0.0</v>
      </c>
      <c r="K888" s="3">
        <v>0.0</v>
      </c>
      <c r="L888" s="3">
        <v>0.0</v>
      </c>
      <c r="M888" s="4" t="str">
        <f>Raw_Data!X888</f>
        <v>mwc</v>
      </c>
      <c r="N888" s="3">
        <v>33.0</v>
      </c>
      <c r="O888" s="3">
        <v>-2.071</v>
      </c>
      <c r="P888" s="3">
        <v>124.891</v>
      </c>
      <c r="Q888" s="3" t="s">
        <v>534</v>
      </c>
      <c r="R888" s="4"/>
      <c r="S888" s="3" t="s">
        <v>153</v>
      </c>
      <c r="T888" s="4" t="str">
        <f t="shared" si="2"/>
        <v>Valid</v>
      </c>
      <c r="U888" s="4">
        <f t="shared" si="3"/>
        <v>1</v>
      </c>
      <c r="V888" s="4" t="str">
        <f t="shared" si="4"/>
        <v>Unique</v>
      </c>
      <c r="W888" s="4" t="str">
        <f t="shared" si="5"/>
        <v>Unknown</v>
      </c>
      <c r="X888" s="4" t="str">
        <f t="shared" ref="X888:Z888" si="892">IF(Q888="","Unknown",Q888)</f>
        <v>Luwuk, Indonesia</v>
      </c>
      <c r="Y888" s="4" t="str">
        <f t="shared" si="892"/>
        <v>Unknown</v>
      </c>
      <c r="Z888" s="4" t="str">
        <f t="shared" si="892"/>
        <v>Indonesia</v>
      </c>
      <c r="AA888" s="4" t="str">
        <f t="shared" si="7"/>
        <v>mwc</v>
      </c>
    </row>
    <row r="889">
      <c r="A889" s="3" t="s">
        <v>2034</v>
      </c>
      <c r="B889" s="3">
        <v>7.0</v>
      </c>
      <c r="C889" s="19">
        <f>Raw_Data!T889</f>
        <v>36108.23472</v>
      </c>
      <c r="D889" s="3">
        <v>0.0</v>
      </c>
      <c r="E889" s="3">
        <v>7.0</v>
      </c>
      <c r="F889" s="4"/>
      <c r="G889" s="3">
        <v>0.0</v>
      </c>
      <c r="H889" s="3">
        <v>754.0</v>
      </c>
      <c r="I889" s="3" t="s">
        <v>110</v>
      </c>
      <c r="J889" s="3">
        <v>0.0</v>
      </c>
      <c r="K889" s="3">
        <v>0.0</v>
      </c>
      <c r="L889" s="3">
        <v>0.0</v>
      </c>
      <c r="M889" s="4" t="str">
        <f>Raw_Data!X889</f>
        <v>mwc</v>
      </c>
      <c r="N889" s="3">
        <v>33.0</v>
      </c>
      <c r="O889" s="3">
        <v>-6.92</v>
      </c>
      <c r="P889" s="3">
        <v>128.946</v>
      </c>
      <c r="Q889" s="3" t="s">
        <v>307</v>
      </c>
      <c r="R889" s="4"/>
      <c r="S889" s="3" t="s">
        <v>153</v>
      </c>
      <c r="T889" s="4" t="str">
        <f t="shared" si="2"/>
        <v>Valid</v>
      </c>
      <c r="U889" s="4">
        <f t="shared" si="3"/>
        <v>1</v>
      </c>
      <c r="V889" s="4" t="str">
        <f t="shared" si="4"/>
        <v>Unique</v>
      </c>
      <c r="W889" s="4" t="str">
        <f t="shared" si="5"/>
        <v>Unknown</v>
      </c>
      <c r="X889" s="4" t="str">
        <f t="shared" ref="X889:Z889" si="893">IF(Q889="","Unknown",Q889)</f>
        <v>Lospalos, Timor Leste</v>
      </c>
      <c r="Y889" s="4" t="str">
        <f t="shared" si="893"/>
        <v>Unknown</v>
      </c>
      <c r="Z889" s="4" t="str">
        <f t="shared" si="893"/>
        <v>Indonesia</v>
      </c>
      <c r="AA889" s="4" t="str">
        <f t="shared" si="7"/>
        <v>mwc</v>
      </c>
    </row>
    <row r="890">
      <c r="A890" s="3" t="s">
        <v>2035</v>
      </c>
      <c r="B890" s="3">
        <v>6.7</v>
      </c>
      <c r="C890" s="19">
        <f>Raw_Data!T890</f>
        <v>36108.22917</v>
      </c>
      <c r="D890" s="3">
        <v>0.0</v>
      </c>
      <c r="E890" s="3">
        <v>6.0</v>
      </c>
      <c r="F890" s="4"/>
      <c r="G890" s="3">
        <v>0.0</v>
      </c>
      <c r="H890" s="3">
        <v>691.0</v>
      </c>
      <c r="I890" s="3" t="s">
        <v>110</v>
      </c>
      <c r="J890" s="3">
        <v>0.0</v>
      </c>
      <c r="K890" s="3">
        <v>0.0</v>
      </c>
      <c r="L890" s="3">
        <v>0.0</v>
      </c>
      <c r="M890" s="4" t="str">
        <f>Raw_Data!X890</f>
        <v>mwc</v>
      </c>
      <c r="N890" s="3">
        <v>33.0</v>
      </c>
      <c r="O890" s="3">
        <v>-6.954</v>
      </c>
      <c r="P890" s="3">
        <v>129.022</v>
      </c>
      <c r="Q890" s="3" t="s">
        <v>307</v>
      </c>
      <c r="R890" s="4"/>
      <c r="S890" s="3" t="s">
        <v>153</v>
      </c>
      <c r="T890" s="4" t="str">
        <f t="shared" si="2"/>
        <v>Valid</v>
      </c>
      <c r="U890" s="4">
        <f t="shared" si="3"/>
        <v>1</v>
      </c>
      <c r="V890" s="4" t="str">
        <f t="shared" si="4"/>
        <v>Unique</v>
      </c>
      <c r="W890" s="4" t="str">
        <f t="shared" si="5"/>
        <v>Unknown</v>
      </c>
      <c r="X890" s="4" t="str">
        <f t="shared" ref="X890:Z890" si="894">IF(Q890="","Unknown",Q890)</f>
        <v>Lospalos, Timor Leste</v>
      </c>
      <c r="Y890" s="4" t="str">
        <f t="shared" si="894"/>
        <v>Unknown</v>
      </c>
      <c r="Z890" s="4" t="str">
        <f t="shared" si="894"/>
        <v>Indonesia</v>
      </c>
      <c r="AA890" s="4" t="str">
        <f t="shared" si="7"/>
        <v>mwc</v>
      </c>
    </row>
    <row r="891">
      <c r="A891" s="3" t="s">
        <v>2036</v>
      </c>
      <c r="B891" s="3">
        <v>6.6</v>
      </c>
      <c r="C891" s="19">
        <f>Raw_Data!T891</f>
        <v>36066.56528</v>
      </c>
      <c r="D891" s="3">
        <v>0.0</v>
      </c>
      <c r="E891" s="3">
        <v>5.0</v>
      </c>
      <c r="F891" s="4"/>
      <c r="G891" s="3">
        <v>0.0</v>
      </c>
      <c r="H891" s="3">
        <v>670.0</v>
      </c>
      <c r="I891" s="3" t="s">
        <v>110</v>
      </c>
      <c r="J891" s="3">
        <v>0.0</v>
      </c>
      <c r="K891" s="3">
        <v>0.0</v>
      </c>
      <c r="L891" s="3">
        <v>0.0</v>
      </c>
      <c r="M891" s="4" t="str">
        <f>Raw_Data!X891</f>
        <v>mwb</v>
      </c>
      <c r="N891" s="3">
        <v>151.6</v>
      </c>
      <c r="O891" s="3">
        <v>-8.194</v>
      </c>
      <c r="P891" s="3">
        <v>112.413</v>
      </c>
      <c r="Q891" s="3" t="s">
        <v>2038</v>
      </c>
      <c r="R891" s="4"/>
      <c r="S891" s="3" t="s">
        <v>153</v>
      </c>
      <c r="T891" s="4" t="str">
        <f t="shared" si="2"/>
        <v>Valid</v>
      </c>
      <c r="U891" s="4">
        <f t="shared" si="3"/>
        <v>1</v>
      </c>
      <c r="V891" s="4" t="str">
        <f t="shared" si="4"/>
        <v>Unique</v>
      </c>
      <c r="W891" s="4" t="str">
        <f t="shared" si="5"/>
        <v>Unknown</v>
      </c>
      <c r="X891" s="4" t="str">
        <f t="shared" ref="X891:Z891" si="895">IF(Q891="","Unknown",Q891)</f>
        <v>Sumberpucung, Indonesia</v>
      </c>
      <c r="Y891" s="4" t="str">
        <f t="shared" si="895"/>
        <v>Unknown</v>
      </c>
      <c r="Z891" s="4" t="str">
        <f t="shared" si="895"/>
        <v>Indonesia</v>
      </c>
      <c r="AA891" s="4" t="str">
        <f t="shared" si="7"/>
        <v>mwb</v>
      </c>
    </row>
    <row r="892">
      <c r="A892" s="3" t="s">
        <v>2039</v>
      </c>
      <c r="B892" s="3">
        <v>6.6</v>
      </c>
      <c r="C892" s="19">
        <f>Raw_Data!T892</f>
        <v>36041.73403</v>
      </c>
      <c r="D892" s="3">
        <v>0.0</v>
      </c>
      <c r="E892" s="3">
        <v>6.0</v>
      </c>
      <c r="F892" s="4"/>
      <c r="G892" s="3">
        <v>0.0</v>
      </c>
      <c r="H892" s="3">
        <v>670.0</v>
      </c>
      <c r="I892" s="3" t="s">
        <v>110</v>
      </c>
      <c r="J892" s="3">
        <v>0.0</v>
      </c>
      <c r="K892" s="3">
        <v>0.0</v>
      </c>
      <c r="L892" s="3">
        <v>0.0</v>
      </c>
      <c r="M892" s="4" t="str">
        <f>Raw_Data!X892</f>
        <v>mwc</v>
      </c>
      <c r="N892" s="3">
        <v>27.0</v>
      </c>
      <c r="O892" s="3">
        <v>-29.45</v>
      </c>
      <c r="P892" s="3">
        <v>-71.715</v>
      </c>
      <c r="Q892" s="3" t="s">
        <v>547</v>
      </c>
      <c r="R892" s="4"/>
      <c r="S892" s="3" t="s">
        <v>414</v>
      </c>
      <c r="T892" s="4" t="str">
        <f t="shared" si="2"/>
        <v>Valid</v>
      </c>
      <c r="U892" s="4">
        <f t="shared" si="3"/>
        <v>1</v>
      </c>
      <c r="V892" s="4" t="str">
        <f t="shared" si="4"/>
        <v>Unique</v>
      </c>
      <c r="W892" s="4" t="str">
        <f t="shared" si="5"/>
        <v>Unknown</v>
      </c>
      <c r="X892" s="4" t="str">
        <f t="shared" ref="X892:Z892" si="896">IF(Q892="","Unknown",Q892)</f>
        <v>Coquimbo, Chile</v>
      </c>
      <c r="Y892" s="4" t="str">
        <f t="shared" si="896"/>
        <v>Unknown</v>
      </c>
      <c r="Z892" s="4" t="str">
        <f t="shared" si="896"/>
        <v>Chile</v>
      </c>
      <c r="AA892" s="4" t="str">
        <f t="shared" si="7"/>
        <v>mwc</v>
      </c>
    </row>
    <row r="893">
      <c r="A893" s="3" t="s">
        <v>2040</v>
      </c>
      <c r="B893" s="3">
        <v>6.8</v>
      </c>
      <c r="C893" s="19">
        <f>Raw_Data!T893</f>
        <v>36040.35903</v>
      </c>
      <c r="D893" s="3">
        <v>0.0</v>
      </c>
      <c r="E893" s="3">
        <v>5.0</v>
      </c>
      <c r="F893" s="4"/>
      <c r="G893" s="3">
        <v>0.0</v>
      </c>
      <c r="H893" s="3">
        <v>711.0</v>
      </c>
      <c r="I893" s="3" t="s">
        <v>110</v>
      </c>
      <c r="J893" s="3">
        <v>0.0</v>
      </c>
      <c r="K893" s="3">
        <v>0.0</v>
      </c>
      <c r="L893" s="3">
        <v>0.0</v>
      </c>
      <c r="M893" s="4" t="str">
        <f>Raw_Data!X893</f>
        <v>mwc</v>
      </c>
      <c r="N893" s="3">
        <v>50.0</v>
      </c>
      <c r="O893" s="3">
        <v>5.41</v>
      </c>
      <c r="P893" s="3">
        <v>126.764</v>
      </c>
      <c r="Q893" s="3" t="s">
        <v>348</v>
      </c>
      <c r="R893" s="4"/>
      <c r="S893" s="3" t="s">
        <v>153</v>
      </c>
      <c r="T893" s="4" t="str">
        <f t="shared" si="2"/>
        <v>Valid</v>
      </c>
      <c r="U893" s="4">
        <f t="shared" si="3"/>
        <v>1</v>
      </c>
      <c r="V893" s="4" t="str">
        <f t="shared" si="4"/>
        <v>Unique</v>
      </c>
      <c r="W893" s="4" t="str">
        <f t="shared" si="5"/>
        <v>Unknown</v>
      </c>
      <c r="X893" s="4" t="str">
        <f t="shared" ref="X893:Z893" si="897">IF(Q893="","Unknown",Q893)</f>
        <v>Pondaguitan, Philippines</v>
      </c>
      <c r="Y893" s="4" t="str">
        <f t="shared" si="897"/>
        <v>Unknown</v>
      </c>
      <c r="Z893" s="4" t="str">
        <f t="shared" si="897"/>
        <v>Indonesia</v>
      </c>
      <c r="AA893" s="4" t="str">
        <f t="shared" si="7"/>
        <v>mwc</v>
      </c>
    </row>
    <row r="894">
      <c r="A894" s="3" t="s">
        <v>2041</v>
      </c>
      <c r="B894" s="3">
        <v>7.2</v>
      </c>
      <c r="C894" s="19">
        <f>Raw_Data!T894</f>
        <v>36011.79097</v>
      </c>
      <c r="D894" s="3">
        <v>0.0</v>
      </c>
      <c r="E894" s="3">
        <v>7.0</v>
      </c>
      <c r="F894" s="4"/>
      <c r="G894" s="3">
        <v>0.0</v>
      </c>
      <c r="H894" s="3">
        <v>798.0</v>
      </c>
      <c r="I894" s="3" t="s">
        <v>110</v>
      </c>
      <c r="J894" s="3">
        <v>0.0</v>
      </c>
      <c r="K894" s="3">
        <v>0.0</v>
      </c>
      <c r="L894" s="3">
        <v>0.0</v>
      </c>
      <c r="M894" s="4" t="str">
        <f>Raw_Data!X894</f>
        <v>mwc</v>
      </c>
      <c r="N894" s="3">
        <v>33.0</v>
      </c>
      <c r="O894" s="3">
        <v>-0.593</v>
      </c>
      <c r="P894" s="3">
        <v>-80.393</v>
      </c>
      <c r="Q894" s="3" t="s">
        <v>2042</v>
      </c>
      <c r="R894" s="3" t="s">
        <v>121</v>
      </c>
      <c r="S894" s="3" t="s">
        <v>179</v>
      </c>
      <c r="T894" s="4" t="str">
        <f t="shared" si="2"/>
        <v>Valid</v>
      </c>
      <c r="U894" s="4">
        <f t="shared" si="3"/>
        <v>1</v>
      </c>
      <c r="V894" s="4" t="str">
        <f t="shared" si="4"/>
        <v>Unique</v>
      </c>
      <c r="W894" s="4" t="str">
        <f t="shared" si="5"/>
        <v>Unknown</v>
      </c>
      <c r="X894" s="4" t="str">
        <f t="shared" ref="X894:Z894" si="898">IF(Q894="","Unknown",Q894)</f>
        <v>Bahía de Caráquez, Ecuador</v>
      </c>
      <c r="Y894" s="4" t="str">
        <f t="shared" si="898"/>
        <v>South America</v>
      </c>
      <c r="Z894" s="4" t="str">
        <f t="shared" si="898"/>
        <v>Ecuador</v>
      </c>
      <c r="AA894" s="4" t="str">
        <f t="shared" si="7"/>
        <v>mwc</v>
      </c>
    </row>
    <row r="895">
      <c r="A895" s="3" t="s">
        <v>2043</v>
      </c>
      <c r="B895" s="3">
        <v>6.7</v>
      </c>
      <c r="C895" s="19">
        <f>Raw_Data!T895</f>
        <v>36005.75</v>
      </c>
      <c r="D895" s="3">
        <v>0.0</v>
      </c>
      <c r="E895" s="3">
        <v>6.0</v>
      </c>
      <c r="F895" s="4"/>
      <c r="G895" s="3">
        <v>0.0</v>
      </c>
      <c r="H895" s="3">
        <v>691.0</v>
      </c>
      <c r="I895" s="3" t="s">
        <v>110</v>
      </c>
      <c r="J895" s="3">
        <v>0.0</v>
      </c>
      <c r="K895" s="3">
        <v>0.0</v>
      </c>
      <c r="L895" s="3">
        <v>0.0</v>
      </c>
      <c r="M895" s="4" t="str">
        <f>Raw_Data!X895</f>
        <v>mwc</v>
      </c>
      <c r="N895" s="3">
        <v>33.0</v>
      </c>
      <c r="O895" s="3">
        <v>-2.693</v>
      </c>
      <c r="P895" s="3">
        <v>138.901</v>
      </c>
      <c r="Q895" s="3" t="s">
        <v>892</v>
      </c>
      <c r="R895" s="4"/>
      <c r="S895" s="3" t="s">
        <v>153</v>
      </c>
      <c r="T895" s="4" t="str">
        <f t="shared" si="2"/>
        <v>Valid</v>
      </c>
      <c r="U895" s="4">
        <f t="shared" si="3"/>
        <v>1</v>
      </c>
      <c r="V895" s="4" t="str">
        <f t="shared" si="4"/>
        <v>Unique</v>
      </c>
      <c r="W895" s="4" t="str">
        <f t="shared" si="5"/>
        <v>Unknown</v>
      </c>
      <c r="X895" s="4" t="str">
        <f t="shared" ref="X895:Z895" si="899">IF(Q895="","Unknown",Q895)</f>
        <v>Abepura, Indonesia</v>
      </c>
      <c r="Y895" s="4" t="str">
        <f t="shared" si="899"/>
        <v>Unknown</v>
      </c>
      <c r="Z895" s="4" t="str">
        <f t="shared" si="899"/>
        <v>Indonesia</v>
      </c>
      <c r="AA895" s="4" t="str">
        <f t="shared" si="7"/>
        <v>mwc</v>
      </c>
    </row>
    <row r="896">
      <c r="A896" s="3" t="s">
        <v>2045</v>
      </c>
      <c r="B896" s="3">
        <v>7.0</v>
      </c>
      <c r="C896" s="19">
        <f>Raw_Data!T896</f>
        <v>35993.36736</v>
      </c>
      <c r="D896" s="3">
        <v>0.0</v>
      </c>
      <c r="E896" s="3">
        <v>7.0</v>
      </c>
      <c r="F896" s="4"/>
      <c r="G896" s="3">
        <v>0.0</v>
      </c>
      <c r="H896" s="3">
        <v>754.0</v>
      </c>
      <c r="I896" s="3" t="s">
        <v>110</v>
      </c>
      <c r="J896" s="3">
        <v>0.0</v>
      </c>
      <c r="K896" s="3">
        <v>0.0</v>
      </c>
      <c r="L896" s="3">
        <v>0.0</v>
      </c>
      <c r="M896" s="4" t="str">
        <f>Raw_Data!X896</f>
        <v>mwc</v>
      </c>
      <c r="N896" s="3">
        <v>10.0</v>
      </c>
      <c r="O896" s="3">
        <v>-2.961</v>
      </c>
      <c r="P896" s="3">
        <v>141.926</v>
      </c>
      <c r="Q896" s="3" t="s">
        <v>1115</v>
      </c>
      <c r="R896" s="4"/>
      <c r="S896" s="3" t="s">
        <v>168</v>
      </c>
      <c r="T896" s="4" t="str">
        <f t="shared" si="2"/>
        <v>Valid</v>
      </c>
      <c r="U896" s="4">
        <f t="shared" si="3"/>
        <v>1</v>
      </c>
      <c r="V896" s="4" t="str">
        <f t="shared" si="4"/>
        <v>Unique</v>
      </c>
      <c r="W896" s="4" t="str">
        <f t="shared" si="5"/>
        <v>Unknown</v>
      </c>
      <c r="X896" s="4" t="str">
        <f t="shared" ref="X896:Z896" si="900">IF(Q896="","Unknown",Q896)</f>
        <v>Aitape, Papua New Guinea</v>
      </c>
      <c r="Y896" s="4" t="str">
        <f t="shared" si="900"/>
        <v>Unknown</v>
      </c>
      <c r="Z896" s="4" t="str">
        <f t="shared" si="900"/>
        <v>Papua New Guinea</v>
      </c>
      <c r="AA896" s="4" t="str">
        <f t="shared" si="7"/>
        <v>mwc</v>
      </c>
    </row>
    <row r="897">
      <c r="A897" s="3" t="s">
        <v>2047</v>
      </c>
      <c r="B897" s="3">
        <v>7.0</v>
      </c>
      <c r="C897" s="19">
        <f>Raw_Data!T897</f>
        <v>35992.49722</v>
      </c>
      <c r="D897" s="3">
        <v>0.0</v>
      </c>
      <c r="E897" s="3">
        <v>7.0</v>
      </c>
      <c r="F897" s="4"/>
      <c r="G897" s="3">
        <v>0.0</v>
      </c>
      <c r="H897" s="3">
        <v>754.0</v>
      </c>
      <c r="I897" s="3" t="s">
        <v>110</v>
      </c>
      <c r="J897" s="3">
        <v>0.0</v>
      </c>
      <c r="K897" s="3">
        <v>0.0</v>
      </c>
      <c r="L897" s="3">
        <v>0.0</v>
      </c>
      <c r="M897" s="4" t="str">
        <f>Raw_Data!X897</f>
        <v>mwc</v>
      </c>
      <c r="N897" s="3">
        <v>110.2</v>
      </c>
      <c r="O897" s="3">
        <v>-11.04</v>
      </c>
      <c r="P897" s="3">
        <v>166.16</v>
      </c>
      <c r="Q897" s="3" t="s">
        <v>450</v>
      </c>
      <c r="R897" s="4"/>
      <c r="S897" s="3" t="s">
        <v>214</v>
      </c>
      <c r="T897" s="4" t="str">
        <f t="shared" si="2"/>
        <v>Valid</v>
      </c>
      <c r="U897" s="4">
        <f t="shared" si="3"/>
        <v>1</v>
      </c>
      <c r="V897" s="4" t="str">
        <f t="shared" si="4"/>
        <v>Unique</v>
      </c>
      <c r="W897" s="4" t="str">
        <f t="shared" si="5"/>
        <v>Unknown</v>
      </c>
      <c r="X897" s="4" t="str">
        <f t="shared" ref="X897:Z897" si="901">IF(Q897="","Unknown",Q897)</f>
        <v>Lata, Solomon Islands</v>
      </c>
      <c r="Y897" s="4" t="str">
        <f t="shared" si="901"/>
        <v>Unknown</v>
      </c>
      <c r="Z897" s="4" t="str">
        <f t="shared" si="901"/>
        <v>Solomon Islands</v>
      </c>
      <c r="AA897" s="4" t="str">
        <f t="shared" si="7"/>
        <v>mwc</v>
      </c>
    </row>
    <row r="898">
      <c r="A898" s="3" t="s">
        <v>2049</v>
      </c>
      <c r="B898" s="3">
        <v>6.6</v>
      </c>
      <c r="C898" s="19">
        <f>Raw_Data!T898</f>
        <v>35945.26528</v>
      </c>
      <c r="D898" s="3">
        <v>0.0</v>
      </c>
      <c r="E898" s="3">
        <v>6.0</v>
      </c>
      <c r="F898" s="4"/>
      <c r="G898" s="3">
        <v>0.0</v>
      </c>
      <c r="H898" s="3">
        <v>670.0</v>
      </c>
      <c r="I898" s="3" t="s">
        <v>110</v>
      </c>
      <c r="J898" s="3">
        <v>0.0</v>
      </c>
      <c r="K898" s="3">
        <v>0.0</v>
      </c>
      <c r="L898" s="3">
        <v>0.0</v>
      </c>
      <c r="M898" s="4" t="str">
        <f>Raw_Data!X898</f>
        <v>mwb</v>
      </c>
      <c r="N898" s="3">
        <v>33.0</v>
      </c>
      <c r="O898" s="3">
        <v>37.106</v>
      </c>
      <c r="P898" s="3">
        <v>70.11</v>
      </c>
      <c r="Q898" s="3" t="s">
        <v>2051</v>
      </c>
      <c r="R898" s="3" t="s">
        <v>164</v>
      </c>
      <c r="S898" s="3" t="s">
        <v>175</v>
      </c>
      <c r="T898" s="4" t="str">
        <f t="shared" si="2"/>
        <v>Valid</v>
      </c>
      <c r="U898" s="4">
        <f t="shared" si="3"/>
        <v>1</v>
      </c>
      <c r="V898" s="4" t="str">
        <f t="shared" si="4"/>
        <v>Unique</v>
      </c>
      <c r="W898" s="4" t="str">
        <f t="shared" si="5"/>
        <v>Unknown</v>
      </c>
      <c r="X898" s="4" t="str">
        <f t="shared" ref="X898:Z898" si="902">IF(Q898="","Unknown",Q898)</f>
        <v>Rust?q, Afghanistan</v>
      </c>
      <c r="Y898" s="4" t="str">
        <f t="shared" si="902"/>
        <v>Asia</v>
      </c>
      <c r="Z898" s="4" t="str">
        <f t="shared" si="902"/>
        <v>Afghanistan</v>
      </c>
      <c r="AA898" s="4" t="str">
        <f t="shared" si="7"/>
        <v>mwb</v>
      </c>
    </row>
    <row r="899">
      <c r="A899" s="3" t="s">
        <v>2052</v>
      </c>
      <c r="B899" s="3">
        <v>6.6</v>
      </c>
      <c r="C899" s="19">
        <f>Raw_Data!T899</f>
        <v>35937.2</v>
      </c>
      <c r="D899" s="3">
        <v>0.0</v>
      </c>
      <c r="E899" s="3">
        <v>8.0</v>
      </c>
      <c r="F899" s="4"/>
      <c r="G899" s="3">
        <v>0.0</v>
      </c>
      <c r="H899" s="3">
        <v>670.0</v>
      </c>
      <c r="I899" s="3" t="s">
        <v>110</v>
      </c>
      <c r="J899" s="3">
        <v>0.0</v>
      </c>
      <c r="K899" s="3">
        <v>0.0</v>
      </c>
      <c r="L899" s="3">
        <v>0.0</v>
      </c>
      <c r="M899" s="4" t="str">
        <f>Raw_Data!X899</f>
        <v>mwb</v>
      </c>
      <c r="N899" s="3">
        <v>24.0</v>
      </c>
      <c r="O899" s="3">
        <v>-17.731</v>
      </c>
      <c r="P899" s="3">
        <v>-65.431</v>
      </c>
      <c r="Q899" s="3" t="s">
        <v>2054</v>
      </c>
      <c r="R899" s="3" t="s">
        <v>121</v>
      </c>
      <c r="S899" s="3" t="s">
        <v>627</v>
      </c>
      <c r="T899" s="4" t="str">
        <f t="shared" si="2"/>
        <v>Valid</v>
      </c>
      <c r="U899" s="4">
        <f t="shared" si="3"/>
        <v>1</v>
      </c>
      <c r="V899" s="4" t="str">
        <f t="shared" si="4"/>
        <v>Unique</v>
      </c>
      <c r="W899" s="4" t="str">
        <f t="shared" si="5"/>
        <v>Unknown</v>
      </c>
      <c r="X899" s="4" t="str">
        <f t="shared" ref="X899:Z899" si="903">IF(Q899="","Unknown",Q899)</f>
        <v>Mizque, Bolivia</v>
      </c>
      <c r="Y899" s="4" t="str">
        <f t="shared" si="903"/>
        <v>South America</v>
      </c>
      <c r="Z899" s="4" t="str">
        <f t="shared" si="903"/>
        <v>Bolivia</v>
      </c>
      <c r="AA899" s="4" t="str">
        <f t="shared" si="7"/>
        <v>mwb</v>
      </c>
    </row>
    <row r="900">
      <c r="A900" s="3" t="s">
        <v>2055</v>
      </c>
      <c r="B900" s="3">
        <v>6.7</v>
      </c>
      <c r="C900" s="19">
        <f>Raw_Data!T900</f>
        <v>35936.23194</v>
      </c>
      <c r="D900" s="3">
        <v>0.0</v>
      </c>
      <c r="E900" s="3">
        <v>6.0</v>
      </c>
      <c r="F900" s="4"/>
      <c r="G900" s="3">
        <v>0.0</v>
      </c>
      <c r="H900" s="3">
        <v>691.0</v>
      </c>
      <c r="I900" s="3" t="s">
        <v>110</v>
      </c>
      <c r="J900" s="3">
        <v>0.0</v>
      </c>
      <c r="K900" s="3">
        <v>0.0</v>
      </c>
      <c r="L900" s="3">
        <v>0.0</v>
      </c>
      <c r="M900" s="4" t="str">
        <f>Raw_Data!X900</f>
        <v>mwb</v>
      </c>
      <c r="N900" s="3">
        <v>33.0</v>
      </c>
      <c r="O900" s="3">
        <v>0.207</v>
      </c>
      <c r="P900" s="3">
        <v>119.584</v>
      </c>
      <c r="Q900" s="3" t="s">
        <v>590</v>
      </c>
      <c r="R900" s="4"/>
      <c r="S900" s="3" t="s">
        <v>153</v>
      </c>
      <c r="T900" s="4" t="str">
        <f t="shared" si="2"/>
        <v>Valid</v>
      </c>
      <c r="U900" s="4">
        <f t="shared" si="3"/>
        <v>1</v>
      </c>
      <c r="V900" s="4" t="str">
        <f t="shared" si="4"/>
        <v>Unique</v>
      </c>
      <c r="W900" s="4" t="str">
        <f t="shared" si="5"/>
        <v>Unknown</v>
      </c>
      <c r="X900" s="4" t="str">
        <f t="shared" ref="X900:Z900" si="904">IF(Q900="","Unknown",Q900)</f>
        <v>Palu, Indonesia</v>
      </c>
      <c r="Y900" s="4" t="str">
        <f t="shared" si="904"/>
        <v>Unknown</v>
      </c>
      <c r="Z900" s="4" t="str">
        <f t="shared" si="904"/>
        <v>Indonesia</v>
      </c>
      <c r="AA900" s="4" t="str">
        <f t="shared" si="7"/>
        <v>mwb</v>
      </c>
    </row>
    <row r="901">
      <c r="A901" s="3" t="s">
        <v>2057</v>
      </c>
      <c r="B901" s="3">
        <v>6.6</v>
      </c>
      <c r="C901" s="19">
        <f>Raw_Data!T901</f>
        <v>35928.95972</v>
      </c>
      <c r="D901" s="3">
        <v>0.0</v>
      </c>
      <c r="E901" s="3">
        <v>6.0</v>
      </c>
      <c r="F901" s="4"/>
      <c r="G901" s="3">
        <v>0.0</v>
      </c>
      <c r="H901" s="3">
        <v>670.0</v>
      </c>
      <c r="I901" s="3" t="s">
        <v>110</v>
      </c>
      <c r="J901" s="3">
        <v>0.0</v>
      </c>
      <c r="K901" s="3">
        <v>0.0</v>
      </c>
      <c r="L901" s="3">
        <v>0.0</v>
      </c>
      <c r="M901" s="4" t="str">
        <f>Raw_Data!X901</f>
        <v>mwc</v>
      </c>
      <c r="N901" s="3">
        <v>61.4</v>
      </c>
      <c r="O901" s="3">
        <v>-5.147</v>
      </c>
      <c r="P901" s="3">
        <v>151.714</v>
      </c>
      <c r="Q901" s="3" t="s">
        <v>633</v>
      </c>
      <c r="R901" s="4"/>
      <c r="S901" s="3" t="s">
        <v>168</v>
      </c>
      <c r="T901" s="4" t="str">
        <f t="shared" si="2"/>
        <v>Valid</v>
      </c>
      <c r="U901" s="4">
        <f t="shared" si="3"/>
        <v>1</v>
      </c>
      <c r="V901" s="4" t="str">
        <f t="shared" si="4"/>
        <v>Unique</v>
      </c>
      <c r="W901" s="4" t="str">
        <f t="shared" si="5"/>
        <v>Unknown</v>
      </c>
      <c r="X901" s="4" t="str">
        <f t="shared" ref="X901:Z901" si="905">IF(Q901="","Unknown",Q901)</f>
        <v>Kokopo, Papua New Guinea</v>
      </c>
      <c r="Y901" s="4" t="str">
        <f t="shared" si="905"/>
        <v>Unknown</v>
      </c>
      <c r="Z901" s="4" t="str">
        <f t="shared" si="905"/>
        <v>Papua New Guinea</v>
      </c>
      <c r="AA901" s="4" t="str">
        <f t="shared" si="7"/>
        <v>mwc</v>
      </c>
    </row>
    <row r="902">
      <c r="A902" s="3" t="s">
        <v>2059</v>
      </c>
      <c r="B902" s="3">
        <v>7.5</v>
      </c>
      <c r="C902" s="19">
        <f>Raw_Data!T902</f>
        <v>35918.97917</v>
      </c>
      <c r="D902" s="3">
        <v>0.0</v>
      </c>
      <c r="E902" s="3">
        <v>5.0</v>
      </c>
      <c r="F902" s="4"/>
      <c r="G902" s="3">
        <v>0.0</v>
      </c>
      <c r="H902" s="3">
        <v>865.0</v>
      </c>
      <c r="I902" s="3" t="s">
        <v>110</v>
      </c>
      <c r="J902" s="3">
        <v>0.0</v>
      </c>
      <c r="K902" s="3">
        <v>0.0</v>
      </c>
      <c r="L902" s="3">
        <v>0.0</v>
      </c>
      <c r="M902" s="4" t="str">
        <f>Raw_Data!X902</f>
        <v>mwb</v>
      </c>
      <c r="N902" s="3">
        <v>33.0</v>
      </c>
      <c r="O902" s="3">
        <v>22.306</v>
      </c>
      <c r="P902" s="3">
        <v>125.308</v>
      </c>
      <c r="Q902" s="3" t="s">
        <v>2060</v>
      </c>
      <c r="R902" s="4"/>
      <c r="S902" s="4"/>
      <c r="T902" s="4" t="str">
        <f t="shared" si="2"/>
        <v>Valid</v>
      </c>
      <c r="U902" s="4">
        <f t="shared" si="3"/>
        <v>1</v>
      </c>
      <c r="V902" s="4" t="str">
        <f t="shared" si="4"/>
        <v>Unique</v>
      </c>
      <c r="W902" s="4" t="str">
        <f t="shared" si="5"/>
        <v>Unknown</v>
      </c>
      <c r="X902" s="4" t="str">
        <f t="shared" ref="X902:Z902" si="906">IF(Q902="","Unknown",Q902)</f>
        <v>Ishigaki, Japan</v>
      </c>
      <c r="Y902" s="4" t="str">
        <f t="shared" si="906"/>
        <v>Unknown</v>
      </c>
      <c r="Z902" s="4" t="str">
        <f t="shared" si="906"/>
        <v>Unknown</v>
      </c>
      <c r="AA902" s="4" t="str">
        <f t="shared" si="7"/>
        <v>mwb</v>
      </c>
    </row>
    <row r="903">
      <c r="A903" s="3" t="s">
        <v>2061</v>
      </c>
      <c r="B903" s="3">
        <v>6.6</v>
      </c>
      <c r="C903" s="19">
        <f>Raw_Data!T903</f>
        <v>35888.91736</v>
      </c>
      <c r="D903" s="3">
        <v>0.0</v>
      </c>
      <c r="E903" s="3">
        <v>5.0</v>
      </c>
      <c r="F903" s="4"/>
      <c r="G903" s="3">
        <v>0.0</v>
      </c>
      <c r="H903" s="3">
        <v>670.0</v>
      </c>
      <c r="I903" s="3" t="s">
        <v>110</v>
      </c>
      <c r="J903" s="3">
        <v>0.0</v>
      </c>
      <c r="K903" s="3">
        <v>0.0</v>
      </c>
      <c r="L903" s="3">
        <v>0.0</v>
      </c>
      <c r="M903" s="4" t="str">
        <f>Raw_Data!X903</f>
        <v>mwc</v>
      </c>
      <c r="N903" s="3">
        <v>164.6</v>
      </c>
      <c r="O903" s="3">
        <v>-8.148</v>
      </c>
      <c r="P903" s="3">
        <v>-74.238</v>
      </c>
      <c r="Q903" s="3" t="s">
        <v>2062</v>
      </c>
      <c r="R903" s="3" t="s">
        <v>121</v>
      </c>
      <c r="S903" s="3" t="s">
        <v>265</v>
      </c>
      <c r="T903" s="4" t="str">
        <f t="shared" si="2"/>
        <v>Valid</v>
      </c>
      <c r="U903" s="4">
        <f t="shared" si="3"/>
        <v>1</v>
      </c>
      <c r="V903" s="4" t="str">
        <f t="shared" si="4"/>
        <v>Unique</v>
      </c>
      <c r="W903" s="4" t="str">
        <f t="shared" si="5"/>
        <v>Unknown</v>
      </c>
      <c r="X903" s="4" t="str">
        <f t="shared" ref="X903:Z903" si="907">IF(Q903="","Unknown",Q903)</f>
        <v>San Fernando, Peru</v>
      </c>
      <c r="Y903" s="4" t="str">
        <f t="shared" si="907"/>
        <v>South America</v>
      </c>
      <c r="Z903" s="4" t="str">
        <f t="shared" si="907"/>
        <v>Peru</v>
      </c>
      <c r="AA903" s="4" t="str">
        <f t="shared" si="7"/>
        <v>mwc</v>
      </c>
    </row>
    <row r="904">
      <c r="A904" s="3" t="s">
        <v>2063</v>
      </c>
      <c r="B904" s="3">
        <v>7.0</v>
      </c>
      <c r="C904" s="19">
        <f>Raw_Data!T904</f>
        <v>35886.74722</v>
      </c>
      <c r="D904" s="3">
        <v>0.0</v>
      </c>
      <c r="E904" s="3">
        <v>6.0</v>
      </c>
      <c r="F904" s="4"/>
      <c r="G904" s="3">
        <v>0.0</v>
      </c>
      <c r="H904" s="3">
        <v>754.0</v>
      </c>
      <c r="I904" s="3" t="s">
        <v>110</v>
      </c>
      <c r="J904" s="3">
        <v>0.0</v>
      </c>
      <c r="K904" s="3">
        <v>0.0</v>
      </c>
      <c r="L904" s="3">
        <v>0.0</v>
      </c>
      <c r="M904" s="4" t="str">
        <f>Raw_Data!X904</f>
        <v>mwc</v>
      </c>
      <c r="N904" s="3">
        <v>55.7</v>
      </c>
      <c r="O904" s="3">
        <v>-0.544</v>
      </c>
      <c r="P904" s="3">
        <v>99.261</v>
      </c>
      <c r="Q904" s="3" t="s">
        <v>285</v>
      </c>
      <c r="R904" s="4"/>
      <c r="S904" s="3" t="s">
        <v>153</v>
      </c>
      <c r="T904" s="4" t="str">
        <f t="shared" si="2"/>
        <v>Valid</v>
      </c>
      <c r="U904" s="4">
        <f t="shared" si="3"/>
        <v>1</v>
      </c>
      <c r="V904" s="4" t="str">
        <f t="shared" si="4"/>
        <v>Unique</v>
      </c>
      <c r="W904" s="4" t="str">
        <f t="shared" si="5"/>
        <v>Unknown</v>
      </c>
      <c r="X904" s="4" t="str">
        <f t="shared" ref="X904:Z904" si="908">IF(Q904="","Unknown",Q904)</f>
        <v>Pariaman, Indonesia</v>
      </c>
      <c r="Y904" s="4" t="str">
        <f t="shared" si="908"/>
        <v>Unknown</v>
      </c>
      <c r="Z904" s="4" t="str">
        <f t="shared" si="908"/>
        <v>Indonesia</v>
      </c>
      <c r="AA904" s="4" t="str">
        <f t="shared" si="7"/>
        <v>mwc</v>
      </c>
    </row>
    <row r="905">
      <c r="A905" s="3" t="s">
        <v>2064</v>
      </c>
      <c r="B905" s="3">
        <v>6.6</v>
      </c>
      <c r="C905" s="19">
        <f>Raw_Data!T905</f>
        <v>35868.81944</v>
      </c>
      <c r="D905" s="3">
        <v>0.0</v>
      </c>
      <c r="E905" s="3">
        <v>8.0</v>
      </c>
      <c r="F905" s="4"/>
      <c r="G905" s="3">
        <v>0.0</v>
      </c>
      <c r="H905" s="3">
        <v>670.0</v>
      </c>
      <c r="I905" s="3" t="s">
        <v>110</v>
      </c>
      <c r="J905" s="3">
        <v>0.0</v>
      </c>
      <c r="K905" s="3">
        <v>0.0</v>
      </c>
      <c r="L905" s="3">
        <v>0.0</v>
      </c>
      <c r="M905" s="4" t="str">
        <f>Raw_Data!X905</f>
        <v>mwc</v>
      </c>
      <c r="N905" s="3">
        <v>9.0</v>
      </c>
      <c r="O905" s="3">
        <v>30.154</v>
      </c>
      <c r="P905" s="3">
        <v>57.605</v>
      </c>
      <c r="Q905" s="3" t="s">
        <v>2066</v>
      </c>
      <c r="R905" s="3" t="s">
        <v>164</v>
      </c>
      <c r="S905" s="3" t="s">
        <v>665</v>
      </c>
      <c r="T905" s="4" t="str">
        <f t="shared" si="2"/>
        <v>Valid</v>
      </c>
      <c r="U905" s="4">
        <f t="shared" si="3"/>
        <v>1</v>
      </c>
      <c r="V905" s="4" t="str">
        <f t="shared" si="4"/>
        <v>Unique</v>
      </c>
      <c r="W905" s="4" t="str">
        <f t="shared" si="5"/>
        <v>Unknown</v>
      </c>
      <c r="X905" s="4" t="str">
        <f t="shared" ref="X905:Z905" si="909">IF(Q905="","Unknown",Q905)</f>
        <v>Kerman, Iran</v>
      </c>
      <c r="Y905" s="4" t="str">
        <f t="shared" si="909"/>
        <v>Asia</v>
      </c>
      <c r="Z905" s="4" t="str">
        <f t="shared" si="909"/>
        <v>Iran</v>
      </c>
      <c r="AA905" s="4" t="str">
        <f t="shared" si="7"/>
        <v>mwc</v>
      </c>
    </row>
    <row r="906">
      <c r="A906" s="3" t="s">
        <v>2067</v>
      </c>
      <c r="B906" s="3">
        <v>7.1</v>
      </c>
      <c r="C906" s="19">
        <f>Raw_Data!T906</f>
        <v>35825.51111</v>
      </c>
      <c r="D906" s="3">
        <v>0.0</v>
      </c>
      <c r="E906" s="3">
        <v>7.0</v>
      </c>
      <c r="F906" s="4"/>
      <c r="G906" s="3">
        <v>0.0</v>
      </c>
      <c r="H906" s="3">
        <v>776.0</v>
      </c>
      <c r="I906" s="3" t="s">
        <v>110</v>
      </c>
      <c r="J906" s="3">
        <v>0.0</v>
      </c>
      <c r="K906" s="3">
        <v>0.0</v>
      </c>
      <c r="L906" s="3">
        <v>0.0</v>
      </c>
      <c r="M906" s="4" t="str">
        <f>Raw_Data!X906</f>
        <v>mwc</v>
      </c>
      <c r="N906" s="3">
        <v>42.0</v>
      </c>
      <c r="O906" s="3">
        <v>-23.913</v>
      </c>
      <c r="P906" s="3">
        <v>-70.207</v>
      </c>
      <c r="Q906" s="3" t="s">
        <v>1468</v>
      </c>
      <c r="R906" s="3" t="s">
        <v>121</v>
      </c>
      <c r="S906" s="3" t="s">
        <v>414</v>
      </c>
      <c r="T906" s="4" t="str">
        <f t="shared" si="2"/>
        <v>Valid</v>
      </c>
      <c r="U906" s="4">
        <f t="shared" si="3"/>
        <v>1</v>
      </c>
      <c r="V906" s="4" t="str">
        <f t="shared" si="4"/>
        <v>Unique</v>
      </c>
      <c r="W906" s="4" t="str">
        <f t="shared" si="5"/>
        <v>Unknown</v>
      </c>
      <c r="X906" s="4" t="str">
        <f t="shared" ref="X906:Z906" si="910">IF(Q906="","Unknown",Q906)</f>
        <v>Ant</v>
      </c>
      <c r="Y906" s="4" t="str">
        <f t="shared" si="910"/>
        <v>South America</v>
      </c>
      <c r="Z906" s="4" t="str">
        <f t="shared" si="910"/>
        <v>Chile</v>
      </c>
      <c r="AA906" s="4" t="str">
        <f t="shared" si="7"/>
        <v>mwc</v>
      </c>
    </row>
    <row r="907">
      <c r="A907" s="3" t="s">
        <v>2069</v>
      </c>
      <c r="B907" s="3">
        <v>6.7</v>
      </c>
      <c r="C907" s="19">
        <f>Raw_Data!T907</f>
        <v>35807.69167</v>
      </c>
      <c r="D907" s="3">
        <v>0.0</v>
      </c>
      <c r="E907" s="3">
        <v>6.0</v>
      </c>
      <c r="F907" s="4"/>
      <c r="G907" s="3">
        <v>0.0</v>
      </c>
      <c r="H907" s="3">
        <v>691.0</v>
      </c>
      <c r="I907" s="3" t="s">
        <v>110</v>
      </c>
      <c r="J907" s="3">
        <v>0.0</v>
      </c>
      <c r="K907" s="3">
        <v>0.0</v>
      </c>
      <c r="L907" s="3">
        <v>0.0</v>
      </c>
      <c r="M907" s="4" t="str">
        <f>Raw_Data!X907</f>
        <v>mwc</v>
      </c>
      <c r="N907" s="3">
        <v>23.4</v>
      </c>
      <c r="O907" s="3">
        <v>-15.848</v>
      </c>
      <c r="P907" s="3">
        <v>-179.376</v>
      </c>
      <c r="Q907" s="3" t="s">
        <v>2070</v>
      </c>
      <c r="R907" s="4"/>
      <c r="S907" s="3" t="s">
        <v>219</v>
      </c>
      <c r="T907" s="4" t="str">
        <f t="shared" si="2"/>
        <v>Valid</v>
      </c>
      <c r="U907" s="4">
        <f t="shared" si="3"/>
        <v>1</v>
      </c>
      <c r="V907" s="4" t="str">
        <f t="shared" si="4"/>
        <v>Unique</v>
      </c>
      <c r="W907" s="4" t="str">
        <f t="shared" si="5"/>
        <v>Unknown</v>
      </c>
      <c r="X907" s="4" t="str">
        <f t="shared" ref="X907:Z907" si="911">IF(Q907="","Unknown",Q907)</f>
        <v>Labasa, Fiji</v>
      </c>
      <c r="Y907" s="4" t="str">
        <f t="shared" si="911"/>
        <v>Unknown</v>
      </c>
      <c r="Z907" s="4" t="str">
        <f t="shared" si="911"/>
        <v>Fiji</v>
      </c>
      <c r="AA907" s="4" t="str">
        <f t="shared" si="7"/>
        <v>mwc</v>
      </c>
    </row>
    <row r="908">
      <c r="A908" s="3" t="s">
        <v>2071</v>
      </c>
      <c r="B908" s="3">
        <v>6.6</v>
      </c>
      <c r="C908" s="19">
        <f>Raw_Data!T908</f>
        <v>35807.42639</v>
      </c>
      <c r="D908" s="3">
        <v>0.0</v>
      </c>
      <c r="E908" s="3">
        <v>7.0</v>
      </c>
      <c r="F908" s="4"/>
      <c r="G908" s="3">
        <v>0.0</v>
      </c>
      <c r="H908" s="3">
        <v>670.0</v>
      </c>
      <c r="I908" s="3" t="s">
        <v>110</v>
      </c>
      <c r="J908" s="3">
        <v>0.0</v>
      </c>
      <c r="K908" s="3">
        <v>0.0</v>
      </c>
      <c r="L908" s="3">
        <v>0.0</v>
      </c>
      <c r="M908" s="4" t="str">
        <f>Raw_Data!X908</f>
        <v>mwc</v>
      </c>
      <c r="N908" s="3">
        <v>34.8</v>
      </c>
      <c r="O908" s="3">
        <v>-30.985</v>
      </c>
      <c r="P908" s="3">
        <v>-71.41</v>
      </c>
      <c r="Q908" s="3" t="s">
        <v>862</v>
      </c>
      <c r="R908" s="3" t="s">
        <v>121</v>
      </c>
      <c r="S908" s="3" t="s">
        <v>414</v>
      </c>
      <c r="T908" s="4" t="str">
        <f t="shared" si="2"/>
        <v>Valid</v>
      </c>
      <c r="U908" s="4">
        <f t="shared" si="3"/>
        <v>1</v>
      </c>
      <c r="V908" s="4" t="str">
        <f t="shared" si="4"/>
        <v>Unique</v>
      </c>
      <c r="W908" s="4" t="str">
        <f t="shared" si="5"/>
        <v>Unknown</v>
      </c>
      <c r="X908" s="4" t="str">
        <f t="shared" ref="X908:Z908" si="912">IF(Q908="","Unknown",Q908)</f>
        <v>Ovalle, Chile</v>
      </c>
      <c r="Y908" s="4" t="str">
        <f t="shared" si="912"/>
        <v>South America</v>
      </c>
      <c r="Z908" s="4" t="str">
        <f t="shared" si="912"/>
        <v>Chile</v>
      </c>
      <c r="AA908" s="4" t="str">
        <f t="shared" si="7"/>
        <v>mwc</v>
      </c>
    </row>
    <row r="909">
      <c r="A909" s="3" t="s">
        <v>2072</v>
      </c>
      <c r="B909" s="3">
        <v>6.6</v>
      </c>
      <c r="C909" s="19">
        <f>Raw_Data!T909</f>
        <v>35805.34722</v>
      </c>
      <c r="D909" s="3">
        <v>0.0</v>
      </c>
      <c r="E909" s="3">
        <v>6.0</v>
      </c>
      <c r="F909" s="4"/>
      <c r="G909" s="3">
        <v>0.0</v>
      </c>
      <c r="H909" s="3">
        <v>670.0</v>
      </c>
      <c r="I909" s="3" t="s">
        <v>110</v>
      </c>
      <c r="J909" s="3">
        <v>0.0</v>
      </c>
      <c r="K909" s="3">
        <v>0.0</v>
      </c>
      <c r="L909" s="3">
        <v>0.0</v>
      </c>
      <c r="M909" s="4" t="str">
        <f>Raw_Data!X909</f>
        <v>mwc</v>
      </c>
      <c r="N909" s="3">
        <v>33.0</v>
      </c>
      <c r="O909" s="3">
        <v>14.374</v>
      </c>
      <c r="P909" s="3">
        <v>-91.473</v>
      </c>
      <c r="Q909" s="3" t="s">
        <v>2073</v>
      </c>
      <c r="R909" s="4"/>
      <c r="S909" s="3" t="s">
        <v>700</v>
      </c>
      <c r="T909" s="4" t="str">
        <f t="shared" si="2"/>
        <v>Valid</v>
      </c>
      <c r="U909" s="4">
        <f t="shared" si="3"/>
        <v>1</v>
      </c>
      <c r="V909" s="4" t="str">
        <f t="shared" si="4"/>
        <v>Unique</v>
      </c>
      <c r="W909" s="4" t="str">
        <f t="shared" si="5"/>
        <v>Unknown</v>
      </c>
      <c r="X909" s="4" t="str">
        <f t="shared" ref="X909:Z909" si="913">IF(Q909="","Unknown",Q909)</f>
        <v>San José El Ídolo, Guatemala</v>
      </c>
      <c r="Y909" s="4" t="str">
        <f t="shared" si="913"/>
        <v>Unknown</v>
      </c>
      <c r="Z909" s="4" t="str">
        <f t="shared" si="913"/>
        <v>Guatemala</v>
      </c>
      <c r="AA909" s="4" t="str">
        <f t="shared" si="7"/>
        <v>mwc</v>
      </c>
    </row>
    <row r="910">
      <c r="A910" s="3" t="s">
        <v>2074</v>
      </c>
      <c r="B910" s="3">
        <v>7.2</v>
      </c>
      <c r="C910" s="19">
        <f>Raw_Data!T910</f>
        <v>35786.08681</v>
      </c>
      <c r="D910" s="3">
        <v>0.0</v>
      </c>
      <c r="E910" s="3">
        <v>6.0</v>
      </c>
      <c r="F910" s="4"/>
      <c r="G910" s="3">
        <v>0.0</v>
      </c>
      <c r="H910" s="3">
        <v>798.0</v>
      </c>
      <c r="I910" s="3" t="s">
        <v>110</v>
      </c>
      <c r="J910" s="3">
        <v>0.0</v>
      </c>
      <c r="K910" s="3">
        <v>0.0</v>
      </c>
      <c r="L910" s="3">
        <v>0.0</v>
      </c>
      <c r="M910" s="4" t="str">
        <f>Raw_Data!X910</f>
        <v>mwc</v>
      </c>
      <c r="N910" s="3">
        <v>179.3</v>
      </c>
      <c r="O910" s="3">
        <v>-5.495</v>
      </c>
      <c r="P910" s="3">
        <v>147.867</v>
      </c>
      <c r="Q910" s="3" t="s">
        <v>965</v>
      </c>
      <c r="R910" s="4"/>
      <c r="S910" s="3" t="s">
        <v>168</v>
      </c>
      <c r="T910" s="4" t="str">
        <f t="shared" si="2"/>
        <v>Valid</v>
      </c>
      <c r="U910" s="4">
        <f t="shared" si="3"/>
        <v>1</v>
      </c>
      <c r="V910" s="4" t="str">
        <f t="shared" si="4"/>
        <v>Unique</v>
      </c>
      <c r="W910" s="4" t="str">
        <f t="shared" si="5"/>
        <v>Unknown</v>
      </c>
      <c r="X910" s="4" t="str">
        <f t="shared" ref="X910:Z910" si="914">IF(Q910="","Unknown",Q910)</f>
        <v>Finschhafen, Papua New Guinea</v>
      </c>
      <c r="Y910" s="4" t="str">
        <f t="shared" si="914"/>
        <v>Unknown</v>
      </c>
      <c r="Z910" s="4" t="str">
        <f t="shared" si="914"/>
        <v>Papua New Guinea</v>
      </c>
      <c r="AA910" s="4" t="str">
        <f t="shared" si="7"/>
        <v>mwc</v>
      </c>
    </row>
    <row r="911">
      <c r="A911" s="3" t="s">
        <v>2076</v>
      </c>
      <c r="B911" s="3">
        <v>7.8</v>
      </c>
      <c r="C911" s="19">
        <f>Raw_Data!T911</f>
        <v>35769.47639</v>
      </c>
      <c r="D911" s="3">
        <v>0.0</v>
      </c>
      <c r="E911" s="3">
        <v>7.0</v>
      </c>
      <c r="F911" s="4"/>
      <c r="G911" s="3">
        <v>0.0</v>
      </c>
      <c r="H911" s="3">
        <v>936.0</v>
      </c>
      <c r="I911" s="3" t="s">
        <v>110</v>
      </c>
      <c r="J911" s="3">
        <v>0.0</v>
      </c>
      <c r="K911" s="3">
        <v>0.0</v>
      </c>
      <c r="L911" s="3">
        <v>0.0</v>
      </c>
      <c r="M911" s="4" t="str">
        <f>Raw_Data!X911</f>
        <v>mwc</v>
      </c>
      <c r="N911" s="3">
        <v>33.0</v>
      </c>
      <c r="O911" s="3">
        <v>54.841</v>
      </c>
      <c r="P911" s="3">
        <v>162.035</v>
      </c>
      <c r="Q911" s="3" t="s">
        <v>383</v>
      </c>
      <c r="R911" s="3" t="s">
        <v>164</v>
      </c>
      <c r="S911" s="3" t="s">
        <v>464</v>
      </c>
      <c r="T911" s="4" t="str">
        <f t="shared" si="2"/>
        <v>Valid</v>
      </c>
      <c r="U911" s="4">
        <f t="shared" si="3"/>
        <v>1</v>
      </c>
      <c r="V911" s="4" t="str">
        <f t="shared" si="4"/>
        <v>Unique</v>
      </c>
      <c r="W911" s="4" t="str">
        <f t="shared" si="5"/>
        <v>Unknown</v>
      </c>
      <c r="X911" s="4" t="str">
        <f t="shared" ref="X911:Z911" si="915">IF(Q911="","Unknown",Q911)</f>
        <v>Ust’-Kamchatsk Staryy, Russia</v>
      </c>
      <c r="Y911" s="4" t="str">
        <f t="shared" si="915"/>
        <v>Asia</v>
      </c>
      <c r="Z911" s="4" t="str">
        <f t="shared" si="915"/>
        <v>Russia</v>
      </c>
      <c r="AA911" s="4" t="str">
        <f t="shared" si="7"/>
        <v>mwc</v>
      </c>
    </row>
    <row r="912">
      <c r="A912" s="3" t="s">
        <v>2077</v>
      </c>
      <c r="B912" s="3">
        <v>7.0</v>
      </c>
      <c r="C912" s="19">
        <f>Raw_Data!T912</f>
        <v>35759.50972</v>
      </c>
      <c r="D912" s="3">
        <v>0.0</v>
      </c>
      <c r="E912" s="3">
        <v>6.0</v>
      </c>
      <c r="F912" s="4"/>
      <c r="G912" s="3">
        <v>0.0</v>
      </c>
      <c r="H912" s="3">
        <v>754.0</v>
      </c>
      <c r="I912" s="3" t="s">
        <v>110</v>
      </c>
      <c r="J912" s="3">
        <v>0.0</v>
      </c>
      <c r="K912" s="3">
        <v>0.0</v>
      </c>
      <c r="L912" s="3">
        <v>0.0</v>
      </c>
      <c r="M912" s="4" t="str">
        <f>Raw_Data!X912</f>
        <v>mwc</v>
      </c>
      <c r="N912" s="3">
        <v>24.0</v>
      </c>
      <c r="O912" s="3">
        <v>1.241</v>
      </c>
      <c r="P912" s="3">
        <v>122.536</v>
      </c>
      <c r="Q912" s="3" t="s">
        <v>1413</v>
      </c>
      <c r="R912" s="4"/>
      <c r="S912" s="3" t="s">
        <v>153</v>
      </c>
      <c r="T912" s="4" t="str">
        <f t="shared" si="2"/>
        <v>Valid</v>
      </c>
      <c r="U912" s="4">
        <f t="shared" si="3"/>
        <v>1</v>
      </c>
      <c r="V912" s="4" t="str">
        <f t="shared" si="4"/>
        <v>Unique</v>
      </c>
      <c r="W912" s="4" t="str">
        <f t="shared" si="5"/>
        <v>Unknown</v>
      </c>
      <c r="X912" s="4" t="str">
        <f t="shared" ref="X912:Z912" si="916">IF(Q912="","Unknown",Q912)</f>
        <v>Gorontalo, Indonesia</v>
      </c>
      <c r="Y912" s="4" t="str">
        <f t="shared" si="916"/>
        <v>Unknown</v>
      </c>
      <c r="Z912" s="4" t="str">
        <f t="shared" si="916"/>
        <v>Indonesia</v>
      </c>
      <c r="AA912" s="4" t="str">
        <f t="shared" si="7"/>
        <v>mwc</v>
      </c>
    </row>
    <row r="913">
      <c r="A913" s="3" t="s">
        <v>2079</v>
      </c>
      <c r="B913" s="3">
        <v>6.6</v>
      </c>
      <c r="C913" s="19">
        <f>Raw_Data!T913</f>
        <v>35752.54653</v>
      </c>
      <c r="D913" s="3">
        <v>0.0</v>
      </c>
      <c r="E913" s="3">
        <v>7.0</v>
      </c>
      <c r="F913" s="4"/>
      <c r="G913" s="3">
        <v>0.0</v>
      </c>
      <c r="H913" s="3">
        <v>670.0</v>
      </c>
      <c r="I913" s="3" t="s">
        <v>110</v>
      </c>
      <c r="J913" s="3">
        <v>0.0</v>
      </c>
      <c r="K913" s="3">
        <v>0.0</v>
      </c>
      <c r="L913" s="3">
        <v>0.0</v>
      </c>
      <c r="M913" s="4" t="str">
        <f>Raw_Data!X913</f>
        <v>mwc</v>
      </c>
      <c r="N913" s="3">
        <v>33.0</v>
      </c>
      <c r="O913" s="3">
        <v>37.57</v>
      </c>
      <c r="P913" s="3">
        <v>20.656</v>
      </c>
      <c r="Q913" s="3" t="s">
        <v>571</v>
      </c>
      <c r="R913" s="3" t="s">
        <v>404</v>
      </c>
      <c r="S913" s="4"/>
      <c r="T913" s="4" t="str">
        <f t="shared" si="2"/>
        <v>Valid</v>
      </c>
      <c r="U913" s="4">
        <f t="shared" si="3"/>
        <v>1</v>
      </c>
      <c r="V913" s="4" t="str">
        <f t="shared" si="4"/>
        <v>Unique</v>
      </c>
      <c r="W913" s="4" t="str">
        <f t="shared" si="5"/>
        <v>Unknown</v>
      </c>
      <c r="X913" s="4" t="str">
        <f t="shared" ref="X913:Z913" si="917">IF(Q913="","Unknown",Q913)</f>
        <v>Lithakiá, Greece</v>
      </c>
      <c r="Y913" s="4" t="str">
        <f t="shared" si="917"/>
        <v>Europe</v>
      </c>
      <c r="Z913" s="4" t="str">
        <f t="shared" si="917"/>
        <v>Unknown</v>
      </c>
      <c r="AA913" s="4" t="str">
        <f t="shared" si="7"/>
        <v>mwc</v>
      </c>
    </row>
    <row r="914">
      <c r="A914" s="3" t="s">
        <v>2081</v>
      </c>
      <c r="B914" s="3">
        <v>7.0</v>
      </c>
      <c r="C914" s="19">
        <f>Raw_Data!T914</f>
        <v>35749.79097</v>
      </c>
      <c r="D914" s="3">
        <v>0.0</v>
      </c>
      <c r="E914" s="3">
        <v>6.0</v>
      </c>
      <c r="F914" s="4"/>
      <c r="G914" s="3">
        <v>0.0</v>
      </c>
      <c r="H914" s="3">
        <v>754.0</v>
      </c>
      <c r="I914" s="3" t="s">
        <v>110</v>
      </c>
      <c r="J914" s="3">
        <v>0.0</v>
      </c>
      <c r="K914" s="3">
        <v>0.0</v>
      </c>
      <c r="L914" s="3">
        <v>0.0</v>
      </c>
      <c r="M914" s="4" t="str">
        <f>Raw_Data!X914</f>
        <v>mwc</v>
      </c>
      <c r="N914" s="3">
        <v>123.1</v>
      </c>
      <c r="O914" s="3">
        <v>-15.145</v>
      </c>
      <c r="P914" s="3">
        <v>167.375</v>
      </c>
      <c r="Q914" s="3" t="s">
        <v>185</v>
      </c>
      <c r="R914" s="4"/>
      <c r="S914" s="3" t="s">
        <v>113</v>
      </c>
      <c r="T914" s="4" t="str">
        <f t="shared" si="2"/>
        <v>Valid</v>
      </c>
      <c r="U914" s="4">
        <f t="shared" si="3"/>
        <v>1</v>
      </c>
      <c r="V914" s="4" t="str">
        <f t="shared" si="4"/>
        <v>Unique</v>
      </c>
      <c r="W914" s="4" t="str">
        <f t="shared" si="5"/>
        <v>Unknown</v>
      </c>
      <c r="X914" s="4" t="str">
        <f t="shared" ref="X914:Z914" si="918">IF(Q914="","Unknown",Q914)</f>
        <v>Port-Olry, Vanuatu</v>
      </c>
      <c r="Y914" s="4" t="str">
        <f t="shared" si="918"/>
        <v>Unknown</v>
      </c>
      <c r="Z914" s="4" t="str">
        <f t="shared" si="918"/>
        <v>Vanuatu</v>
      </c>
      <c r="AA914" s="4" t="str">
        <f t="shared" si="7"/>
        <v>mwc</v>
      </c>
    </row>
    <row r="915">
      <c r="A915" s="3" t="s">
        <v>2083</v>
      </c>
      <c r="B915" s="3">
        <v>6.5</v>
      </c>
      <c r="C915" s="19">
        <f>Raw_Data!T915</f>
        <v>35743.95556</v>
      </c>
      <c r="D915" s="3">
        <v>0.0</v>
      </c>
      <c r="E915" s="3">
        <v>4.0</v>
      </c>
      <c r="F915" s="4"/>
      <c r="G915" s="3">
        <v>0.0</v>
      </c>
      <c r="H915" s="3">
        <v>650.0</v>
      </c>
      <c r="I915" s="3" t="s">
        <v>110</v>
      </c>
      <c r="J915" s="3">
        <v>0.0</v>
      </c>
      <c r="K915" s="3">
        <v>0.0</v>
      </c>
      <c r="L915" s="3">
        <v>0.0</v>
      </c>
      <c r="M915" s="4" t="str">
        <f>Raw_Data!X915</f>
        <v>mwb</v>
      </c>
      <c r="N915" s="3">
        <v>176.4</v>
      </c>
      <c r="O915" s="3">
        <v>13.849</v>
      </c>
      <c r="P915" s="3">
        <v>-88.808</v>
      </c>
      <c r="Q915" s="3" t="s">
        <v>2084</v>
      </c>
      <c r="R915" s="4"/>
      <c r="S915" s="3" t="s">
        <v>1879</v>
      </c>
      <c r="T915" s="4" t="str">
        <f t="shared" si="2"/>
        <v>Valid</v>
      </c>
      <c r="U915" s="4">
        <f t="shared" si="3"/>
        <v>1</v>
      </c>
      <c r="V915" s="4" t="str">
        <f t="shared" si="4"/>
        <v>Unique</v>
      </c>
      <c r="W915" s="4" t="str">
        <f t="shared" si="5"/>
        <v>Unknown</v>
      </c>
      <c r="X915" s="4" t="str">
        <f t="shared" ref="X915:Z915" si="919">IF(Q915="","Unknown",Q915)</f>
        <v>San Sebastián, El Salvador</v>
      </c>
      <c r="Y915" s="4" t="str">
        <f t="shared" si="919"/>
        <v>Unknown</v>
      </c>
      <c r="Z915" s="4" t="str">
        <f t="shared" si="919"/>
        <v>El Salvador</v>
      </c>
      <c r="AA915" s="4" t="str">
        <f t="shared" si="7"/>
        <v>mwb</v>
      </c>
    </row>
    <row r="916">
      <c r="A916" s="3" t="s">
        <v>2085</v>
      </c>
      <c r="B916" s="3">
        <v>7.5</v>
      </c>
      <c r="C916" s="19">
        <f>Raw_Data!T916</f>
        <v>35742.41806</v>
      </c>
      <c r="D916" s="3">
        <v>0.0</v>
      </c>
      <c r="E916" s="3">
        <v>7.0</v>
      </c>
      <c r="F916" s="4"/>
      <c r="G916" s="3">
        <v>0.0</v>
      </c>
      <c r="H916" s="3">
        <v>865.0</v>
      </c>
      <c r="I916" s="3" t="s">
        <v>110</v>
      </c>
      <c r="J916" s="3">
        <v>0.0</v>
      </c>
      <c r="K916" s="3">
        <v>0.0</v>
      </c>
      <c r="L916" s="3">
        <v>0.0</v>
      </c>
      <c r="M916" s="4" t="str">
        <f>Raw_Data!X916</f>
        <v>mwc</v>
      </c>
      <c r="N916" s="3">
        <v>33.0</v>
      </c>
      <c r="O916" s="3">
        <v>35.069</v>
      </c>
      <c r="P916" s="3">
        <v>87.325</v>
      </c>
      <c r="Q916" s="3" t="s">
        <v>2086</v>
      </c>
      <c r="R916" s="3" t="s">
        <v>164</v>
      </c>
      <c r="S916" s="3" t="s">
        <v>251</v>
      </c>
      <c r="T916" s="4" t="str">
        <f t="shared" si="2"/>
        <v>Valid</v>
      </c>
      <c r="U916" s="4">
        <f t="shared" si="3"/>
        <v>1</v>
      </c>
      <c r="V916" s="4" t="str">
        <f t="shared" si="4"/>
        <v>Unique</v>
      </c>
      <c r="W916" s="4" t="str">
        <f t="shared" si="5"/>
        <v>Unknown</v>
      </c>
      <c r="X916" s="4" t="str">
        <f t="shared" ref="X916:Z916" si="920">IF(Q916="","Unknown",Q916)</f>
        <v>western Xizang</v>
      </c>
      <c r="Y916" s="4" t="str">
        <f t="shared" si="920"/>
        <v>Asia</v>
      </c>
      <c r="Z916" s="4" t="str">
        <f t="shared" si="920"/>
        <v>People's Republic of China</v>
      </c>
      <c r="AA916" s="4" t="str">
        <f t="shared" si="7"/>
        <v>mwc</v>
      </c>
    </row>
    <row r="917">
      <c r="A917" s="3" t="s">
        <v>2087</v>
      </c>
      <c r="B917" s="3">
        <v>7.2</v>
      </c>
      <c r="C917" s="19">
        <f>Raw_Data!T917</f>
        <v>35731.26042</v>
      </c>
      <c r="D917" s="3">
        <v>0.0</v>
      </c>
      <c r="E917" s="3">
        <v>7.0</v>
      </c>
      <c r="F917" s="4"/>
      <c r="G917" s="3">
        <v>0.0</v>
      </c>
      <c r="H917" s="3">
        <v>798.0</v>
      </c>
      <c r="I917" s="3" t="s">
        <v>110</v>
      </c>
      <c r="J917" s="3">
        <v>0.0</v>
      </c>
      <c r="K917" s="3">
        <v>0.0</v>
      </c>
      <c r="L917" s="3">
        <v>0.0</v>
      </c>
      <c r="M917" s="4" t="str">
        <f>Raw_Data!X917</f>
        <v>mwc</v>
      </c>
      <c r="N917" s="3">
        <v>112.0</v>
      </c>
      <c r="O917" s="3">
        <v>-4.368</v>
      </c>
      <c r="P917" s="3">
        <v>-76.681</v>
      </c>
      <c r="Q917" s="3" t="s">
        <v>289</v>
      </c>
      <c r="R917" s="3" t="s">
        <v>121</v>
      </c>
      <c r="S917" s="3" t="s">
        <v>265</v>
      </c>
      <c r="T917" s="4" t="str">
        <f t="shared" si="2"/>
        <v>Valid</v>
      </c>
      <c r="U917" s="4">
        <f t="shared" si="3"/>
        <v>1</v>
      </c>
      <c r="V917" s="4" t="str">
        <f t="shared" si="4"/>
        <v>Unique</v>
      </c>
      <c r="W917" s="4" t="str">
        <f t="shared" si="5"/>
        <v>Unknown</v>
      </c>
      <c r="X917" s="4" t="str">
        <f t="shared" ref="X917:Z917" si="921">IF(Q917="","Unknown",Q917)</f>
        <v>Barranca, Peru</v>
      </c>
      <c r="Y917" s="4" t="str">
        <f t="shared" si="921"/>
        <v>South America</v>
      </c>
      <c r="Z917" s="4" t="str">
        <f t="shared" si="921"/>
        <v>Peru</v>
      </c>
      <c r="AA917" s="4" t="str">
        <f t="shared" si="7"/>
        <v>mwc</v>
      </c>
    </row>
    <row r="918">
      <c r="A918" s="3" t="s">
        <v>2089</v>
      </c>
      <c r="B918" s="3">
        <v>7.1</v>
      </c>
      <c r="C918" s="19">
        <f>Raw_Data!T918</f>
        <v>35718.04375</v>
      </c>
      <c r="D918" s="3">
        <v>0.0</v>
      </c>
      <c r="E918" s="3">
        <v>7.0</v>
      </c>
      <c r="F918" s="4"/>
      <c r="G918" s="3">
        <v>0.0</v>
      </c>
      <c r="H918" s="3">
        <v>776.0</v>
      </c>
      <c r="I918" s="3" t="s">
        <v>110</v>
      </c>
      <c r="J918" s="3">
        <v>0.0</v>
      </c>
      <c r="K918" s="3">
        <v>0.0</v>
      </c>
      <c r="L918" s="3">
        <v>0.0</v>
      </c>
      <c r="M918" s="4" t="str">
        <f>Raw_Data!X918</f>
        <v>mwc</v>
      </c>
      <c r="N918" s="3">
        <v>58.0</v>
      </c>
      <c r="O918" s="3">
        <v>-30.933</v>
      </c>
      <c r="P918" s="3">
        <v>-71.22</v>
      </c>
      <c r="Q918" s="3" t="s">
        <v>1804</v>
      </c>
      <c r="R918" s="3" t="s">
        <v>121</v>
      </c>
      <c r="S918" s="3" t="s">
        <v>414</v>
      </c>
      <c r="T918" s="4" t="str">
        <f t="shared" si="2"/>
        <v>Valid</v>
      </c>
      <c r="U918" s="4">
        <f t="shared" si="3"/>
        <v>1</v>
      </c>
      <c r="V918" s="4" t="str">
        <f t="shared" si="4"/>
        <v>Unique</v>
      </c>
      <c r="W918" s="4" t="str">
        <f t="shared" si="5"/>
        <v>Unknown</v>
      </c>
      <c r="X918" s="4" t="str">
        <f t="shared" ref="X918:Z918" si="922">IF(Q918="","Unknown",Q918)</f>
        <v>Monte Patria, Chile</v>
      </c>
      <c r="Y918" s="4" t="str">
        <f t="shared" si="922"/>
        <v>South America</v>
      </c>
      <c r="Z918" s="4" t="str">
        <f t="shared" si="922"/>
        <v>Chile</v>
      </c>
      <c r="AA918" s="4" t="str">
        <f t="shared" si="7"/>
        <v>mwc</v>
      </c>
    </row>
    <row r="919">
      <c r="A919" s="3" t="s">
        <v>2091</v>
      </c>
      <c r="B919" s="3">
        <v>7.8</v>
      </c>
      <c r="C919" s="19">
        <f>Raw_Data!T919</f>
        <v>35717.41181</v>
      </c>
      <c r="D919" s="3">
        <v>0.0</v>
      </c>
      <c r="E919" s="3">
        <v>7.0</v>
      </c>
      <c r="F919" s="4"/>
      <c r="G919" s="3">
        <v>0.0</v>
      </c>
      <c r="H919" s="3">
        <v>936.0</v>
      </c>
      <c r="I919" s="3" t="s">
        <v>110</v>
      </c>
      <c r="J919" s="3">
        <v>0.0</v>
      </c>
      <c r="K919" s="3">
        <v>0.0</v>
      </c>
      <c r="L919" s="3">
        <v>0.0</v>
      </c>
      <c r="M919" s="4" t="str">
        <f>Raw_Data!X919</f>
        <v>mwb</v>
      </c>
      <c r="N919" s="3">
        <v>167.3</v>
      </c>
      <c r="O919" s="3">
        <v>-22.101</v>
      </c>
      <c r="P919" s="3">
        <v>-176.772</v>
      </c>
      <c r="Q919" s="3" t="s">
        <v>374</v>
      </c>
      <c r="R919" s="4"/>
      <c r="S919" s="4"/>
      <c r="T919" s="4" t="str">
        <f t="shared" si="2"/>
        <v>Valid</v>
      </c>
      <c r="U919" s="4">
        <f t="shared" si="3"/>
        <v>1</v>
      </c>
      <c r="V919" s="4" t="str">
        <f t="shared" si="4"/>
        <v>Unique</v>
      </c>
      <c r="W919" s="4" t="str">
        <f t="shared" si="5"/>
        <v>Unknown</v>
      </c>
      <c r="X919" s="4" t="str">
        <f t="shared" ref="X919:Z919" si="923">IF(Q919="","Unknown",Q919)</f>
        <v>Haveluloto, Tonga</v>
      </c>
      <c r="Y919" s="4" t="str">
        <f t="shared" si="923"/>
        <v>Unknown</v>
      </c>
      <c r="Z919" s="4" t="str">
        <f t="shared" si="923"/>
        <v>Unknown</v>
      </c>
      <c r="AA919" s="4" t="str">
        <f t="shared" si="7"/>
        <v>mwb</v>
      </c>
    </row>
    <row r="920">
      <c r="A920" s="3" t="s">
        <v>2093</v>
      </c>
      <c r="B920" s="3">
        <v>6.5</v>
      </c>
      <c r="C920" s="19">
        <f>Raw_Data!T920</f>
        <v>35709.52083</v>
      </c>
      <c r="D920" s="3">
        <v>0.0</v>
      </c>
      <c r="E920" s="3">
        <v>5.0</v>
      </c>
      <c r="F920" s="4"/>
      <c r="G920" s="3">
        <v>0.0</v>
      </c>
      <c r="H920" s="3">
        <v>650.0</v>
      </c>
      <c r="I920" s="3" t="s">
        <v>110</v>
      </c>
      <c r="J920" s="3">
        <v>0.0</v>
      </c>
      <c r="K920" s="3">
        <v>0.0</v>
      </c>
      <c r="L920" s="3">
        <v>0.0</v>
      </c>
      <c r="M920" s="4" t="str">
        <f>Raw_Data!X920</f>
        <v>mwb</v>
      </c>
      <c r="N920" s="3">
        <v>105.6</v>
      </c>
      <c r="O920" s="3">
        <v>9.79</v>
      </c>
      <c r="P920" s="3">
        <v>125.779</v>
      </c>
      <c r="Q920" s="3" t="s">
        <v>1693</v>
      </c>
      <c r="R920" s="4"/>
      <c r="S920" s="3" t="s">
        <v>258</v>
      </c>
      <c r="T920" s="4" t="str">
        <f t="shared" si="2"/>
        <v>Valid</v>
      </c>
      <c r="U920" s="4">
        <f t="shared" si="3"/>
        <v>1</v>
      </c>
      <c r="V920" s="4" t="str">
        <f t="shared" si="4"/>
        <v>Unique</v>
      </c>
      <c r="W920" s="4" t="str">
        <f t="shared" si="5"/>
        <v>Unknown</v>
      </c>
      <c r="X920" s="4" t="str">
        <f t="shared" ref="X920:Z920" si="924">IF(Q920="","Unknown",Q920)</f>
        <v>Talisay, Philippines</v>
      </c>
      <c r="Y920" s="4" t="str">
        <f t="shared" si="924"/>
        <v>Unknown</v>
      </c>
      <c r="Z920" s="4" t="str">
        <f t="shared" si="924"/>
        <v>Philippines</v>
      </c>
      <c r="AA920" s="4" t="str">
        <f t="shared" si="7"/>
        <v>mwb</v>
      </c>
    </row>
    <row r="921">
      <c r="A921" s="3" t="s">
        <v>2094</v>
      </c>
      <c r="B921" s="3">
        <v>6.8</v>
      </c>
      <c r="C921" s="19">
        <f>Raw_Data!T921</f>
        <v>35675.50903</v>
      </c>
      <c r="D921" s="3">
        <v>0.0</v>
      </c>
      <c r="E921" s="3">
        <v>5.0</v>
      </c>
      <c r="F921" s="4"/>
      <c r="G921" s="3">
        <v>0.0</v>
      </c>
      <c r="H921" s="3">
        <v>711.0</v>
      </c>
      <c r="I921" s="3" t="s">
        <v>110</v>
      </c>
      <c r="J921" s="3">
        <v>0.0</v>
      </c>
      <c r="K921" s="3">
        <v>0.0</v>
      </c>
      <c r="L921" s="3">
        <v>0.0</v>
      </c>
      <c r="M921" s="4" t="str">
        <f>Raw_Data!X921</f>
        <v>mwb</v>
      </c>
      <c r="N921" s="3">
        <v>198.7</v>
      </c>
      <c r="O921" s="3">
        <v>3.849</v>
      </c>
      <c r="P921" s="3">
        <v>-75.749</v>
      </c>
      <c r="Q921" s="3" t="s">
        <v>2095</v>
      </c>
      <c r="R921" s="3" t="s">
        <v>121</v>
      </c>
      <c r="S921" s="3" t="s">
        <v>140</v>
      </c>
      <c r="T921" s="4" t="str">
        <f t="shared" si="2"/>
        <v>Valid</v>
      </c>
      <c r="U921" s="4">
        <f t="shared" si="3"/>
        <v>1</v>
      </c>
      <c r="V921" s="4" t="str">
        <f t="shared" si="4"/>
        <v>Unique</v>
      </c>
      <c r="W921" s="4" t="str">
        <f t="shared" si="5"/>
        <v>Unknown</v>
      </c>
      <c r="X921" s="4" t="str">
        <f t="shared" ref="X921:Z921" si="925">IF(Q921="","Unknown",Q921)</f>
        <v>Roncesvalles, Colombia</v>
      </c>
      <c r="Y921" s="4" t="str">
        <f t="shared" si="925"/>
        <v>South America</v>
      </c>
      <c r="Z921" s="4" t="str">
        <f t="shared" si="925"/>
        <v>Colombia</v>
      </c>
      <c r="AA921" s="4" t="str">
        <f t="shared" si="7"/>
        <v>mwb</v>
      </c>
    </row>
    <row r="922">
      <c r="A922" s="3" t="s">
        <v>2096</v>
      </c>
      <c r="B922" s="3">
        <v>6.6</v>
      </c>
      <c r="C922" s="19">
        <f>Raw_Data!T922</f>
        <v>35671.34306</v>
      </c>
      <c r="D922" s="3">
        <v>0.0</v>
      </c>
      <c r="E922" s="3">
        <v>6.0</v>
      </c>
      <c r="F922" s="4"/>
      <c r="G922" s="3">
        <v>0.0</v>
      </c>
      <c r="H922" s="3">
        <v>670.0</v>
      </c>
      <c r="I922" s="3" t="s">
        <v>110</v>
      </c>
      <c r="J922" s="3">
        <v>0.0</v>
      </c>
      <c r="K922" s="3">
        <v>0.0</v>
      </c>
      <c r="L922" s="3">
        <v>0.0</v>
      </c>
      <c r="M922" s="4" t="str">
        <f>Raw_Data!X922</f>
        <v>mwc</v>
      </c>
      <c r="N922" s="3">
        <v>22.8</v>
      </c>
      <c r="O922" s="3">
        <v>-3.562</v>
      </c>
      <c r="P922" s="3">
        <v>144.362</v>
      </c>
      <c r="Q922" s="3" t="s">
        <v>667</v>
      </c>
      <c r="R922" s="4"/>
      <c r="S922" s="3" t="s">
        <v>168</v>
      </c>
      <c r="T922" s="4" t="str">
        <f t="shared" si="2"/>
        <v>Valid</v>
      </c>
      <c r="U922" s="4">
        <f t="shared" si="3"/>
        <v>1</v>
      </c>
      <c r="V922" s="4" t="str">
        <f t="shared" si="4"/>
        <v>Unique</v>
      </c>
      <c r="W922" s="4" t="str">
        <f t="shared" si="5"/>
        <v>Unknown</v>
      </c>
      <c r="X922" s="4" t="str">
        <f t="shared" ref="X922:Z922" si="926">IF(Q922="","Unknown",Q922)</f>
        <v>Angoram, Papua New Guinea</v>
      </c>
      <c r="Y922" s="4" t="str">
        <f t="shared" si="926"/>
        <v>Unknown</v>
      </c>
      <c r="Z922" s="4" t="str">
        <f t="shared" si="926"/>
        <v>Papua New Guinea</v>
      </c>
      <c r="AA922" s="4" t="str">
        <f t="shared" si="7"/>
        <v>mwc</v>
      </c>
    </row>
    <row r="923">
      <c r="A923" s="3" t="s">
        <v>2098</v>
      </c>
      <c r="B923" s="3">
        <v>6.9</v>
      </c>
      <c r="C923" s="19">
        <f>Raw_Data!T923</f>
        <v>35630.59861</v>
      </c>
      <c r="D923" s="3">
        <v>0.0</v>
      </c>
      <c r="E923" s="3">
        <v>6.0</v>
      </c>
      <c r="F923" s="4"/>
      <c r="G923" s="3">
        <v>0.0</v>
      </c>
      <c r="H923" s="3">
        <v>732.0</v>
      </c>
      <c r="I923" s="3" t="s">
        <v>110</v>
      </c>
      <c r="J923" s="3">
        <v>0.0</v>
      </c>
      <c r="K923" s="3">
        <v>0.0</v>
      </c>
      <c r="L923" s="3">
        <v>0.0</v>
      </c>
      <c r="M923" s="4" t="str">
        <f>Raw_Data!X923</f>
        <v>mwb</v>
      </c>
      <c r="N923" s="3">
        <v>33.0</v>
      </c>
      <c r="O923" s="3">
        <v>16.333</v>
      </c>
      <c r="P923" s="3">
        <v>-98.216</v>
      </c>
      <c r="Q923" s="3" t="s">
        <v>2100</v>
      </c>
      <c r="R923" s="3" t="s">
        <v>233</v>
      </c>
      <c r="S923" s="3" t="s">
        <v>234</v>
      </c>
      <c r="T923" s="4" t="str">
        <f t="shared" si="2"/>
        <v>Valid</v>
      </c>
      <c r="U923" s="4">
        <f t="shared" si="3"/>
        <v>1</v>
      </c>
      <c r="V923" s="4" t="str">
        <f t="shared" si="4"/>
        <v>Unique</v>
      </c>
      <c r="W923" s="4" t="str">
        <f t="shared" si="5"/>
        <v>Unknown</v>
      </c>
      <c r="X923" s="4" t="str">
        <f t="shared" ref="X923:Z923" si="927">IF(Q923="","Unknown",Q923)</f>
        <v>El Ciruelo, Mexico</v>
      </c>
      <c r="Y923" s="4" t="str">
        <f t="shared" si="927"/>
        <v>North America</v>
      </c>
      <c r="Z923" s="4" t="str">
        <f t="shared" si="927"/>
        <v>Mexico</v>
      </c>
      <c r="AA923" s="4" t="str">
        <f t="shared" si="7"/>
        <v>mwb</v>
      </c>
    </row>
    <row r="924">
      <c r="A924" s="3" t="s">
        <v>2101</v>
      </c>
      <c r="B924" s="3">
        <v>7.0</v>
      </c>
      <c r="C924" s="19">
        <f>Raw_Data!T924</f>
        <v>35620.80833</v>
      </c>
      <c r="D924" s="3">
        <v>0.0</v>
      </c>
      <c r="E924" s="3">
        <v>8.0</v>
      </c>
      <c r="F924" s="4"/>
      <c r="G924" s="3">
        <v>0.0</v>
      </c>
      <c r="H924" s="3">
        <v>754.0</v>
      </c>
      <c r="I924" s="3" t="s">
        <v>110</v>
      </c>
      <c r="J924" s="3">
        <v>0.0</v>
      </c>
      <c r="K924" s="3">
        <v>0.0</v>
      </c>
      <c r="L924" s="3">
        <v>0.0</v>
      </c>
      <c r="M924" s="4" t="str">
        <f>Raw_Data!X924</f>
        <v>mwc</v>
      </c>
      <c r="N924" s="3">
        <v>19.9</v>
      </c>
      <c r="O924" s="3">
        <v>10.598</v>
      </c>
      <c r="P924" s="3">
        <v>-63.486</v>
      </c>
      <c r="Q924" s="3" t="s">
        <v>608</v>
      </c>
      <c r="R924" s="4"/>
      <c r="S924" s="3" t="s">
        <v>609</v>
      </c>
      <c r="T924" s="4" t="str">
        <f t="shared" si="2"/>
        <v>Valid</v>
      </c>
      <c r="U924" s="4">
        <f t="shared" si="3"/>
        <v>1</v>
      </c>
      <c r="V924" s="4" t="str">
        <f t="shared" si="4"/>
        <v>Unique</v>
      </c>
      <c r="W924" s="4" t="str">
        <f t="shared" si="5"/>
        <v>Unknown</v>
      </c>
      <c r="X924" s="4" t="str">
        <f t="shared" ref="X924:Z924" si="928">IF(Q924="","Unknown",Q924)</f>
        <v>Carúpano, Venezuela</v>
      </c>
      <c r="Y924" s="4" t="str">
        <f t="shared" si="928"/>
        <v>Unknown</v>
      </c>
      <c r="Z924" s="4" t="str">
        <f t="shared" si="928"/>
        <v>Venezuela</v>
      </c>
      <c r="AA924" s="4" t="str">
        <f t="shared" si="7"/>
        <v>mwc</v>
      </c>
    </row>
    <row r="925">
      <c r="A925" s="3" t="s">
        <v>2102</v>
      </c>
      <c r="B925" s="3">
        <v>6.8</v>
      </c>
      <c r="C925" s="19">
        <f>Raw_Data!T925</f>
        <v>35617.4125</v>
      </c>
      <c r="D925" s="3">
        <v>0.0</v>
      </c>
      <c r="E925" s="3">
        <v>6.0</v>
      </c>
      <c r="F925" s="4"/>
      <c r="G925" s="3">
        <v>0.0</v>
      </c>
      <c r="H925" s="3">
        <v>711.0</v>
      </c>
      <c r="I925" s="3" t="s">
        <v>110</v>
      </c>
      <c r="J925" s="3">
        <v>0.0</v>
      </c>
      <c r="K925" s="3">
        <v>0.0</v>
      </c>
      <c r="L925" s="3">
        <v>0.0</v>
      </c>
      <c r="M925" s="4" t="str">
        <f>Raw_Data!X925</f>
        <v>mwc</v>
      </c>
      <c r="N925" s="3">
        <v>19.0</v>
      </c>
      <c r="O925" s="3">
        <v>-30.058</v>
      </c>
      <c r="P925" s="3">
        <v>-71.872</v>
      </c>
      <c r="Q925" s="3" t="s">
        <v>547</v>
      </c>
      <c r="R925" s="4"/>
      <c r="S925" s="4"/>
      <c r="T925" s="4" t="str">
        <f t="shared" si="2"/>
        <v>Valid</v>
      </c>
      <c r="U925" s="4">
        <f t="shared" si="3"/>
        <v>1</v>
      </c>
      <c r="V925" s="4" t="str">
        <f t="shared" si="4"/>
        <v>Unique</v>
      </c>
      <c r="W925" s="4" t="str">
        <f t="shared" si="5"/>
        <v>Unknown</v>
      </c>
      <c r="X925" s="4" t="str">
        <f t="shared" ref="X925:Z925" si="929">IF(Q925="","Unknown",Q925)</f>
        <v>Coquimbo, Chile</v>
      </c>
      <c r="Y925" s="4" t="str">
        <f t="shared" si="929"/>
        <v>Unknown</v>
      </c>
      <c r="Z925" s="4" t="str">
        <f t="shared" si="929"/>
        <v>Unknown</v>
      </c>
      <c r="AA925" s="4" t="str">
        <f t="shared" si="7"/>
        <v>mwc</v>
      </c>
    </row>
    <row r="926">
      <c r="A926" s="3" t="s">
        <v>2103</v>
      </c>
      <c r="B926" s="3">
        <v>6.5</v>
      </c>
      <c r="C926" s="19">
        <f>Raw_Data!T926</f>
        <v>35572.32639</v>
      </c>
      <c r="D926" s="3">
        <v>0.0</v>
      </c>
      <c r="E926" s="3">
        <v>6.0</v>
      </c>
      <c r="F926" s="4"/>
      <c r="G926" s="3">
        <v>0.0</v>
      </c>
      <c r="H926" s="3">
        <v>650.0</v>
      </c>
      <c r="I926" s="3" t="s">
        <v>110</v>
      </c>
      <c r="J926" s="3">
        <v>0.0</v>
      </c>
      <c r="K926" s="3">
        <v>0.0</v>
      </c>
      <c r="L926" s="3">
        <v>0.0</v>
      </c>
      <c r="M926" s="4" t="str">
        <f>Raw_Data!X926</f>
        <v>mwc</v>
      </c>
      <c r="N926" s="3">
        <v>70.0</v>
      </c>
      <c r="O926" s="3">
        <v>18.684</v>
      </c>
      <c r="P926" s="3">
        <v>-101.604</v>
      </c>
      <c r="Q926" s="3" t="s">
        <v>2105</v>
      </c>
      <c r="R926" s="3" t="s">
        <v>233</v>
      </c>
      <c r="S926" s="3" t="s">
        <v>234</v>
      </c>
      <c r="T926" s="4" t="str">
        <f t="shared" si="2"/>
        <v>Valid</v>
      </c>
      <c r="U926" s="4">
        <f t="shared" si="3"/>
        <v>1</v>
      </c>
      <c r="V926" s="4" t="str">
        <f t="shared" si="4"/>
        <v>Unique</v>
      </c>
      <c r="W926" s="4" t="str">
        <f t="shared" si="5"/>
        <v>Unknown</v>
      </c>
      <c r="X926" s="4" t="str">
        <f t="shared" ref="X926:Z926" si="930">IF(Q926="","Unknown",Q926)</f>
        <v>Churumuco de Morelos, Mexico</v>
      </c>
      <c r="Y926" s="4" t="str">
        <f t="shared" si="930"/>
        <v>North America</v>
      </c>
      <c r="Z926" s="4" t="str">
        <f t="shared" si="930"/>
        <v>Mexico</v>
      </c>
      <c r="AA926" s="4" t="str">
        <f t="shared" si="7"/>
        <v>mwc</v>
      </c>
    </row>
    <row r="927">
      <c r="A927" s="3" t="s">
        <v>2106</v>
      </c>
      <c r="B927" s="3">
        <v>6.8</v>
      </c>
      <c r="C927" s="19">
        <f>Raw_Data!T927</f>
        <v>35571.59028</v>
      </c>
      <c r="D927" s="3">
        <v>0.0</v>
      </c>
      <c r="E927" s="3">
        <v>6.0</v>
      </c>
      <c r="F927" s="4"/>
      <c r="G927" s="3">
        <v>0.0</v>
      </c>
      <c r="H927" s="3">
        <v>711.0</v>
      </c>
      <c r="I927" s="3" t="s">
        <v>110</v>
      </c>
      <c r="J927" s="3">
        <v>0.0</v>
      </c>
      <c r="K927" s="3">
        <v>0.0</v>
      </c>
      <c r="L927" s="3">
        <v>0.0</v>
      </c>
      <c r="M927" s="4" t="str">
        <f>Raw_Data!X927</f>
        <v>mwc</v>
      </c>
      <c r="N927" s="3">
        <v>57.0</v>
      </c>
      <c r="O927" s="3">
        <v>-20.438</v>
      </c>
      <c r="P927" s="3">
        <v>169.287</v>
      </c>
      <c r="Q927" s="3" t="s">
        <v>246</v>
      </c>
      <c r="R927" s="4"/>
      <c r="S927" s="4"/>
      <c r="T927" s="4" t="str">
        <f t="shared" si="2"/>
        <v>Valid</v>
      </c>
      <c r="U927" s="4">
        <f t="shared" si="3"/>
        <v>1</v>
      </c>
      <c r="V927" s="4" t="str">
        <f t="shared" si="4"/>
        <v>Unique</v>
      </c>
      <c r="W927" s="4" t="str">
        <f t="shared" si="5"/>
        <v>Unknown</v>
      </c>
      <c r="X927" s="4" t="str">
        <f t="shared" ref="X927:Z927" si="931">IF(Q927="","Unknown",Q927)</f>
        <v>Isangel, Vanuatu</v>
      </c>
      <c r="Y927" s="4" t="str">
        <f t="shared" si="931"/>
        <v>Unknown</v>
      </c>
      <c r="Z927" s="4" t="str">
        <f t="shared" si="931"/>
        <v>Unknown</v>
      </c>
      <c r="AA927" s="4" t="str">
        <f t="shared" si="7"/>
        <v>mwc</v>
      </c>
    </row>
    <row r="928">
      <c r="A928" s="3" t="s">
        <v>2108</v>
      </c>
      <c r="B928" s="3">
        <v>6.5</v>
      </c>
      <c r="C928" s="19">
        <f>Raw_Data!T928</f>
        <v>35563.59236</v>
      </c>
      <c r="D928" s="3">
        <v>0.0</v>
      </c>
      <c r="E928" s="3">
        <v>4.0</v>
      </c>
      <c r="F928" s="4"/>
      <c r="G928" s="3">
        <v>0.0</v>
      </c>
      <c r="H928" s="3">
        <v>650.0</v>
      </c>
      <c r="I928" s="3" t="s">
        <v>110</v>
      </c>
      <c r="J928" s="3">
        <v>0.0</v>
      </c>
      <c r="K928" s="3">
        <v>0.0</v>
      </c>
      <c r="L928" s="3">
        <v>0.0</v>
      </c>
      <c r="M928" s="4" t="str">
        <f>Raw_Data!X928</f>
        <v>mwb</v>
      </c>
      <c r="N928" s="3">
        <v>196.0</v>
      </c>
      <c r="O928" s="3">
        <v>36.411</v>
      </c>
      <c r="P928" s="3">
        <v>70.945</v>
      </c>
      <c r="Q928" s="3" t="s">
        <v>174</v>
      </c>
      <c r="R928" s="3" t="s">
        <v>164</v>
      </c>
      <c r="S928" s="3" t="s">
        <v>175</v>
      </c>
      <c r="T928" s="4" t="str">
        <f t="shared" si="2"/>
        <v>Valid</v>
      </c>
      <c r="U928" s="4">
        <f t="shared" si="3"/>
        <v>1</v>
      </c>
      <c r="V928" s="4" t="str">
        <f t="shared" si="4"/>
        <v>Unique</v>
      </c>
      <c r="W928" s="4" t="str">
        <f t="shared" si="5"/>
        <v>Unknown</v>
      </c>
      <c r="X928" s="4" t="str">
        <f t="shared" ref="X928:Z928" si="932">IF(Q928="","Unknown",Q928)</f>
        <v>Jurm, Afghanistan</v>
      </c>
      <c r="Y928" s="4" t="str">
        <f t="shared" si="932"/>
        <v>Asia</v>
      </c>
      <c r="Z928" s="4" t="str">
        <f t="shared" si="932"/>
        <v>Afghanistan</v>
      </c>
      <c r="AA928" s="4" t="str">
        <f t="shared" si="7"/>
        <v>mwb</v>
      </c>
    </row>
    <row r="929">
      <c r="A929" s="3" t="s">
        <v>2110</v>
      </c>
      <c r="B929" s="3">
        <v>7.3</v>
      </c>
      <c r="C929" s="19">
        <f>Raw_Data!T929</f>
        <v>35560.33125</v>
      </c>
      <c r="D929" s="3">
        <v>0.0</v>
      </c>
      <c r="E929" s="3">
        <v>9.0</v>
      </c>
      <c r="F929" s="4"/>
      <c r="G929" s="3">
        <v>0.0</v>
      </c>
      <c r="H929" s="3">
        <v>820.0</v>
      </c>
      <c r="I929" s="3" t="s">
        <v>110</v>
      </c>
      <c r="J929" s="3">
        <v>0.0</v>
      </c>
      <c r="K929" s="3">
        <v>0.0</v>
      </c>
      <c r="L929" s="3">
        <v>0.0</v>
      </c>
      <c r="M929" s="4" t="str">
        <f>Raw_Data!X929</f>
        <v>mwb</v>
      </c>
      <c r="N929" s="3">
        <v>10.0</v>
      </c>
      <c r="O929" s="3">
        <v>33.825</v>
      </c>
      <c r="P929" s="3">
        <v>59.809</v>
      </c>
      <c r="Q929" s="3" t="s">
        <v>2111</v>
      </c>
      <c r="R929" s="3" t="s">
        <v>164</v>
      </c>
      <c r="S929" s="3" t="s">
        <v>665</v>
      </c>
      <c r="T929" s="4" t="str">
        <f t="shared" si="2"/>
        <v>Valid</v>
      </c>
      <c r="U929" s="4">
        <f t="shared" si="3"/>
        <v>1</v>
      </c>
      <c r="V929" s="4" t="str">
        <f t="shared" si="4"/>
        <v>Unique</v>
      </c>
      <c r="W929" s="4" t="str">
        <f t="shared" si="5"/>
        <v>Unknown</v>
      </c>
      <c r="X929" s="4" t="str">
        <f t="shared" ref="X929:Z929" si="933">IF(Q929="","Unknown",Q929)</f>
        <v>Q?’en, Iran</v>
      </c>
      <c r="Y929" s="4" t="str">
        <f t="shared" si="933"/>
        <v>Asia</v>
      </c>
      <c r="Z929" s="4" t="str">
        <f t="shared" si="933"/>
        <v>Iran</v>
      </c>
      <c r="AA929" s="4" t="str">
        <f t="shared" si="7"/>
        <v>mwb</v>
      </c>
    </row>
    <row r="930">
      <c r="A930" s="3" t="s">
        <v>2112</v>
      </c>
      <c r="B930" s="3">
        <v>6.5</v>
      </c>
      <c r="C930" s="19">
        <f>Raw_Data!T930</f>
        <v>35543.82222</v>
      </c>
      <c r="D930" s="3">
        <v>0.0</v>
      </c>
      <c r="E930" s="3">
        <v>6.0</v>
      </c>
      <c r="F930" s="4"/>
      <c r="G930" s="3">
        <v>0.0</v>
      </c>
      <c r="H930" s="3">
        <v>650.0</v>
      </c>
      <c r="I930" s="3" t="s">
        <v>110</v>
      </c>
      <c r="J930" s="3">
        <v>0.0</v>
      </c>
      <c r="K930" s="3">
        <v>0.0</v>
      </c>
      <c r="L930" s="3">
        <v>0.0</v>
      </c>
      <c r="M930" s="4" t="str">
        <f>Raw_Data!X930</f>
        <v>mwc</v>
      </c>
      <c r="N930" s="3">
        <v>100.8</v>
      </c>
      <c r="O930" s="3">
        <v>13.986</v>
      </c>
      <c r="P930" s="3">
        <v>144.901</v>
      </c>
      <c r="Q930" s="3" t="s">
        <v>2114</v>
      </c>
      <c r="R930" s="4"/>
      <c r="S930" s="4"/>
      <c r="T930" s="4" t="str">
        <f t="shared" si="2"/>
        <v>Valid</v>
      </c>
      <c r="U930" s="4">
        <f t="shared" si="3"/>
        <v>1</v>
      </c>
      <c r="V930" s="4" t="str">
        <f t="shared" si="4"/>
        <v>Unique</v>
      </c>
      <c r="W930" s="4" t="str">
        <f t="shared" si="5"/>
        <v>Unknown</v>
      </c>
      <c r="X930" s="4" t="str">
        <f t="shared" ref="X930:Z930" si="934">IF(Q930="","Unknown",Q930)</f>
        <v>Yigo Village, Guam</v>
      </c>
      <c r="Y930" s="4" t="str">
        <f t="shared" si="934"/>
        <v>Unknown</v>
      </c>
      <c r="Z930" s="4" t="str">
        <f t="shared" si="934"/>
        <v>Unknown</v>
      </c>
      <c r="AA930" s="4" t="str">
        <f t="shared" si="7"/>
        <v>mwc</v>
      </c>
    </row>
    <row r="931">
      <c r="A931" s="3" t="s">
        <v>2115</v>
      </c>
      <c r="B931" s="3">
        <v>6.7</v>
      </c>
      <c r="C931" s="19">
        <f>Raw_Data!T931</f>
        <v>35542.39653</v>
      </c>
      <c r="D931" s="3">
        <v>0.0</v>
      </c>
      <c r="E931" s="3">
        <v>7.0</v>
      </c>
      <c r="F931" s="4"/>
      <c r="G931" s="3">
        <v>0.0</v>
      </c>
      <c r="H931" s="3">
        <v>691.0</v>
      </c>
      <c r="I931" s="3" t="s">
        <v>110</v>
      </c>
      <c r="J931" s="3">
        <v>0.0</v>
      </c>
      <c r="K931" s="3">
        <v>0.0</v>
      </c>
      <c r="L931" s="3">
        <v>0.0</v>
      </c>
      <c r="M931" s="4" t="str">
        <f>Raw_Data!X931</f>
        <v>mwb</v>
      </c>
      <c r="N931" s="3">
        <v>5.0</v>
      </c>
      <c r="O931" s="3">
        <v>11.112</v>
      </c>
      <c r="P931" s="3">
        <v>-60.892</v>
      </c>
      <c r="Q931" s="3" t="s">
        <v>2117</v>
      </c>
      <c r="R931" s="4"/>
      <c r="S931" s="3" t="s">
        <v>2118</v>
      </c>
      <c r="T931" s="4" t="str">
        <f t="shared" si="2"/>
        <v>Valid</v>
      </c>
      <c r="U931" s="4">
        <f t="shared" si="3"/>
        <v>1</v>
      </c>
      <c r="V931" s="4" t="str">
        <f t="shared" si="4"/>
        <v>Unique</v>
      </c>
      <c r="W931" s="4" t="str">
        <f t="shared" si="5"/>
        <v>Unknown</v>
      </c>
      <c r="X931" s="4" t="str">
        <f t="shared" ref="X931:Z931" si="935">IF(Q931="","Unknown",Q931)</f>
        <v>Scarborough, Trinidad and Tobago</v>
      </c>
      <c r="Y931" s="4" t="str">
        <f t="shared" si="935"/>
        <v>Unknown</v>
      </c>
      <c r="Z931" s="4" t="str">
        <f t="shared" si="935"/>
        <v>Trinidad and Tobago</v>
      </c>
      <c r="AA931" s="4" t="str">
        <f t="shared" si="7"/>
        <v>mwb</v>
      </c>
    </row>
    <row r="932">
      <c r="A932" s="3" t="s">
        <v>2119</v>
      </c>
      <c r="B932" s="3">
        <v>7.7</v>
      </c>
      <c r="C932" s="19">
        <f>Raw_Data!T932</f>
        <v>35541.50139</v>
      </c>
      <c r="D932" s="3">
        <v>0.0</v>
      </c>
      <c r="E932" s="3">
        <v>6.0</v>
      </c>
      <c r="F932" s="4"/>
      <c r="G932" s="3">
        <v>0.0</v>
      </c>
      <c r="H932" s="3">
        <v>912.0</v>
      </c>
      <c r="I932" s="3" t="s">
        <v>110</v>
      </c>
      <c r="J932" s="3">
        <v>0.0</v>
      </c>
      <c r="K932" s="3">
        <v>0.0</v>
      </c>
      <c r="L932" s="3">
        <v>0.0</v>
      </c>
      <c r="M932" s="4" t="str">
        <f>Raw_Data!X932</f>
        <v>mwc</v>
      </c>
      <c r="N932" s="3">
        <v>33.0</v>
      </c>
      <c r="O932" s="3">
        <v>-12.584</v>
      </c>
      <c r="P932" s="3">
        <v>166.676</v>
      </c>
      <c r="Q932" s="3" t="s">
        <v>112</v>
      </c>
      <c r="R932" s="4"/>
      <c r="S932" s="4"/>
      <c r="T932" s="4" t="str">
        <f t="shared" si="2"/>
        <v>Valid</v>
      </c>
      <c r="U932" s="4">
        <f t="shared" si="3"/>
        <v>1</v>
      </c>
      <c r="V932" s="4" t="str">
        <f t="shared" si="4"/>
        <v>Unique</v>
      </c>
      <c r="W932" s="4" t="str">
        <f t="shared" si="5"/>
        <v>Unknown</v>
      </c>
      <c r="X932" s="4" t="str">
        <f t="shared" ref="X932:Z932" si="936">IF(Q932="","Unknown",Q932)</f>
        <v>Sola, Vanuatu</v>
      </c>
      <c r="Y932" s="4" t="str">
        <f t="shared" si="936"/>
        <v>Unknown</v>
      </c>
      <c r="Z932" s="4" t="str">
        <f t="shared" si="936"/>
        <v>Unknown</v>
      </c>
      <c r="AA932" s="4" t="str">
        <f t="shared" si="7"/>
        <v>mwc</v>
      </c>
    </row>
    <row r="933">
      <c r="A933" s="3" t="s">
        <v>2121</v>
      </c>
      <c r="B933" s="3">
        <v>6.5</v>
      </c>
      <c r="C933" s="19">
        <f>Raw_Data!T933</f>
        <v>35525.51597</v>
      </c>
      <c r="D933" s="3">
        <v>0.0</v>
      </c>
      <c r="E933" s="3">
        <v>6.0</v>
      </c>
      <c r="F933" s="4"/>
      <c r="G933" s="3">
        <v>0.0</v>
      </c>
      <c r="H933" s="3">
        <v>650.0</v>
      </c>
      <c r="I933" s="3" t="s">
        <v>110</v>
      </c>
      <c r="J933" s="3">
        <v>0.0</v>
      </c>
      <c r="K933" s="3">
        <v>0.0</v>
      </c>
      <c r="L933" s="3">
        <v>0.0</v>
      </c>
      <c r="M933" s="4" t="str">
        <f>Raw_Data!X933</f>
        <v>mwc</v>
      </c>
      <c r="N933" s="3">
        <v>69.1</v>
      </c>
      <c r="O933" s="3">
        <v>-6.485</v>
      </c>
      <c r="P933" s="3">
        <v>147.408</v>
      </c>
      <c r="Q933" s="3" t="s">
        <v>965</v>
      </c>
      <c r="R933" s="4"/>
      <c r="S933" s="3" t="s">
        <v>168</v>
      </c>
      <c r="T933" s="4" t="str">
        <f t="shared" si="2"/>
        <v>Valid</v>
      </c>
      <c r="U933" s="4">
        <f t="shared" si="3"/>
        <v>1</v>
      </c>
      <c r="V933" s="4" t="str">
        <f t="shared" si="4"/>
        <v>Unique</v>
      </c>
      <c r="W933" s="4" t="str">
        <f t="shared" si="5"/>
        <v>Unknown</v>
      </c>
      <c r="X933" s="4" t="str">
        <f t="shared" ref="X933:Z933" si="937">IF(Q933="","Unknown",Q933)</f>
        <v>Finschhafen, Papua New Guinea</v>
      </c>
      <c r="Y933" s="4" t="str">
        <f t="shared" si="937"/>
        <v>Unknown</v>
      </c>
      <c r="Z933" s="4" t="str">
        <f t="shared" si="937"/>
        <v>Papua New Guinea</v>
      </c>
      <c r="AA933" s="4" t="str">
        <f t="shared" si="7"/>
        <v>mwc</v>
      </c>
    </row>
    <row r="934">
      <c r="A934" s="3" t="s">
        <v>2122</v>
      </c>
      <c r="B934" s="3">
        <v>6.9</v>
      </c>
      <c r="C934" s="19">
        <f>Raw_Data!T934</f>
        <v>35500.80694</v>
      </c>
      <c r="D934" s="3">
        <v>0.0</v>
      </c>
      <c r="E934" s="3">
        <v>5.0</v>
      </c>
      <c r="F934" s="4"/>
      <c r="G934" s="3">
        <v>0.0</v>
      </c>
      <c r="H934" s="3">
        <v>732.0</v>
      </c>
      <c r="I934" s="3" t="s">
        <v>110</v>
      </c>
      <c r="J934" s="3">
        <v>0.0</v>
      </c>
      <c r="K934" s="3">
        <v>0.0</v>
      </c>
      <c r="L934" s="3">
        <v>0.0</v>
      </c>
      <c r="M934" s="4" t="str">
        <f>Raw_Data!X934</f>
        <v>mwb</v>
      </c>
      <c r="N934" s="3">
        <v>10.0</v>
      </c>
      <c r="O934" s="3">
        <v>7.742</v>
      </c>
      <c r="P934" s="3">
        <v>127.647</v>
      </c>
      <c r="Q934" s="3" t="s">
        <v>2123</v>
      </c>
      <c r="R934" s="4"/>
      <c r="S934" s="4"/>
      <c r="T934" s="4" t="str">
        <f t="shared" si="2"/>
        <v>Valid</v>
      </c>
      <c r="U934" s="4">
        <f t="shared" si="3"/>
        <v>1</v>
      </c>
      <c r="V934" s="4" t="str">
        <f t="shared" si="4"/>
        <v>Unique</v>
      </c>
      <c r="W934" s="4" t="str">
        <f t="shared" si="5"/>
        <v>Unknown</v>
      </c>
      <c r="X934" s="4" t="str">
        <f t="shared" ref="X934:Z934" si="938">IF(Q934="","Unknown",Q934)</f>
        <v>Kinablangan, Philippines</v>
      </c>
      <c r="Y934" s="4" t="str">
        <f t="shared" si="938"/>
        <v>Unknown</v>
      </c>
      <c r="Z934" s="4" t="str">
        <f t="shared" si="938"/>
        <v>Unknown</v>
      </c>
      <c r="AA934" s="4" t="str">
        <f t="shared" si="7"/>
        <v>mwb</v>
      </c>
    </row>
    <row r="935">
      <c r="A935" s="3" t="s">
        <v>2124</v>
      </c>
      <c r="B935" s="3">
        <v>7.1</v>
      </c>
      <c r="C935" s="19">
        <f>Raw_Data!T935</f>
        <v>35488.88056</v>
      </c>
      <c r="D935" s="3">
        <v>0.0</v>
      </c>
      <c r="E935" s="3">
        <v>6.0</v>
      </c>
      <c r="F935" s="4"/>
      <c r="G935" s="3">
        <v>0.0</v>
      </c>
      <c r="H935" s="3">
        <v>776.0</v>
      </c>
      <c r="I935" s="3" t="s">
        <v>110</v>
      </c>
      <c r="J935" s="3">
        <v>0.0</v>
      </c>
      <c r="K935" s="3">
        <v>0.0</v>
      </c>
      <c r="L935" s="3">
        <v>0.0</v>
      </c>
      <c r="M935" s="4" t="str">
        <f>Raw_Data!X935</f>
        <v>mwc</v>
      </c>
      <c r="N935" s="3">
        <v>33.0</v>
      </c>
      <c r="O935" s="3">
        <v>29.976</v>
      </c>
      <c r="P935" s="3">
        <v>68.208</v>
      </c>
      <c r="Q935" s="3" t="s">
        <v>2126</v>
      </c>
      <c r="R935" s="3" t="s">
        <v>164</v>
      </c>
      <c r="S935" s="3" t="s">
        <v>1066</v>
      </c>
      <c r="T935" s="4" t="str">
        <f t="shared" si="2"/>
        <v>Valid</v>
      </c>
      <c r="U935" s="4">
        <f t="shared" si="3"/>
        <v>1</v>
      </c>
      <c r="V935" s="4" t="str">
        <f t="shared" si="4"/>
        <v>Unique</v>
      </c>
      <c r="W935" s="4" t="str">
        <f t="shared" si="5"/>
        <v>Unknown</v>
      </c>
      <c r="X935" s="4" t="str">
        <f t="shared" ref="X935:Z935" si="939">IF(Q935="","Unknown",Q935)</f>
        <v>Harnai, Pakistan</v>
      </c>
      <c r="Y935" s="4" t="str">
        <f t="shared" si="939"/>
        <v>Asia</v>
      </c>
      <c r="Z935" s="4" t="str">
        <f t="shared" si="939"/>
        <v>Pakistan</v>
      </c>
      <c r="AA935" s="4" t="str">
        <f t="shared" si="7"/>
        <v>mwc</v>
      </c>
    </row>
    <row r="936">
      <c r="A936" s="3" t="s">
        <v>2127</v>
      </c>
      <c r="B936" s="3">
        <v>6.5</v>
      </c>
      <c r="C936" s="19">
        <f>Raw_Data!T936</f>
        <v>35465.44236</v>
      </c>
      <c r="D936" s="3">
        <v>0.0</v>
      </c>
      <c r="E936" s="3">
        <v>8.0</v>
      </c>
      <c r="F936" s="4"/>
      <c r="G936" s="3">
        <v>0.0</v>
      </c>
      <c r="H936" s="3">
        <v>650.0</v>
      </c>
      <c r="I936" s="3" t="s">
        <v>110</v>
      </c>
      <c r="J936" s="3">
        <v>0.0</v>
      </c>
      <c r="K936" s="3">
        <v>0.0</v>
      </c>
      <c r="L936" s="3">
        <v>0.0</v>
      </c>
      <c r="M936" s="4" t="str">
        <f>Raw_Data!X936</f>
        <v>mwc</v>
      </c>
      <c r="N936" s="3">
        <v>10.0</v>
      </c>
      <c r="O936" s="3">
        <v>37.661</v>
      </c>
      <c r="P936" s="3">
        <v>57.291</v>
      </c>
      <c r="Q936" s="3" t="s">
        <v>2128</v>
      </c>
      <c r="R936" s="3" t="s">
        <v>164</v>
      </c>
      <c r="S936" s="3" t="s">
        <v>665</v>
      </c>
      <c r="T936" s="4" t="str">
        <f t="shared" si="2"/>
        <v>Valid</v>
      </c>
      <c r="U936" s="4">
        <f t="shared" si="3"/>
        <v>1</v>
      </c>
      <c r="V936" s="4" t="str">
        <f t="shared" si="4"/>
        <v>Unique</v>
      </c>
      <c r="W936" s="4" t="str">
        <f t="shared" si="5"/>
        <v>Unknown</v>
      </c>
      <c r="X936" s="4" t="str">
        <f t="shared" ref="X936:Z936" si="940">IF(Q936="","Unknown",Q936)</f>
        <v>Turkmenistan-Iran border region</v>
      </c>
      <c r="Y936" s="4" t="str">
        <f t="shared" si="940"/>
        <v>Asia</v>
      </c>
      <c r="Z936" s="4" t="str">
        <f t="shared" si="940"/>
        <v>Iran</v>
      </c>
      <c r="AA936" s="4" t="str">
        <f t="shared" si="7"/>
        <v>mwc</v>
      </c>
    </row>
    <row r="937">
      <c r="A937" s="3" t="s">
        <v>2129</v>
      </c>
      <c r="B937" s="3">
        <v>7.2</v>
      </c>
      <c r="C937" s="19">
        <f>Raw_Data!T937</f>
        <v>35441.85278</v>
      </c>
      <c r="D937" s="3">
        <v>0.0</v>
      </c>
      <c r="E937" s="3">
        <v>7.0</v>
      </c>
      <c r="F937" s="4"/>
      <c r="G937" s="3">
        <v>0.0</v>
      </c>
      <c r="H937" s="3">
        <v>798.0</v>
      </c>
      <c r="I937" s="3" t="s">
        <v>110</v>
      </c>
      <c r="J937" s="3">
        <v>0.0</v>
      </c>
      <c r="K937" s="3">
        <v>0.0</v>
      </c>
      <c r="L937" s="3">
        <v>0.0</v>
      </c>
      <c r="M937" s="4" t="str">
        <f>Raw_Data!X937</f>
        <v>mwb</v>
      </c>
      <c r="N937" s="3">
        <v>33.0</v>
      </c>
      <c r="O937" s="3">
        <v>18.219</v>
      </c>
      <c r="P937" s="3">
        <v>-102.756</v>
      </c>
      <c r="Q937" s="3" t="s">
        <v>1192</v>
      </c>
      <c r="R937" s="3" t="s">
        <v>233</v>
      </c>
      <c r="S937" s="3" t="s">
        <v>234</v>
      </c>
      <c r="T937" s="4" t="str">
        <f t="shared" si="2"/>
        <v>Valid</v>
      </c>
      <c r="U937" s="4">
        <f t="shared" si="3"/>
        <v>1</v>
      </c>
      <c r="V937" s="4" t="str">
        <f t="shared" si="4"/>
        <v>Unique</v>
      </c>
      <c r="W937" s="4" t="str">
        <f t="shared" si="5"/>
        <v>Unknown</v>
      </c>
      <c r="X937" s="4" t="str">
        <f t="shared" ref="X937:Z937" si="941">IF(Q937="","Unknown",Q937)</f>
        <v>El Habillal, Mexico</v>
      </c>
      <c r="Y937" s="4" t="str">
        <f t="shared" si="941"/>
        <v>North America</v>
      </c>
      <c r="Z937" s="4" t="str">
        <f t="shared" si="941"/>
        <v>Mexico</v>
      </c>
      <c r="AA937" s="4" t="str">
        <f t="shared" si="7"/>
        <v>mwb</v>
      </c>
    </row>
    <row r="938">
      <c r="A938" s="3" t="s">
        <v>2130</v>
      </c>
      <c r="B938" s="3">
        <v>6.5</v>
      </c>
      <c r="C938" s="19">
        <f>Raw_Data!T938</f>
        <v>35421.62014</v>
      </c>
      <c r="D938" s="3">
        <v>0.0</v>
      </c>
      <c r="E938" s="3">
        <v>4.0</v>
      </c>
      <c r="F938" s="4"/>
      <c r="G938" s="3">
        <v>0.0</v>
      </c>
      <c r="H938" s="3">
        <v>650.0</v>
      </c>
      <c r="I938" s="3" t="s">
        <v>110</v>
      </c>
      <c r="J938" s="3">
        <v>0.0</v>
      </c>
      <c r="K938" s="3">
        <v>0.0</v>
      </c>
      <c r="L938" s="3">
        <v>0.0</v>
      </c>
      <c r="M938" s="4" t="str">
        <f>Raw_Data!X938</f>
        <v>mwc</v>
      </c>
      <c r="N938" s="3">
        <v>226.5</v>
      </c>
      <c r="O938" s="3">
        <v>43.207</v>
      </c>
      <c r="P938" s="3">
        <v>138.92</v>
      </c>
      <c r="Q938" s="3" t="s">
        <v>2132</v>
      </c>
      <c r="R938" s="4"/>
      <c r="S938" s="4"/>
      <c r="T938" s="4" t="str">
        <f t="shared" si="2"/>
        <v>Valid</v>
      </c>
      <c r="U938" s="4">
        <f t="shared" si="3"/>
        <v>1</v>
      </c>
      <c r="V938" s="4" t="str">
        <f t="shared" si="4"/>
        <v>Unique</v>
      </c>
      <c r="W938" s="4" t="str">
        <f t="shared" si="5"/>
        <v>Unknown</v>
      </c>
      <c r="X938" s="4" t="str">
        <f t="shared" ref="X938:Z938" si="942">IF(Q938="","Unknown",Q938)</f>
        <v>Iwanai, Japan</v>
      </c>
      <c r="Y938" s="4" t="str">
        <f t="shared" si="942"/>
        <v>Unknown</v>
      </c>
      <c r="Z938" s="4" t="str">
        <f t="shared" si="942"/>
        <v>Unknown</v>
      </c>
      <c r="AA938" s="4" t="str">
        <f t="shared" si="7"/>
        <v>mwc</v>
      </c>
    </row>
    <row r="939">
      <c r="A939" s="3" t="s">
        <v>2133</v>
      </c>
      <c r="B939" s="3">
        <v>6.7</v>
      </c>
      <c r="C939" s="19">
        <f>Raw_Data!T939</f>
        <v>35401.92847</v>
      </c>
      <c r="D939" s="3">
        <v>0.0</v>
      </c>
      <c r="E939" s="3">
        <v>6.0</v>
      </c>
      <c r="F939" s="4"/>
      <c r="G939" s="3">
        <v>0.0</v>
      </c>
      <c r="H939" s="3">
        <v>691.0</v>
      </c>
      <c r="I939" s="3" t="s">
        <v>110</v>
      </c>
      <c r="J939" s="3">
        <v>0.0</v>
      </c>
      <c r="K939" s="3">
        <v>0.0</v>
      </c>
      <c r="L939" s="3">
        <v>0.0</v>
      </c>
      <c r="M939" s="4" t="str">
        <f>Raw_Data!X939</f>
        <v>mwc</v>
      </c>
      <c r="N939" s="3">
        <v>49.2</v>
      </c>
      <c r="O939" s="3">
        <v>31.789</v>
      </c>
      <c r="P939" s="3">
        <v>131.314</v>
      </c>
      <c r="Q939" s="3" t="s">
        <v>2134</v>
      </c>
      <c r="R939" s="3" t="s">
        <v>164</v>
      </c>
      <c r="S939" s="3" t="s">
        <v>371</v>
      </c>
      <c r="T939" s="4" t="str">
        <f t="shared" si="2"/>
        <v>Valid</v>
      </c>
      <c r="U939" s="4">
        <f t="shared" si="3"/>
        <v>1</v>
      </c>
      <c r="V939" s="4" t="str">
        <f t="shared" si="4"/>
        <v>Unique</v>
      </c>
      <c r="W939" s="4" t="str">
        <f t="shared" si="5"/>
        <v>Unknown</v>
      </c>
      <c r="X939" s="4" t="str">
        <f t="shared" ref="X939:Z939" si="943">IF(Q939="","Unknown",Q939)</f>
        <v>Miyazaki, Japan</v>
      </c>
      <c r="Y939" s="4" t="str">
        <f t="shared" si="943"/>
        <v>Asia</v>
      </c>
      <c r="Z939" s="4" t="str">
        <f t="shared" si="943"/>
        <v>Japan</v>
      </c>
      <c r="AA939" s="4" t="str">
        <f t="shared" si="7"/>
        <v>mwc</v>
      </c>
    </row>
    <row r="940">
      <c r="A940" s="3" t="s">
        <v>2135</v>
      </c>
      <c r="B940" s="3">
        <v>6.9</v>
      </c>
      <c r="C940" s="19">
        <f>Raw_Data!T940</f>
        <v>35388.44722</v>
      </c>
      <c r="D940" s="3">
        <v>0.0</v>
      </c>
      <c r="E940" s="3">
        <v>7.0</v>
      </c>
      <c r="F940" s="4"/>
      <c r="G940" s="3">
        <v>0.0</v>
      </c>
      <c r="H940" s="3">
        <v>732.0</v>
      </c>
      <c r="I940" s="3" t="s">
        <v>110</v>
      </c>
      <c r="J940" s="3">
        <v>0.0</v>
      </c>
      <c r="K940" s="3">
        <v>0.0</v>
      </c>
      <c r="L940" s="3">
        <v>0.0</v>
      </c>
      <c r="M940" s="4" t="str">
        <f>Raw_Data!X940</f>
        <v>mwc</v>
      </c>
      <c r="N940" s="3">
        <v>33.0</v>
      </c>
      <c r="O940" s="3">
        <v>35.345</v>
      </c>
      <c r="P940" s="3">
        <v>78.133</v>
      </c>
      <c r="Q940" s="3" t="s">
        <v>2137</v>
      </c>
      <c r="R940" s="3" t="s">
        <v>164</v>
      </c>
      <c r="S940" s="3" t="s">
        <v>251</v>
      </c>
      <c r="T940" s="4" t="str">
        <f t="shared" si="2"/>
        <v>Valid</v>
      </c>
      <c r="U940" s="4">
        <f t="shared" si="3"/>
        <v>1</v>
      </c>
      <c r="V940" s="4" t="str">
        <f t="shared" si="4"/>
        <v>Unique</v>
      </c>
      <c r="W940" s="4" t="str">
        <f t="shared" si="5"/>
        <v>Unknown</v>
      </c>
      <c r="X940" s="4" t="str">
        <f t="shared" ref="X940:Z940" si="944">IF(Q940="","Unknown",Q940)</f>
        <v>Thang, India</v>
      </c>
      <c r="Y940" s="4" t="str">
        <f t="shared" si="944"/>
        <v>Asia</v>
      </c>
      <c r="Z940" s="4" t="str">
        <f t="shared" si="944"/>
        <v>People's Republic of China</v>
      </c>
      <c r="AA940" s="4" t="str">
        <f t="shared" si="7"/>
        <v>mwc</v>
      </c>
    </row>
    <row r="941">
      <c r="A941" s="3" t="s">
        <v>2138</v>
      </c>
      <c r="B941" s="3">
        <v>7.7</v>
      </c>
      <c r="C941" s="19">
        <f>Raw_Data!T941</f>
        <v>35381.70764</v>
      </c>
      <c r="D941" s="3">
        <v>0.0</v>
      </c>
      <c r="E941" s="3">
        <v>7.0</v>
      </c>
      <c r="F941" s="4"/>
      <c r="G941" s="3">
        <v>0.0</v>
      </c>
      <c r="H941" s="3">
        <v>912.0</v>
      </c>
      <c r="I941" s="3" t="s">
        <v>110</v>
      </c>
      <c r="J941" s="3">
        <v>0.0</v>
      </c>
      <c r="K941" s="3">
        <v>0.0</v>
      </c>
      <c r="L941" s="3">
        <v>0.0</v>
      </c>
      <c r="M941" s="4" t="str">
        <f>Raw_Data!X941</f>
        <v>mwc</v>
      </c>
      <c r="N941" s="3">
        <v>33.0</v>
      </c>
      <c r="O941" s="3">
        <v>-14.993</v>
      </c>
      <c r="P941" s="3">
        <v>-75.675</v>
      </c>
      <c r="Q941" s="3" t="s">
        <v>2139</v>
      </c>
      <c r="R941" s="4"/>
      <c r="S941" s="3" t="s">
        <v>265</v>
      </c>
      <c r="T941" s="4" t="str">
        <f t="shared" si="2"/>
        <v>Valid</v>
      </c>
      <c r="U941" s="4">
        <f t="shared" si="3"/>
        <v>1</v>
      </c>
      <c r="V941" s="4" t="str">
        <f t="shared" si="4"/>
        <v>Unique</v>
      </c>
      <c r="W941" s="4" t="str">
        <f t="shared" si="5"/>
        <v>Unknown</v>
      </c>
      <c r="X941" s="4" t="str">
        <f t="shared" ref="X941:Z941" si="945">IF(Q941="","Unknown",Q941)</f>
        <v>Changuillo, Peru</v>
      </c>
      <c r="Y941" s="4" t="str">
        <f t="shared" si="945"/>
        <v>Unknown</v>
      </c>
      <c r="Z941" s="4" t="str">
        <f t="shared" si="945"/>
        <v>Peru</v>
      </c>
      <c r="AA941" s="4" t="str">
        <f t="shared" si="7"/>
        <v>mwc</v>
      </c>
    </row>
    <row r="942">
      <c r="A942" s="3" t="s">
        <v>2140</v>
      </c>
      <c r="B942" s="3">
        <v>6.7</v>
      </c>
      <c r="C942" s="19">
        <f>Raw_Data!T942</f>
        <v>35357.61389</v>
      </c>
      <c r="D942" s="3">
        <v>0.0</v>
      </c>
      <c r="E942" s="3">
        <v>7.0</v>
      </c>
      <c r="F942" s="4"/>
      <c r="G942" s="3">
        <v>0.0</v>
      </c>
      <c r="H942" s="3">
        <v>691.0</v>
      </c>
      <c r="I942" s="3" t="s">
        <v>110</v>
      </c>
      <c r="J942" s="3">
        <v>0.0</v>
      </c>
      <c r="K942" s="3">
        <v>0.0</v>
      </c>
      <c r="L942" s="3">
        <v>0.0</v>
      </c>
      <c r="M942" s="4" t="str">
        <f>Raw_Data!X942</f>
        <v>mwc</v>
      </c>
      <c r="N942" s="3">
        <v>22.0</v>
      </c>
      <c r="O942" s="3">
        <v>31.885</v>
      </c>
      <c r="P942" s="3">
        <v>131.468</v>
      </c>
      <c r="Q942" s="3" t="s">
        <v>2134</v>
      </c>
      <c r="R942" s="3" t="s">
        <v>164</v>
      </c>
      <c r="S942" s="3" t="s">
        <v>371</v>
      </c>
      <c r="T942" s="4" t="str">
        <f t="shared" si="2"/>
        <v>Valid</v>
      </c>
      <c r="U942" s="4">
        <f t="shared" si="3"/>
        <v>1</v>
      </c>
      <c r="V942" s="4" t="str">
        <f t="shared" si="4"/>
        <v>Unique</v>
      </c>
      <c r="W942" s="4" t="str">
        <f t="shared" si="5"/>
        <v>Unknown</v>
      </c>
      <c r="X942" s="4" t="str">
        <f t="shared" ref="X942:Z942" si="946">IF(Q942="","Unknown",Q942)</f>
        <v>Miyazaki, Japan</v>
      </c>
      <c r="Y942" s="4" t="str">
        <f t="shared" si="946"/>
        <v>Asia</v>
      </c>
      <c r="Z942" s="4" t="str">
        <f t="shared" si="946"/>
        <v>Japan</v>
      </c>
      <c r="AA942" s="4" t="str">
        <f t="shared" si="7"/>
        <v>mwc</v>
      </c>
    </row>
    <row r="943">
      <c r="A943" s="3" t="s">
        <v>2142</v>
      </c>
      <c r="B943" s="3">
        <v>6.6</v>
      </c>
      <c r="C943" s="19">
        <f>Raw_Data!T943</f>
        <v>35356.45139</v>
      </c>
      <c r="D943" s="3">
        <v>0.0</v>
      </c>
      <c r="E943" s="3">
        <v>7.0</v>
      </c>
      <c r="F943" s="4"/>
      <c r="G943" s="3">
        <v>0.0</v>
      </c>
      <c r="H943" s="3">
        <v>670.0</v>
      </c>
      <c r="I943" s="3" t="s">
        <v>110</v>
      </c>
      <c r="J943" s="3">
        <v>0.0</v>
      </c>
      <c r="K943" s="3">
        <v>0.0</v>
      </c>
      <c r="L943" s="3">
        <v>0.0</v>
      </c>
      <c r="M943" s="4" t="str">
        <f>Raw_Data!X943</f>
        <v>mwc</v>
      </c>
      <c r="N943" s="3">
        <v>10.0</v>
      </c>
      <c r="O943" s="3">
        <v>30.568</v>
      </c>
      <c r="P943" s="3">
        <v>131.093</v>
      </c>
      <c r="Q943" s="3" t="s">
        <v>2144</v>
      </c>
      <c r="R943" s="3" t="s">
        <v>164</v>
      </c>
      <c r="S943" s="3" t="s">
        <v>371</v>
      </c>
      <c r="T943" s="4" t="str">
        <f t="shared" si="2"/>
        <v>Valid</v>
      </c>
      <c r="U943" s="4">
        <f t="shared" si="3"/>
        <v>1</v>
      </c>
      <c r="V943" s="4" t="str">
        <f t="shared" si="4"/>
        <v>Unique</v>
      </c>
      <c r="W943" s="4" t="str">
        <f t="shared" si="5"/>
        <v>Unknown</v>
      </c>
      <c r="X943" s="4" t="str">
        <f t="shared" ref="X943:Z943" si="947">IF(Q943="","Unknown",Q943)</f>
        <v>Nishinoomote, Japan</v>
      </c>
      <c r="Y943" s="4" t="str">
        <f t="shared" si="947"/>
        <v>Asia</v>
      </c>
      <c r="Z943" s="4" t="str">
        <f t="shared" si="947"/>
        <v>Japan</v>
      </c>
      <c r="AA943" s="4" t="str">
        <f t="shared" si="7"/>
        <v>mwc</v>
      </c>
    </row>
    <row r="944">
      <c r="A944" s="3" t="s">
        <v>2145</v>
      </c>
      <c r="B944" s="3">
        <v>6.8</v>
      </c>
      <c r="C944" s="19">
        <f>Raw_Data!T944</f>
        <v>35352.97639</v>
      </c>
      <c r="D944" s="3">
        <v>0.0</v>
      </c>
      <c r="E944" s="3">
        <v>6.0</v>
      </c>
      <c r="F944" s="4"/>
      <c r="G944" s="3">
        <v>0.0</v>
      </c>
      <c r="H944" s="3">
        <v>711.0</v>
      </c>
      <c r="I944" s="3" t="s">
        <v>110</v>
      </c>
      <c r="J944" s="3">
        <v>0.0</v>
      </c>
      <c r="K944" s="3">
        <v>0.0</v>
      </c>
      <c r="L944" s="3">
        <v>0.0</v>
      </c>
      <c r="M944" s="4" t="str">
        <f>Raw_Data!X944</f>
        <v>mwc</v>
      </c>
      <c r="N944" s="3">
        <v>24.0</v>
      </c>
      <c r="O944" s="3">
        <v>-7.133</v>
      </c>
      <c r="P944" s="3">
        <v>155.568</v>
      </c>
      <c r="Q944" s="3" t="s">
        <v>728</v>
      </c>
      <c r="R944" s="4"/>
      <c r="S944" s="3" t="s">
        <v>214</v>
      </c>
      <c r="T944" s="4" t="str">
        <f t="shared" si="2"/>
        <v>Valid</v>
      </c>
      <c r="U944" s="4">
        <f t="shared" si="3"/>
        <v>1</v>
      </c>
      <c r="V944" s="4" t="str">
        <f t="shared" si="4"/>
        <v>Unique</v>
      </c>
      <c r="W944" s="4" t="str">
        <f t="shared" si="5"/>
        <v>Unknown</v>
      </c>
      <c r="X944" s="4" t="str">
        <f t="shared" ref="X944:Z944" si="948">IF(Q944="","Unknown",Q944)</f>
        <v>Panguna, Papua New Guinea</v>
      </c>
      <c r="Y944" s="4" t="str">
        <f t="shared" si="948"/>
        <v>Unknown</v>
      </c>
      <c r="Z944" s="4" t="str">
        <f t="shared" si="948"/>
        <v>Solomon Islands</v>
      </c>
      <c r="AA944" s="4" t="str">
        <f t="shared" si="7"/>
        <v>mwc</v>
      </c>
    </row>
    <row r="945">
      <c r="A945" s="3" t="s">
        <v>2147</v>
      </c>
      <c r="B945" s="3">
        <v>6.8</v>
      </c>
      <c r="C945" s="19">
        <f>Raw_Data!T945</f>
        <v>35347.54861</v>
      </c>
      <c r="D945" s="3">
        <v>0.0</v>
      </c>
      <c r="E945" s="3">
        <v>6.0</v>
      </c>
      <c r="F945" s="4"/>
      <c r="G945" s="3">
        <v>0.0</v>
      </c>
      <c r="H945" s="3">
        <v>711.0</v>
      </c>
      <c r="I945" s="3" t="s">
        <v>110</v>
      </c>
      <c r="J945" s="3">
        <v>0.0</v>
      </c>
      <c r="K945" s="3">
        <v>0.0</v>
      </c>
      <c r="L945" s="3">
        <v>0.0</v>
      </c>
      <c r="M945" s="4" t="str">
        <f>Raw_Data!X945</f>
        <v>mwc</v>
      </c>
      <c r="N945" s="3">
        <v>33.0</v>
      </c>
      <c r="O945" s="3">
        <v>34.556</v>
      </c>
      <c r="P945" s="3">
        <v>32.126</v>
      </c>
      <c r="Q945" s="3" t="s">
        <v>2148</v>
      </c>
      <c r="R945" s="3" t="s">
        <v>164</v>
      </c>
      <c r="S945" s="4"/>
      <c r="T945" s="4" t="str">
        <f t="shared" si="2"/>
        <v>Valid</v>
      </c>
      <c r="U945" s="4">
        <f t="shared" si="3"/>
        <v>1</v>
      </c>
      <c r="V945" s="4" t="str">
        <f t="shared" si="4"/>
        <v>Unique</v>
      </c>
      <c r="W945" s="4" t="str">
        <f t="shared" si="5"/>
        <v>Unknown</v>
      </c>
      <c r="X945" s="4" t="str">
        <f t="shared" ref="X945:Z945" si="949">IF(Q945="","Unknown",Q945)</f>
        <v>Paphos, Cyprus</v>
      </c>
      <c r="Y945" s="4" t="str">
        <f t="shared" si="949"/>
        <v>Asia</v>
      </c>
      <c r="Z945" s="4" t="str">
        <f t="shared" si="949"/>
        <v>Unknown</v>
      </c>
      <c r="AA945" s="4" t="str">
        <f t="shared" si="7"/>
        <v>mwc</v>
      </c>
    </row>
    <row r="946">
      <c r="A946" s="3" t="s">
        <v>2149</v>
      </c>
      <c r="B946" s="3">
        <v>6.6</v>
      </c>
      <c r="C946" s="19">
        <f>Raw_Data!T946</f>
        <v>35328.17431</v>
      </c>
      <c r="D946" s="3">
        <v>0.0</v>
      </c>
      <c r="E946" s="3">
        <v>6.0</v>
      </c>
      <c r="F946" s="4"/>
      <c r="G946" s="3">
        <v>0.0</v>
      </c>
      <c r="H946" s="3">
        <v>670.0</v>
      </c>
      <c r="I946" s="3" t="s">
        <v>110</v>
      </c>
      <c r="J946" s="3">
        <v>0.0</v>
      </c>
      <c r="K946" s="3">
        <v>0.0</v>
      </c>
      <c r="L946" s="3">
        <v>0.0</v>
      </c>
      <c r="M946" s="4" t="str">
        <f>Raw_Data!X946</f>
        <v>mwc</v>
      </c>
      <c r="N946" s="3">
        <v>33.0</v>
      </c>
      <c r="O946" s="3">
        <v>9.454</v>
      </c>
      <c r="P946" s="3">
        <v>126.334</v>
      </c>
      <c r="Q946" s="3" t="s">
        <v>2151</v>
      </c>
      <c r="R946" s="4"/>
      <c r="S946" s="3" t="s">
        <v>258</v>
      </c>
      <c r="T946" s="4" t="str">
        <f t="shared" si="2"/>
        <v>Valid</v>
      </c>
      <c r="U946" s="4">
        <f t="shared" si="3"/>
        <v>1</v>
      </c>
      <c r="V946" s="4" t="str">
        <f t="shared" si="4"/>
        <v>Unique</v>
      </c>
      <c r="W946" s="4" t="str">
        <f t="shared" si="5"/>
        <v>Unknown</v>
      </c>
      <c r="X946" s="4" t="str">
        <f t="shared" ref="X946:Z946" si="950">IF(Q946="","Unknown",Q946)</f>
        <v>Cortes, Philippines</v>
      </c>
      <c r="Y946" s="4" t="str">
        <f t="shared" si="950"/>
        <v>Unknown</v>
      </c>
      <c r="Z946" s="4" t="str">
        <f t="shared" si="950"/>
        <v>Philippines</v>
      </c>
      <c r="AA946" s="4" t="str">
        <f t="shared" si="7"/>
        <v>mwc</v>
      </c>
    </row>
    <row r="947">
      <c r="A947" s="3" t="s">
        <v>2152</v>
      </c>
      <c r="B947" s="3">
        <v>6.6</v>
      </c>
      <c r="C947" s="19">
        <f>Raw_Data!T947</f>
        <v>35328.17361</v>
      </c>
      <c r="D947" s="3">
        <v>0.0</v>
      </c>
      <c r="E947" s="3">
        <v>6.0</v>
      </c>
      <c r="F947" s="4"/>
      <c r="G947" s="3">
        <v>0.0</v>
      </c>
      <c r="H947" s="3">
        <v>670.0</v>
      </c>
      <c r="I947" s="3" t="s">
        <v>110</v>
      </c>
      <c r="J947" s="3">
        <v>0.0</v>
      </c>
      <c r="K947" s="3">
        <v>0.0</v>
      </c>
      <c r="L947" s="3">
        <v>0.0</v>
      </c>
      <c r="M947" s="4" t="str">
        <f>Raw_Data!X947</f>
        <v>mwc</v>
      </c>
      <c r="N947" s="3">
        <v>33.0</v>
      </c>
      <c r="O947" s="3">
        <v>9.463</v>
      </c>
      <c r="P947" s="3">
        <v>126.284</v>
      </c>
      <c r="Q947" s="3" t="s">
        <v>2151</v>
      </c>
      <c r="R947" s="4"/>
      <c r="S947" s="3" t="s">
        <v>258</v>
      </c>
      <c r="T947" s="4" t="str">
        <f t="shared" si="2"/>
        <v>Valid</v>
      </c>
      <c r="U947" s="4">
        <f t="shared" si="3"/>
        <v>1</v>
      </c>
      <c r="V947" s="4" t="str">
        <f t="shared" si="4"/>
        <v>Unique</v>
      </c>
      <c r="W947" s="4" t="str">
        <f t="shared" si="5"/>
        <v>Unknown</v>
      </c>
      <c r="X947" s="4" t="str">
        <f t="shared" ref="X947:Z947" si="951">IF(Q947="","Unknown",Q947)</f>
        <v>Cortes, Philippines</v>
      </c>
      <c r="Y947" s="4" t="str">
        <f t="shared" si="951"/>
        <v>Unknown</v>
      </c>
      <c r="Z947" s="4" t="str">
        <f t="shared" si="951"/>
        <v>Philippines</v>
      </c>
      <c r="AA947" s="4" t="str">
        <f t="shared" si="7"/>
        <v>mwc</v>
      </c>
    </row>
    <row r="948">
      <c r="A948" s="3" t="s">
        <v>2154</v>
      </c>
      <c r="B948" s="3">
        <v>6.8</v>
      </c>
      <c r="C948" s="19">
        <f>Raw_Data!T948</f>
        <v>35313.9875</v>
      </c>
      <c r="D948" s="3">
        <v>0.0</v>
      </c>
      <c r="E948" s="3">
        <v>6.0</v>
      </c>
      <c r="F948" s="4"/>
      <c r="G948" s="3">
        <v>0.0</v>
      </c>
      <c r="H948" s="3">
        <v>711.0</v>
      </c>
      <c r="I948" s="3" t="s">
        <v>110</v>
      </c>
      <c r="J948" s="3">
        <v>0.0</v>
      </c>
      <c r="K948" s="3">
        <v>0.0</v>
      </c>
      <c r="L948" s="3">
        <v>0.0</v>
      </c>
      <c r="M948" s="4" t="str">
        <f>Raw_Data!X948</f>
        <v>mwc</v>
      </c>
      <c r="N948" s="3">
        <v>20.0</v>
      </c>
      <c r="O948" s="3">
        <v>21.898</v>
      </c>
      <c r="P948" s="3">
        <v>121.498</v>
      </c>
      <c r="Q948" s="3" t="s">
        <v>1547</v>
      </c>
      <c r="R948" s="4"/>
      <c r="S948" s="3" t="s">
        <v>240</v>
      </c>
      <c r="T948" s="4" t="str">
        <f t="shared" si="2"/>
        <v>Valid</v>
      </c>
      <c r="U948" s="4">
        <f t="shared" si="3"/>
        <v>1</v>
      </c>
      <c r="V948" s="4" t="str">
        <f t="shared" si="4"/>
        <v>Unique</v>
      </c>
      <c r="W948" s="4" t="str">
        <f t="shared" si="5"/>
        <v>Unknown</v>
      </c>
      <c r="X948" s="4" t="str">
        <f t="shared" ref="X948:Z948" si="952">IF(Q948="","Unknown",Q948)</f>
        <v>Hengchun, Taiwan</v>
      </c>
      <c r="Y948" s="4" t="str">
        <f t="shared" si="952"/>
        <v>Unknown</v>
      </c>
      <c r="Z948" s="4" t="str">
        <f t="shared" si="952"/>
        <v>Taiwan</v>
      </c>
      <c r="AA948" s="4" t="str">
        <f t="shared" si="7"/>
        <v>mwc</v>
      </c>
    </row>
    <row r="949">
      <c r="A949" s="3" t="s">
        <v>2155</v>
      </c>
      <c r="B949" s="3">
        <v>6.9</v>
      </c>
      <c r="C949" s="19">
        <f>Raw_Data!T949</f>
        <v>35279.53819</v>
      </c>
      <c r="D949" s="3">
        <v>0.0</v>
      </c>
      <c r="E949" s="3">
        <v>6.0</v>
      </c>
      <c r="F949" s="4"/>
      <c r="G949" s="3">
        <v>0.0</v>
      </c>
      <c r="H949" s="3">
        <v>732.0</v>
      </c>
      <c r="I949" s="3" t="s">
        <v>110</v>
      </c>
      <c r="J949" s="3">
        <v>0.0</v>
      </c>
      <c r="K949" s="3">
        <v>0.0</v>
      </c>
      <c r="L949" s="3">
        <v>0.0</v>
      </c>
      <c r="M949" s="4" t="str">
        <f>Raw_Data!X949</f>
        <v>mwc</v>
      </c>
      <c r="N949" s="3">
        <v>33.0</v>
      </c>
      <c r="O949" s="3">
        <v>-10.769</v>
      </c>
      <c r="P949" s="3">
        <v>161.445</v>
      </c>
      <c r="Q949" s="3" t="s">
        <v>595</v>
      </c>
      <c r="R949" s="4"/>
      <c r="S949" s="3" t="s">
        <v>214</v>
      </c>
      <c r="T949" s="4" t="str">
        <f t="shared" si="2"/>
        <v>Valid</v>
      </c>
      <c r="U949" s="4">
        <f t="shared" si="3"/>
        <v>1</v>
      </c>
      <c r="V949" s="4" t="str">
        <f t="shared" si="4"/>
        <v>Unique</v>
      </c>
      <c r="W949" s="4" t="str">
        <f t="shared" si="5"/>
        <v>Unknown</v>
      </c>
      <c r="X949" s="4" t="str">
        <f t="shared" ref="X949:Z949" si="953">IF(Q949="","Unknown",Q949)</f>
        <v>Kirakira, Solomon Islands</v>
      </c>
      <c r="Y949" s="4" t="str">
        <f t="shared" si="953"/>
        <v>Unknown</v>
      </c>
      <c r="Z949" s="4" t="str">
        <f t="shared" si="953"/>
        <v>Solomon Islands</v>
      </c>
      <c r="AA949" s="4" t="str">
        <f t="shared" si="7"/>
        <v>mwc</v>
      </c>
    </row>
    <row r="950">
      <c r="A950" s="3" t="s">
        <v>2156</v>
      </c>
      <c r="B950" s="3">
        <v>7.0</v>
      </c>
      <c r="C950" s="19">
        <f>Raw_Data!T950</f>
        <v>35268.59653</v>
      </c>
      <c r="D950" s="3">
        <v>0.0</v>
      </c>
      <c r="E950" s="3">
        <v>6.0</v>
      </c>
      <c r="F950" s="4"/>
      <c r="G950" s="3">
        <v>0.0</v>
      </c>
      <c r="H950" s="3">
        <v>754.0</v>
      </c>
      <c r="I950" s="3" t="s">
        <v>110</v>
      </c>
      <c r="J950" s="3">
        <v>0.0</v>
      </c>
      <c r="K950" s="3">
        <v>0.0</v>
      </c>
      <c r="L950" s="3">
        <v>0.0</v>
      </c>
      <c r="M950" s="4" t="str">
        <f>Raw_Data!X950</f>
        <v>mwc</v>
      </c>
      <c r="N950" s="3">
        <v>33.0</v>
      </c>
      <c r="O950" s="3">
        <v>1.0</v>
      </c>
      <c r="P950" s="3">
        <v>120.45</v>
      </c>
      <c r="Q950" s="3" t="s">
        <v>590</v>
      </c>
      <c r="R950" s="4"/>
      <c r="S950" s="3" t="s">
        <v>153</v>
      </c>
      <c r="T950" s="4" t="str">
        <f t="shared" si="2"/>
        <v>Valid</v>
      </c>
      <c r="U950" s="4">
        <f t="shared" si="3"/>
        <v>1</v>
      </c>
      <c r="V950" s="4" t="str">
        <f t="shared" si="4"/>
        <v>Unique</v>
      </c>
      <c r="W950" s="4" t="str">
        <f t="shared" si="5"/>
        <v>Unknown</v>
      </c>
      <c r="X950" s="4" t="str">
        <f t="shared" ref="X950:Z950" si="954">IF(Q950="","Unknown",Q950)</f>
        <v>Palu, Indonesia</v>
      </c>
      <c r="Y950" s="4" t="str">
        <f t="shared" si="954"/>
        <v>Unknown</v>
      </c>
      <c r="Z950" s="4" t="str">
        <f t="shared" si="954"/>
        <v>Indonesia</v>
      </c>
      <c r="AA950" s="4" t="str">
        <f t="shared" si="7"/>
        <v>mwc</v>
      </c>
    </row>
    <row r="951">
      <c r="A951" s="3" t="s">
        <v>2158</v>
      </c>
      <c r="B951" s="3">
        <v>6.6</v>
      </c>
      <c r="C951" s="19">
        <f>Raw_Data!T951</f>
        <v>35262.42153</v>
      </c>
      <c r="D951" s="3">
        <v>0.0</v>
      </c>
      <c r="E951" s="3">
        <v>6.0</v>
      </c>
      <c r="F951" s="4"/>
      <c r="G951" s="3">
        <v>0.0</v>
      </c>
      <c r="H951" s="3">
        <v>670.0</v>
      </c>
      <c r="I951" s="3" t="s">
        <v>110</v>
      </c>
      <c r="J951" s="3">
        <v>0.0</v>
      </c>
      <c r="K951" s="3">
        <v>0.0</v>
      </c>
      <c r="L951" s="3">
        <v>0.0</v>
      </c>
      <c r="M951" s="4" t="str">
        <f>Raw_Data!X951</f>
        <v>mwb</v>
      </c>
      <c r="N951" s="3">
        <v>33.0</v>
      </c>
      <c r="O951" s="3">
        <v>1.016</v>
      </c>
      <c r="P951" s="3">
        <v>120.254</v>
      </c>
      <c r="Q951" s="3" t="s">
        <v>590</v>
      </c>
      <c r="R951" s="4"/>
      <c r="S951" s="3" t="s">
        <v>153</v>
      </c>
      <c r="T951" s="4" t="str">
        <f t="shared" si="2"/>
        <v>Valid</v>
      </c>
      <c r="U951" s="4">
        <f t="shared" si="3"/>
        <v>1</v>
      </c>
      <c r="V951" s="4" t="str">
        <f t="shared" si="4"/>
        <v>Unique</v>
      </c>
      <c r="W951" s="4" t="str">
        <f t="shared" si="5"/>
        <v>Unknown</v>
      </c>
      <c r="X951" s="4" t="str">
        <f t="shared" ref="X951:Z951" si="955">IF(Q951="","Unknown",Q951)</f>
        <v>Palu, Indonesia</v>
      </c>
      <c r="Y951" s="4" t="str">
        <f t="shared" si="955"/>
        <v>Unknown</v>
      </c>
      <c r="Z951" s="4" t="str">
        <f t="shared" si="955"/>
        <v>Indonesia</v>
      </c>
      <c r="AA951" s="4" t="str">
        <f t="shared" si="7"/>
        <v>mwb</v>
      </c>
    </row>
    <row r="952">
      <c r="A952" s="3" t="s">
        <v>2160</v>
      </c>
      <c r="B952" s="3">
        <v>6.8</v>
      </c>
      <c r="C952" s="19">
        <f>Raw_Data!T952</f>
        <v>35261.89097</v>
      </c>
      <c r="D952" s="3">
        <v>0.0</v>
      </c>
      <c r="E952" s="3">
        <v>6.0</v>
      </c>
      <c r="F952" s="4"/>
      <c r="G952" s="3">
        <v>0.0</v>
      </c>
      <c r="H952" s="3">
        <v>711.0</v>
      </c>
      <c r="I952" s="3" t="s">
        <v>110</v>
      </c>
      <c r="J952" s="3">
        <v>0.0</v>
      </c>
      <c r="K952" s="3">
        <v>0.0</v>
      </c>
      <c r="L952" s="3">
        <v>0.0</v>
      </c>
      <c r="M952" s="4" t="str">
        <f>Raw_Data!X952</f>
        <v>mwb</v>
      </c>
      <c r="N952" s="3">
        <v>18.3</v>
      </c>
      <c r="O952" s="3">
        <v>17.6</v>
      </c>
      <c r="P952" s="3">
        <v>-100.965</v>
      </c>
      <c r="Q952" s="3" t="s">
        <v>1007</v>
      </c>
      <c r="R952" s="3" t="s">
        <v>233</v>
      </c>
      <c r="S952" s="3" t="s">
        <v>234</v>
      </c>
      <c r="T952" s="4" t="str">
        <f t="shared" si="2"/>
        <v>Valid</v>
      </c>
      <c r="U952" s="4">
        <f t="shared" si="3"/>
        <v>1</v>
      </c>
      <c r="V952" s="4" t="str">
        <f t="shared" si="4"/>
        <v>Unique</v>
      </c>
      <c r="W952" s="4" t="str">
        <f t="shared" si="5"/>
        <v>Unknown</v>
      </c>
      <c r="X952" s="4" t="str">
        <f t="shared" ref="X952:Z952" si="956">IF(Q952="","Unknown",Q952)</f>
        <v>Coyuquilla Norte, Mexico</v>
      </c>
      <c r="Y952" s="4" t="str">
        <f t="shared" si="956"/>
        <v>North America</v>
      </c>
      <c r="Z952" s="4" t="str">
        <f t="shared" si="956"/>
        <v>Mexico</v>
      </c>
      <c r="AA952" s="4" t="str">
        <f t="shared" si="7"/>
        <v>mwb</v>
      </c>
    </row>
    <row r="953">
      <c r="A953" s="3" t="s">
        <v>2162</v>
      </c>
      <c r="B953" s="3">
        <v>7.9</v>
      </c>
      <c r="C953" s="19">
        <f>Raw_Data!T953</f>
        <v>35233.47361</v>
      </c>
      <c r="D953" s="3">
        <v>0.0</v>
      </c>
      <c r="E953" s="3">
        <v>4.0</v>
      </c>
      <c r="F953" s="4"/>
      <c r="G953" s="3">
        <v>0.0</v>
      </c>
      <c r="H953" s="3">
        <v>960.0</v>
      </c>
      <c r="I953" s="3" t="s">
        <v>110</v>
      </c>
      <c r="J953" s="3">
        <v>0.0</v>
      </c>
      <c r="K953" s="3">
        <v>0.0</v>
      </c>
      <c r="L953" s="3">
        <v>0.0</v>
      </c>
      <c r="M953" s="4" t="str">
        <f>Raw_Data!X953</f>
        <v>mwc</v>
      </c>
      <c r="N953" s="3">
        <v>587.3</v>
      </c>
      <c r="O953" s="3">
        <v>-7.137</v>
      </c>
      <c r="P953" s="3">
        <v>122.589</v>
      </c>
      <c r="Q953" s="3" t="s">
        <v>674</v>
      </c>
      <c r="R953" s="4"/>
      <c r="S953" s="3" t="s">
        <v>153</v>
      </c>
      <c r="T953" s="4" t="str">
        <f t="shared" si="2"/>
        <v>Valid</v>
      </c>
      <c r="U953" s="4">
        <f t="shared" si="3"/>
        <v>1</v>
      </c>
      <c r="V953" s="4" t="str">
        <f t="shared" si="4"/>
        <v>Unique</v>
      </c>
      <c r="W953" s="4" t="str">
        <f t="shared" si="5"/>
        <v>Unknown</v>
      </c>
      <c r="X953" s="4" t="str">
        <f t="shared" ref="X953:Z953" si="957">IF(Q953="","Unknown",Q953)</f>
        <v>Maumere, Indonesia</v>
      </c>
      <c r="Y953" s="4" t="str">
        <f t="shared" si="957"/>
        <v>Unknown</v>
      </c>
      <c r="Z953" s="4" t="str">
        <f t="shared" si="957"/>
        <v>Indonesia</v>
      </c>
      <c r="AA953" s="4" t="str">
        <f t="shared" si="7"/>
        <v>mwc</v>
      </c>
    </row>
    <row r="954">
      <c r="A954" s="3" t="s">
        <v>2164</v>
      </c>
      <c r="B954" s="3">
        <v>7.1</v>
      </c>
      <c r="C954" s="19">
        <f>Raw_Data!T954</f>
        <v>35227.76528</v>
      </c>
      <c r="D954" s="3">
        <v>0.0</v>
      </c>
      <c r="E954" s="3">
        <v>6.0</v>
      </c>
      <c r="F954" s="4"/>
      <c r="G954" s="3">
        <v>0.0</v>
      </c>
      <c r="H954" s="3">
        <v>776.0</v>
      </c>
      <c r="I954" s="3" t="s">
        <v>110</v>
      </c>
      <c r="J954" s="3">
        <v>0.0</v>
      </c>
      <c r="K954" s="3">
        <v>0.0</v>
      </c>
      <c r="L954" s="3">
        <v>0.0</v>
      </c>
      <c r="M954" s="4" t="str">
        <f>Raw_Data!X954</f>
        <v>mwc</v>
      </c>
      <c r="N954" s="3">
        <v>33.0</v>
      </c>
      <c r="O954" s="3">
        <v>12.614</v>
      </c>
      <c r="P954" s="3">
        <v>125.154</v>
      </c>
      <c r="Q954" s="3" t="s">
        <v>2165</v>
      </c>
      <c r="R954" s="4"/>
      <c r="S954" s="3" t="s">
        <v>258</v>
      </c>
      <c r="T954" s="4" t="str">
        <f t="shared" si="2"/>
        <v>Valid</v>
      </c>
      <c r="U954" s="4">
        <f t="shared" si="3"/>
        <v>1</v>
      </c>
      <c r="V954" s="4" t="str">
        <f t="shared" si="4"/>
        <v>Unique</v>
      </c>
      <c r="W954" s="4" t="str">
        <f t="shared" si="5"/>
        <v>Unknown</v>
      </c>
      <c r="X954" s="4" t="str">
        <f t="shared" ref="X954:Z954" si="958">IF(Q954="","Unknown",Q954)</f>
        <v>Palapag, Philippines</v>
      </c>
      <c r="Y954" s="4" t="str">
        <f t="shared" si="958"/>
        <v>Unknown</v>
      </c>
      <c r="Z954" s="4" t="str">
        <f t="shared" si="958"/>
        <v>Philippines</v>
      </c>
      <c r="AA954" s="4" t="str">
        <f t="shared" si="7"/>
        <v>mwc</v>
      </c>
    </row>
    <row r="955">
      <c r="A955" s="3" t="s">
        <v>2166</v>
      </c>
      <c r="B955" s="3">
        <v>7.3</v>
      </c>
      <c r="C955" s="19">
        <f>Raw_Data!T955</f>
        <v>35226.64167</v>
      </c>
      <c r="D955" s="3">
        <v>0.0</v>
      </c>
      <c r="E955" s="3">
        <v>7.0</v>
      </c>
      <c r="F955" s="4"/>
      <c r="G955" s="3">
        <v>0.0</v>
      </c>
      <c r="H955" s="3">
        <v>820.0</v>
      </c>
      <c r="I955" s="3" t="s">
        <v>110</v>
      </c>
      <c r="J955" s="3">
        <v>0.0</v>
      </c>
      <c r="K955" s="3">
        <v>0.0</v>
      </c>
      <c r="L955" s="3">
        <v>0.0</v>
      </c>
      <c r="M955" s="4" t="str">
        <f>Raw_Data!X955</f>
        <v>mwc</v>
      </c>
      <c r="N955" s="3">
        <v>26.3</v>
      </c>
      <c r="O955" s="3">
        <v>51.478</v>
      </c>
      <c r="P955" s="3">
        <v>-176.847</v>
      </c>
      <c r="Q955" s="3" t="s">
        <v>620</v>
      </c>
      <c r="R955" s="3" t="s">
        <v>233</v>
      </c>
      <c r="S955" s="3" t="s">
        <v>318</v>
      </c>
      <c r="T955" s="4" t="str">
        <f t="shared" si="2"/>
        <v>Valid</v>
      </c>
      <c r="U955" s="4">
        <f t="shared" si="3"/>
        <v>1</v>
      </c>
      <c r="V955" s="4" t="str">
        <f t="shared" si="4"/>
        <v>Unique</v>
      </c>
      <c r="W955" s="4" t="str">
        <f t="shared" si="5"/>
        <v>Unknown</v>
      </c>
      <c r="X955" s="4" t="str">
        <f t="shared" ref="X955:Z955" si="959">IF(Q955="","Unknown",Q955)</f>
        <v>Adak, Alaska</v>
      </c>
      <c r="Y955" s="4" t="str">
        <f t="shared" si="959"/>
        <v>North America</v>
      </c>
      <c r="Z955" s="4" t="str">
        <f t="shared" si="959"/>
        <v>United States of America</v>
      </c>
      <c r="AA955" s="4" t="str">
        <f t="shared" si="7"/>
        <v>mwc</v>
      </c>
    </row>
    <row r="956">
      <c r="A956" s="3" t="s">
        <v>2167</v>
      </c>
      <c r="B956" s="3">
        <v>7.9</v>
      </c>
      <c r="C956" s="19">
        <f>Raw_Data!T956</f>
        <v>35226.16875</v>
      </c>
      <c r="D956" s="3">
        <v>0.0</v>
      </c>
      <c r="E956" s="3">
        <v>7.0</v>
      </c>
      <c r="F956" s="4"/>
      <c r="G956" s="3">
        <v>0.0</v>
      </c>
      <c r="H956" s="3">
        <v>960.0</v>
      </c>
      <c r="I956" s="3" t="s">
        <v>110</v>
      </c>
      <c r="J956" s="3">
        <v>0.0</v>
      </c>
      <c r="K956" s="3">
        <v>0.0</v>
      </c>
      <c r="L956" s="3">
        <v>0.0</v>
      </c>
      <c r="M956" s="4" t="str">
        <f>Raw_Data!X956</f>
        <v>mwc</v>
      </c>
      <c r="N956" s="3">
        <v>33.0</v>
      </c>
      <c r="O956" s="3">
        <v>51.564</v>
      </c>
      <c r="P956" s="3">
        <v>-177.632</v>
      </c>
      <c r="Q956" s="3" t="s">
        <v>620</v>
      </c>
      <c r="R956" s="3" t="s">
        <v>233</v>
      </c>
      <c r="S956" s="3" t="s">
        <v>318</v>
      </c>
      <c r="T956" s="4" t="str">
        <f t="shared" si="2"/>
        <v>Valid</v>
      </c>
      <c r="U956" s="4">
        <f t="shared" si="3"/>
        <v>1</v>
      </c>
      <c r="V956" s="4" t="str">
        <f t="shared" si="4"/>
        <v>Unique</v>
      </c>
      <c r="W956" s="4" t="str">
        <f t="shared" si="5"/>
        <v>Unknown</v>
      </c>
      <c r="X956" s="4" t="str">
        <f t="shared" ref="X956:Z956" si="960">IF(Q956="","Unknown",Q956)</f>
        <v>Adak, Alaska</v>
      </c>
      <c r="Y956" s="4" t="str">
        <f t="shared" si="960"/>
        <v>North America</v>
      </c>
      <c r="Z956" s="4" t="str">
        <f t="shared" si="960"/>
        <v>United States of America</v>
      </c>
      <c r="AA956" s="4" t="str">
        <f t="shared" si="7"/>
        <v>mwc</v>
      </c>
    </row>
    <row r="957">
      <c r="A957" s="3" t="s">
        <v>2168</v>
      </c>
      <c r="B957" s="3">
        <v>6.7</v>
      </c>
      <c r="C957" s="19">
        <f>Raw_Data!T957</f>
        <v>35226.04444</v>
      </c>
      <c r="D957" s="3">
        <v>0.0</v>
      </c>
      <c r="E957" s="3">
        <v>4.0</v>
      </c>
      <c r="F957" s="4"/>
      <c r="G957" s="3">
        <v>0.0</v>
      </c>
      <c r="H957" s="3">
        <v>691.0</v>
      </c>
      <c r="I957" s="3" t="s">
        <v>110</v>
      </c>
      <c r="J957" s="3">
        <v>0.0</v>
      </c>
      <c r="K957" s="3">
        <v>0.0</v>
      </c>
      <c r="L957" s="3">
        <v>0.0</v>
      </c>
      <c r="M957" s="4" t="str">
        <f>Raw_Data!X957</f>
        <v>mwc</v>
      </c>
      <c r="N957" s="3">
        <v>200.1</v>
      </c>
      <c r="O957" s="3">
        <v>-13.481</v>
      </c>
      <c r="P957" s="3">
        <v>167.13</v>
      </c>
      <c r="Q957" s="3" t="s">
        <v>112</v>
      </c>
      <c r="R957" s="4"/>
      <c r="S957" s="3" t="s">
        <v>113</v>
      </c>
      <c r="T957" s="4" t="str">
        <f t="shared" si="2"/>
        <v>Valid</v>
      </c>
      <c r="U957" s="4">
        <f t="shared" si="3"/>
        <v>1</v>
      </c>
      <c r="V957" s="4" t="str">
        <f t="shared" si="4"/>
        <v>Unique</v>
      </c>
      <c r="W957" s="4" t="str">
        <f t="shared" si="5"/>
        <v>Unknown</v>
      </c>
      <c r="X957" s="4" t="str">
        <f t="shared" ref="X957:Z957" si="961">IF(Q957="","Unknown",Q957)</f>
        <v>Sola, Vanuatu</v>
      </c>
      <c r="Y957" s="4" t="str">
        <f t="shared" si="961"/>
        <v>Unknown</v>
      </c>
      <c r="Z957" s="4" t="str">
        <f t="shared" si="961"/>
        <v>Vanuatu</v>
      </c>
      <c r="AA957" s="4" t="str">
        <f t="shared" si="7"/>
        <v>mwc</v>
      </c>
    </row>
    <row r="958">
      <c r="A958" s="3" t="s">
        <v>2169</v>
      </c>
      <c r="B958" s="3">
        <v>7.2</v>
      </c>
      <c r="C958" s="19">
        <f>Raw_Data!T958</f>
        <v>35184.61111</v>
      </c>
      <c r="D958" s="3">
        <v>0.0</v>
      </c>
      <c r="E958" s="3">
        <v>6.0</v>
      </c>
      <c r="F958" s="4"/>
      <c r="G958" s="3">
        <v>0.0</v>
      </c>
      <c r="H958" s="3">
        <v>798.0</v>
      </c>
      <c r="I958" s="3" t="s">
        <v>110</v>
      </c>
      <c r="J958" s="3">
        <v>0.0</v>
      </c>
      <c r="K958" s="3">
        <v>0.0</v>
      </c>
      <c r="L958" s="3">
        <v>0.0</v>
      </c>
      <c r="M958" s="4" t="str">
        <f>Raw_Data!X958</f>
        <v>mwc</v>
      </c>
      <c r="N958" s="3">
        <v>44.0</v>
      </c>
      <c r="O958" s="3">
        <v>-6.518</v>
      </c>
      <c r="P958" s="3">
        <v>154.999</v>
      </c>
      <c r="Q958" s="3" t="s">
        <v>728</v>
      </c>
      <c r="R958" s="4"/>
      <c r="S958" s="3" t="s">
        <v>168</v>
      </c>
      <c r="T958" s="4" t="str">
        <f t="shared" si="2"/>
        <v>Valid</v>
      </c>
      <c r="U958" s="4">
        <f t="shared" si="3"/>
        <v>1</v>
      </c>
      <c r="V958" s="4" t="str">
        <f t="shared" si="4"/>
        <v>Unique</v>
      </c>
      <c r="W958" s="4" t="str">
        <f t="shared" si="5"/>
        <v>Unknown</v>
      </c>
      <c r="X958" s="4" t="str">
        <f t="shared" ref="X958:Z958" si="962">IF(Q958="","Unknown",Q958)</f>
        <v>Panguna, Papua New Guinea</v>
      </c>
      <c r="Y958" s="4" t="str">
        <f t="shared" si="962"/>
        <v>Unknown</v>
      </c>
      <c r="Z958" s="4" t="str">
        <f t="shared" si="962"/>
        <v>Papua New Guinea</v>
      </c>
      <c r="AA958" s="4" t="str">
        <f t="shared" si="7"/>
        <v>mwc</v>
      </c>
    </row>
    <row r="959">
      <c r="A959" s="3" t="s">
        <v>2171</v>
      </c>
      <c r="B959" s="3">
        <v>6.6</v>
      </c>
      <c r="C959" s="19">
        <f>Raw_Data!T959</f>
        <v>35174.01319</v>
      </c>
      <c r="D959" s="3">
        <v>0.0</v>
      </c>
      <c r="E959" s="3">
        <v>7.0</v>
      </c>
      <c r="F959" s="4"/>
      <c r="G959" s="3">
        <v>0.0</v>
      </c>
      <c r="H959" s="3">
        <v>670.0</v>
      </c>
      <c r="I959" s="3" t="s">
        <v>110</v>
      </c>
      <c r="J959" s="3">
        <v>0.0</v>
      </c>
      <c r="K959" s="3">
        <v>0.0</v>
      </c>
      <c r="L959" s="3">
        <v>0.0</v>
      </c>
      <c r="M959" s="4" t="str">
        <f>Raw_Data!X959</f>
        <v>mwb</v>
      </c>
      <c r="N959" s="3">
        <v>49.5</v>
      </c>
      <c r="O959" s="3">
        <v>-23.944</v>
      </c>
      <c r="P959" s="3">
        <v>-70.093</v>
      </c>
      <c r="Q959" s="3" t="s">
        <v>1468</v>
      </c>
      <c r="R959" s="3" t="s">
        <v>121</v>
      </c>
      <c r="S959" s="3" t="s">
        <v>414</v>
      </c>
      <c r="T959" s="4" t="str">
        <f t="shared" si="2"/>
        <v>Valid</v>
      </c>
      <c r="U959" s="4">
        <f t="shared" si="3"/>
        <v>1</v>
      </c>
      <c r="V959" s="4" t="str">
        <f t="shared" si="4"/>
        <v>Unique</v>
      </c>
      <c r="W959" s="4" t="str">
        <f t="shared" si="5"/>
        <v>Unknown</v>
      </c>
      <c r="X959" s="4" t="str">
        <f t="shared" ref="X959:Z959" si="963">IF(Q959="","Unknown",Q959)</f>
        <v>Ant</v>
      </c>
      <c r="Y959" s="4" t="str">
        <f t="shared" si="963"/>
        <v>South America</v>
      </c>
      <c r="Z959" s="4" t="str">
        <f t="shared" si="963"/>
        <v>Chile</v>
      </c>
      <c r="AA959" s="4" t="str">
        <f t="shared" si="7"/>
        <v>mwb</v>
      </c>
    </row>
    <row r="960">
      <c r="A960" s="3" t="s">
        <v>2173</v>
      </c>
      <c r="B960" s="3">
        <v>6.7</v>
      </c>
      <c r="C960" s="19">
        <f>Raw_Data!T960</f>
        <v>35141.61667</v>
      </c>
      <c r="D960" s="3">
        <v>0.0</v>
      </c>
      <c r="E960" s="3">
        <v>5.0</v>
      </c>
      <c r="F960" s="4"/>
      <c r="G960" s="3">
        <v>0.0</v>
      </c>
      <c r="H960" s="3">
        <v>691.0</v>
      </c>
      <c r="I960" s="3" t="s">
        <v>110</v>
      </c>
      <c r="J960" s="3">
        <v>0.0</v>
      </c>
      <c r="K960" s="3">
        <v>0.0</v>
      </c>
      <c r="L960" s="3">
        <v>0.0</v>
      </c>
      <c r="M960" s="4" t="str">
        <f>Raw_Data!X960</f>
        <v>mwc</v>
      </c>
      <c r="N960" s="3">
        <v>164.4</v>
      </c>
      <c r="O960" s="3">
        <v>-14.705</v>
      </c>
      <c r="P960" s="3">
        <v>167.297</v>
      </c>
      <c r="Q960" s="3" t="s">
        <v>185</v>
      </c>
      <c r="R960" s="4"/>
      <c r="S960" s="3" t="s">
        <v>113</v>
      </c>
      <c r="T960" s="4" t="str">
        <f t="shared" si="2"/>
        <v>Valid</v>
      </c>
      <c r="U960" s="4">
        <f t="shared" si="3"/>
        <v>1</v>
      </c>
      <c r="V960" s="4" t="str">
        <f t="shared" si="4"/>
        <v>Unique</v>
      </c>
      <c r="W960" s="4" t="str">
        <f t="shared" si="5"/>
        <v>Unknown</v>
      </c>
      <c r="X960" s="4" t="str">
        <f t="shared" ref="X960:Z960" si="964">IF(Q960="","Unknown",Q960)</f>
        <v>Port-Olry, Vanuatu</v>
      </c>
      <c r="Y960" s="4" t="str">
        <f t="shared" si="964"/>
        <v>Unknown</v>
      </c>
      <c r="Z960" s="4" t="str">
        <f t="shared" si="964"/>
        <v>Vanuatu</v>
      </c>
      <c r="AA960" s="4" t="str">
        <f t="shared" si="7"/>
        <v>mwc</v>
      </c>
    </row>
    <row r="961">
      <c r="A961" s="3" t="s">
        <v>2175</v>
      </c>
      <c r="B961" s="3">
        <v>6.7</v>
      </c>
      <c r="C961" s="19">
        <f>Raw_Data!T961</f>
        <v>35127.69236</v>
      </c>
      <c r="D961" s="3">
        <v>0.0</v>
      </c>
      <c r="E961" s="3">
        <v>6.0</v>
      </c>
      <c r="F961" s="4"/>
      <c r="G961" s="3">
        <v>0.0</v>
      </c>
      <c r="H961" s="3">
        <v>691.0</v>
      </c>
      <c r="I961" s="3" t="s">
        <v>110</v>
      </c>
      <c r="J961" s="3">
        <v>0.0</v>
      </c>
      <c r="K961" s="3">
        <v>0.0</v>
      </c>
      <c r="L961" s="3">
        <v>0.0</v>
      </c>
      <c r="M961" s="4" t="str">
        <f>Raw_Data!X961</f>
        <v>mwc</v>
      </c>
      <c r="N961" s="3">
        <v>33.0</v>
      </c>
      <c r="O961" s="3">
        <v>11.905</v>
      </c>
      <c r="P961" s="3">
        <v>-86.772</v>
      </c>
      <c r="Q961" s="3" t="s">
        <v>2176</v>
      </c>
      <c r="R961" s="4"/>
      <c r="S961" s="3" t="s">
        <v>1015</v>
      </c>
      <c r="T961" s="4" t="str">
        <f t="shared" si="2"/>
        <v>Valid</v>
      </c>
      <c r="U961" s="4">
        <f t="shared" si="3"/>
        <v>1</v>
      </c>
      <c r="V961" s="4" t="str">
        <f t="shared" si="4"/>
        <v>Unique</v>
      </c>
      <c r="W961" s="4" t="str">
        <f t="shared" si="5"/>
        <v>Unknown</v>
      </c>
      <c r="X961" s="4" t="str">
        <f t="shared" ref="X961:Z961" si="965">IF(Q961="","Unknown",Q961)</f>
        <v>Villa El Carmen, Nicaragua</v>
      </c>
      <c r="Y961" s="4" t="str">
        <f t="shared" si="965"/>
        <v>Unknown</v>
      </c>
      <c r="Z961" s="4" t="str">
        <f t="shared" si="965"/>
        <v>Nicaragua</v>
      </c>
      <c r="AA961" s="4" t="str">
        <f t="shared" si="7"/>
        <v>mwc</v>
      </c>
    </row>
    <row r="962">
      <c r="A962" s="3" t="s">
        <v>2177</v>
      </c>
      <c r="B962" s="3">
        <v>6.6</v>
      </c>
      <c r="C962" s="19">
        <f>Raw_Data!T962</f>
        <v>35127.62153</v>
      </c>
      <c r="D962" s="3">
        <v>0.0</v>
      </c>
      <c r="E962" s="3">
        <v>6.0</v>
      </c>
      <c r="F962" s="4"/>
      <c r="G962" s="3">
        <v>0.0</v>
      </c>
      <c r="H962" s="3">
        <v>670.0</v>
      </c>
      <c r="I962" s="3" t="s">
        <v>110</v>
      </c>
      <c r="J962" s="3">
        <v>0.0</v>
      </c>
      <c r="K962" s="3">
        <v>0.0</v>
      </c>
      <c r="L962" s="3">
        <v>0.0</v>
      </c>
      <c r="M962" s="4" t="str">
        <f>Raw_Data!X962</f>
        <v>mwc</v>
      </c>
      <c r="N962" s="3">
        <v>33.0</v>
      </c>
      <c r="O962" s="3">
        <v>11.657</v>
      </c>
      <c r="P962" s="3">
        <v>-86.856</v>
      </c>
      <c r="Q962" s="3" t="s">
        <v>271</v>
      </c>
      <c r="R962" s="4"/>
      <c r="S962" s="4"/>
      <c r="T962" s="4" t="str">
        <f t="shared" si="2"/>
        <v>Valid</v>
      </c>
      <c r="U962" s="4">
        <f t="shared" si="3"/>
        <v>1</v>
      </c>
      <c r="V962" s="4" t="str">
        <f t="shared" si="4"/>
        <v>Unique</v>
      </c>
      <c r="W962" s="4" t="str">
        <f t="shared" si="5"/>
        <v>Unknown</v>
      </c>
      <c r="X962" s="4" t="str">
        <f t="shared" ref="X962:Z962" si="966">IF(Q962="","Unknown",Q962)</f>
        <v>Masachapa, Nicaragua</v>
      </c>
      <c r="Y962" s="4" t="str">
        <f t="shared" si="966"/>
        <v>Unknown</v>
      </c>
      <c r="Z962" s="4" t="str">
        <f t="shared" si="966"/>
        <v>Unknown</v>
      </c>
      <c r="AA962" s="4" t="str">
        <f t="shared" si="7"/>
        <v>mwc</v>
      </c>
    </row>
    <row r="963">
      <c r="A963" s="3" t="s">
        <v>2178</v>
      </c>
      <c r="B963" s="3">
        <v>7.1</v>
      </c>
      <c r="C963" s="19">
        <f>Raw_Data!T963</f>
        <v>35120.13056</v>
      </c>
      <c r="D963" s="3">
        <v>0.0</v>
      </c>
      <c r="E963" s="3">
        <v>7.0</v>
      </c>
      <c r="F963" s="4"/>
      <c r="G963" s="3">
        <v>0.0</v>
      </c>
      <c r="H963" s="3">
        <v>776.0</v>
      </c>
      <c r="I963" s="3" t="s">
        <v>110</v>
      </c>
      <c r="J963" s="3">
        <v>0.0</v>
      </c>
      <c r="K963" s="3">
        <v>0.0</v>
      </c>
      <c r="L963" s="3">
        <v>0.0</v>
      </c>
      <c r="M963" s="4" t="str">
        <f>Raw_Data!X963</f>
        <v>mw</v>
      </c>
      <c r="N963" s="3">
        <v>21.1</v>
      </c>
      <c r="O963" s="3">
        <v>15.978</v>
      </c>
      <c r="P963" s="3">
        <v>-98.07</v>
      </c>
      <c r="Q963" s="3" t="s">
        <v>2180</v>
      </c>
      <c r="R963" s="3" t="s">
        <v>233</v>
      </c>
      <c r="S963" s="3" t="s">
        <v>234</v>
      </c>
      <c r="T963" s="4" t="str">
        <f t="shared" si="2"/>
        <v>Valid</v>
      </c>
      <c r="U963" s="4">
        <f t="shared" si="3"/>
        <v>1</v>
      </c>
      <c r="V963" s="4" t="str">
        <f t="shared" si="4"/>
        <v>Unique</v>
      </c>
      <c r="W963" s="4" t="str">
        <f t="shared" si="5"/>
        <v>Unknown</v>
      </c>
      <c r="X963" s="4" t="str">
        <f t="shared" ref="X963:Z963" si="967">IF(Q963="","Unknown",Q963)</f>
        <v>Santa María Chico Ometepec, Mexico</v>
      </c>
      <c r="Y963" s="4" t="str">
        <f t="shared" si="967"/>
        <v>North America</v>
      </c>
      <c r="Z963" s="4" t="str">
        <f t="shared" si="967"/>
        <v>Mexico</v>
      </c>
      <c r="AA963" s="4" t="str">
        <f t="shared" si="7"/>
        <v>mw</v>
      </c>
    </row>
    <row r="964">
      <c r="A964" s="3" t="s">
        <v>2181</v>
      </c>
      <c r="B964" s="3">
        <v>7.5</v>
      </c>
      <c r="C964" s="19">
        <f>Raw_Data!T964</f>
        <v>35116.53542</v>
      </c>
      <c r="D964" s="3">
        <v>0.0</v>
      </c>
      <c r="E964" s="3">
        <v>6.0</v>
      </c>
      <c r="F964" s="4"/>
      <c r="G964" s="3">
        <v>0.0</v>
      </c>
      <c r="H964" s="3">
        <v>865.0</v>
      </c>
      <c r="I964" s="3" t="s">
        <v>110</v>
      </c>
      <c r="J964" s="3">
        <v>0.0</v>
      </c>
      <c r="K964" s="3">
        <v>0.0</v>
      </c>
      <c r="L964" s="3">
        <v>0.0</v>
      </c>
      <c r="M964" s="4" t="str">
        <f>Raw_Data!X964</f>
        <v>mw</v>
      </c>
      <c r="N964" s="3">
        <v>10.0</v>
      </c>
      <c r="O964" s="3">
        <v>-9.593</v>
      </c>
      <c r="P964" s="3">
        <v>-79.587</v>
      </c>
      <c r="Q964" s="3" t="s">
        <v>2183</v>
      </c>
      <c r="R964" s="4"/>
      <c r="S964" s="3" t="s">
        <v>265</v>
      </c>
      <c r="T964" s="4" t="str">
        <f t="shared" si="2"/>
        <v>Valid</v>
      </c>
      <c r="U964" s="4">
        <f t="shared" si="3"/>
        <v>1</v>
      </c>
      <c r="V964" s="4" t="str">
        <f t="shared" si="4"/>
        <v>Unique</v>
      </c>
      <c r="W964" s="4" t="str">
        <f t="shared" si="5"/>
        <v>Unknown</v>
      </c>
      <c r="X964" s="4" t="str">
        <f t="shared" ref="X964:Z964" si="968">IF(Q964="","Unknown",Q964)</f>
        <v>Puerto Santa, Peru</v>
      </c>
      <c r="Y964" s="4" t="str">
        <f t="shared" si="968"/>
        <v>Unknown</v>
      </c>
      <c r="Z964" s="4" t="str">
        <f t="shared" si="968"/>
        <v>Peru</v>
      </c>
      <c r="AA964" s="4" t="str">
        <f t="shared" si="7"/>
        <v>mw</v>
      </c>
    </row>
    <row r="965">
      <c r="A965" s="3" t="s">
        <v>2184</v>
      </c>
      <c r="B965" s="3">
        <v>6.5</v>
      </c>
      <c r="C965" s="19">
        <f>Raw_Data!T965</f>
        <v>35112.84583</v>
      </c>
      <c r="D965" s="3">
        <v>0.0</v>
      </c>
      <c r="E965" s="3">
        <v>6.0</v>
      </c>
      <c r="F965" s="4"/>
      <c r="G965" s="3">
        <v>0.0</v>
      </c>
      <c r="H965" s="3">
        <v>650.0</v>
      </c>
      <c r="I965" s="3" t="s">
        <v>110</v>
      </c>
      <c r="J965" s="3">
        <v>0.0</v>
      </c>
      <c r="K965" s="3">
        <v>0.0</v>
      </c>
      <c r="L965" s="3">
        <v>0.0</v>
      </c>
      <c r="M965" s="4" t="str">
        <f>Raw_Data!X965</f>
        <v>mw</v>
      </c>
      <c r="N965" s="3">
        <v>31.9</v>
      </c>
      <c r="O965" s="3">
        <v>-0.917</v>
      </c>
      <c r="P965" s="3">
        <v>136.225</v>
      </c>
      <c r="Q965" s="3" t="s">
        <v>1320</v>
      </c>
      <c r="R965" s="4"/>
      <c r="S965" s="3" t="s">
        <v>153</v>
      </c>
      <c r="T965" s="4" t="str">
        <f t="shared" si="2"/>
        <v>Valid</v>
      </c>
      <c r="U965" s="4">
        <f t="shared" si="3"/>
        <v>1</v>
      </c>
      <c r="V965" s="4" t="str">
        <f t="shared" si="4"/>
        <v>Unique</v>
      </c>
      <c r="W965" s="4" t="str">
        <f t="shared" si="5"/>
        <v>Unknown</v>
      </c>
      <c r="X965" s="4" t="str">
        <f t="shared" ref="X965:Z965" si="969">IF(Q965="","Unknown",Q965)</f>
        <v>Biak, Indonesia</v>
      </c>
      <c r="Y965" s="4" t="str">
        <f t="shared" si="969"/>
        <v>Unknown</v>
      </c>
      <c r="Z965" s="4" t="str">
        <f t="shared" si="969"/>
        <v>Indonesia</v>
      </c>
      <c r="AA965" s="4" t="str">
        <f t="shared" si="7"/>
        <v>mw</v>
      </c>
    </row>
    <row r="966">
      <c r="A966" s="3" t="s">
        <v>2186</v>
      </c>
      <c r="B966" s="3">
        <v>6.5</v>
      </c>
      <c r="C966" s="19">
        <f>Raw_Data!T966</f>
        <v>35112.59792</v>
      </c>
      <c r="D966" s="3">
        <v>0.0</v>
      </c>
      <c r="E966" s="3">
        <v>6.0</v>
      </c>
      <c r="F966" s="4"/>
      <c r="G966" s="3">
        <v>0.0</v>
      </c>
      <c r="H966" s="3">
        <v>650.0</v>
      </c>
      <c r="I966" s="3" t="s">
        <v>110</v>
      </c>
      <c r="J966" s="3">
        <v>0.0</v>
      </c>
      <c r="K966" s="3">
        <v>0.0</v>
      </c>
      <c r="L966" s="3">
        <v>0.0</v>
      </c>
      <c r="M966" s="4" t="str">
        <f>Raw_Data!X966</f>
        <v>mw</v>
      </c>
      <c r="N966" s="3">
        <v>19.2</v>
      </c>
      <c r="O966" s="3">
        <v>-0.567</v>
      </c>
      <c r="P966" s="3">
        <v>135.84</v>
      </c>
      <c r="Q966" s="3" t="s">
        <v>2188</v>
      </c>
      <c r="R966" s="4"/>
      <c r="S966" s="3" t="s">
        <v>153</v>
      </c>
      <c r="T966" s="4" t="str">
        <f t="shared" si="2"/>
        <v>Valid</v>
      </c>
      <c r="U966" s="4">
        <f t="shared" si="3"/>
        <v>1</v>
      </c>
      <c r="V966" s="4" t="str">
        <f t="shared" si="4"/>
        <v>Unique</v>
      </c>
      <c r="W966" s="4" t="str">
        <f t="shared" si="5"/>
        <v>Unknown</v>
      </c>
      <c r="X966" s="4" t="str">
        <f t="shared" ref="X966:Z966" si="970">IF(Q966="","Unknown",Q966)</f>
        <v>Insrom, Indonesia</v>
      </c>
      <c r="Y966" s="4" t="str">
        <f t="shared" si="970"/>
        <v>Unknown</v>
      </c>
      <c r="Z966" s="4" t="str">
        <f t="shared" si="970"/>
        <v>Indonesia</v>
      </c>
      <c r="AA966" s="4" t="str">
        <f t="shared" si="7"/>
        <v>mw</v>
      </c>
    </row>
    <row r="967">
      <c r="A967" s="3" t="s">
        <v>2189</v>
      </c>
      <c r="B967" s="3">
        <v>8.09</v>
      </c>
      <c r="C967" s="19">
        <f>Raw_Data!T967</f>
        <v>35112.24931</v>
      </c>
      <c r="D967" s="3">
        <v>0.0</v>
      </c>
      <c r="E967" s="3">
        <v>8.0</v>
      </c>
      <c r="F967" s="4"/>
      <c r="G967" s="3">
        <v>0.0</v>
      </c>
      <c r="H967" s="3">
        <v>1007.0</v>
      </c>
      <c r="I967" s="3" t="s">
        <v>1196</v>
      </c>
      <c r="J967" s="3">
        <v>0.0</v>
      </c>
      <c r="K967" s="3">
        <v>0.0</v>
      </c>
      <c r="L967" s="3">
        <v>0.0</v>
      </c>
      <c r="M967" s="4" t="str">
        <f>Raw_Data!X967</f>
        <v>mww</v>
      </c>
      <c r="N967" s="3">
        <v>33.0</v>
      </c>
      <c r="O967" s="3">
        <v>-0.891</v>
      </c>
      <c r="P967" s="3">
        <v>136.952</v>
      </c>
      <c r="Q967" s="3" t="s">
        <v>1320</v>
      </c>
      <c r="R967" s="4"/>
      <c r="S967" s="4"/>
      <c r="T967" s="4" t="str">
        <f t="shared" si="2"/>
        <v>Valid</v>
      </c>
      <c r="U967" s="4">
        <f t="shared" si="3"/>
        <v>1</v>
      </c>
      <c r="V967" s="4" t="str">
        <f t="shared" si="4"/>
        <v>Unique</v>
      </c>
      <c r="W967" s="4" t="str">
        <f t="shared" si="5"/>
        <v>Unknown</v>
      </c>
      <c r="X967" s="4" t="str">
        <f t="shared" ref="X967:Z967" si="971">IF(Q967="","Unknown",Q967)</f>
        <v>Biak, Indonesia</v>
      </c>
      <c r="Y967" s="4" t="str">
        <f t="shared" si="971"/>
        <v>Unknown</v>
      </c>
      <c r="Z967" s="4" t="str">
        <f t="shared" si="971"/>
        <v>Unknown</v>
      </c>
      <c r="AA967" s="4" t="str">
        <f t="shared" si="7"/>
        <v>mww</v>
      </c>
    </row>
    <row r="968">
      <c r="A968" s="3" t="s">
        <v>2191</v>
      </c>
      <c r="B968" s="3">
        <v>6.7</v>
      </c>
      <c r="C968" s="19">
        <f>Raw_Data!T968</f>
        <v>35111.64028</v>
      </c>
      <c r="D968" s="3">
        <v>0.0</v>
      </c>
      <c r="E968" s="3">
        <v>4.0</v>
      </c>
      <c r="F968" s="4"/>
      <c r="G968" s="3">
        <v>0.0</v>
      </c>
      <c r="H968" s="3">
        <v>691.0</v>
      </c>
      <c r="I968" s="3" t="s">
        <v>110</v>
      </c>
      <c r="J968" s="3">
        <v>0.0</v>
      </c>
      <c r="K968" s="3">
        <v>0.0</v>
      </c>
      <c r="L968" s="3">
        <v>0.0</v>
      </c>
      <c r="M968" s="4" t="str">
        <f>Raw_Data!X968</f>
        <v>mw</v>
      </c>
      <c r="N968" s="3">
        <v>40.8</v>
      </c>
      <c r="O968" s="3">
        <v>37.353</v>
      </c>
      <c r="P968" s="3">
        <v>142.38</v>
      </c>
      <c r="Q968" s="3" t="s">
        <v>282</v>
      </c>
      <c r="R968" s="4"/>
      <c r="S968" s="4"/>
      <c r="T968" s="4" t="str">
        <f t="shared" si="2"/>
        <v>Valid</v>
      </c>
      <c r="U968" s="4">
        <f t="shared" si="3"/>
        <v>1</v>
      </c>
      <c r="V968" s="4" t="str">
        <f t="shared" si="4"/>
        <v>Unique</v>
      </c>
      <c r="W968" s="4" t="str">
        <f t="shared" si="5"/>
        <v>Unknown</v>
      </c>
      <c r="X968" s="4" t="str">
        <f t="shared" ref="X968:Z968" si="972">IF(Q968="","Unknown",Q968)</f>
        <v>Namie, Japan</v>
      </c>
      <c r="Y968" s="4" t="str">
        <f t="shared" si="972"/>
        <v>Unknown</v>
      </c>
      <c r="Z968" s="4" t="str">
        <f t="shared" si="972"/>
        <v>Unknown</v>
      </c>
      <c r="AA968" s="4" t="str">
        <f t="shared" si="7"/>
        <v>mw</v>
      </c>
    </row>
    <row r="969">
      <c r="A969" s="3" t="s">
        <v>2193</v>
      </c>
      <c r="B969" s="3">
        <v>7.2</v>
      </c>
      <c r="C969" s="19">
        <f>Raw_Data!T969</f>
        <v>35102.9</v>
      </c>
      <c r="D969" s="3">
        <v>0.0</v>
      </c>
      <c r="E969" s="3">
        <v>6.0</v>
      </c>
      <c r="F969" s="4"/>
      <c r="G969" s="3">
        <v>0.0</v>
      </c>
      <c r="H969" s="3">
        <v>798.0</v>
      </c>
      <c r="I969" s="3" t="s">
        <v>110</v>
      </c>
      <c r="J969" s="3">
        <v>0.0</v>
      </c>
      <c r="K969" s="3">
        <v>0.0</v>
      </c>
      <c r="L969" s="3">
        <v>0.0</v>
      </c>
      <c r="M969" s="4" t="str">
        <f>Raw_Data!X969</f>
        <v>mw</v>
      </c>
      <c r="N969" s="3">
        <v>42.6</v>
      </c>
      <c r="O969" s="3">
        <v>45.324</v>
      </c>
      <c r="P969" s="3">
        <v>149.892</v>
      </c>
      <c r="Q969" s="3" t="s">
        <v>463</v>
      </c>
      <c r="R969" s="4"/>
      <c r="S969" s="4"/>
      <c r="T969" s="4" t="str">
        <f t="shared" si="2"/>
        <v>Valid</v>
      </c>
      <c r="U969" s="4">
        <f t="shared" si="3"/>
        <v>1</v>
      </c>
      <c r="V969" s="4" t="str">
        <f t="shared" si="4"/>
        <v>Unique</v>
      </c>
      <c r="W969" s="4" t="str">
        <f t="shared" si="5"/>
        <v>Unknown</v>
      </c>
      <c r="X969" s="4" t="str">
        <f t="shared" ref="X969:Z969" si="973">IF(Q969="","Unknown",Q969)</f>
        <v>Kuril’sk, Russia</v>
      </c>
      <c r="Y969" s="4" t="str">
        <f t="shared" si="973"/>
        <v>Unknown</v>
      </c>
      <c r="Z969" s="4" t="str">
        <f t="shared" si="973"/>
        <v>Unknown</v>
      </c>
      <c r="AA969" s="4" t="str">
        <f t="shared" si="7"/>
        <v>mw</v>
      </c>
    </row>
    <row r="970">
      <c r="A970" s="3" t="s">
        <v>2194</v>
      </c>
      <c r="B970" s="3">
        <v>6.6</v>
      </c>
      <c r="C970" s="19">
        <f>Raw_Data!T970</f>
        <v>35098.46806</v>
      </c>
      <c r="D970" s="3">
        <v>0.0</v>
      </c>
      <c r="E970" s="3">
        <v>10.0</v>
      </c>
      <c r="F970" s="4"/>
      <c r="G970" s="3">
        <v>0.0</v>
      </c>
      <c r="H970" s="3">
        <v>670.0</v>
      </c>
      <c r="I970" s="3" t="s">
        <v>110</v>
      </c>
      <c r="J970" s="3">
        <v>0.0</v>
      </c>
      <c r="K970" s="3">
        <v>0.0</v>
      </c>
      <c r="L970" s="3">
        <v>0.0</v>
      </c>
      <c r="M970" s="4" t="str">
        <f>Raw_Data!X970</f>
        <v>mw</v>
      </c>
      <c r="N970" s="3">
        <v>11.1</v>
      </c>
      <c r="O970" s="3">
        <v>27.291</v>
      </c>
      <c r="P970" s="3">
        <v>100.276</v>
      </c>
      <c r="Q970" s="3" t="s">
        <v>2195</v>
      </c>
      <c r="R970" s="3" t="s">
        <v>164</v>
      </c>
      <c r="S970" s="3" t="s">
        <v>251</v>
      </c>
      <c r="T970" s="4" t="str">
        <f t="shared" si="2"/>
        <v>Valid</v>
      </c>
      <c r="U970" s="4">
        <f t="shared" si="3"/>
        <v>1</v>
      </c>
      <c r="V970" s="4" t="str">
        <f t="shared" si="4"/>
        <v>Unique</v>
      </c>
      <c r="W970" s="4" t="str">
        <f t="shared" si="5"/>
        <v>Unknown</v>
      </c>
      <c r="X970" s="4" t="str">
        <f t="shared" ref="X970:Z970" si="974">IF(Q970="","Unknown",Q970)</f>
        <v>Lijiang, China</v>
      </c>
      <c r="Y970" s="4" t="str">
        <f t="shared" si="974"/>
        <v>Asia</v>
      </c>
      <c r="Z970" s="4" t="str">
        <f t="shared" si="974"/>
        <v>People's Republic of China</v>
      </c>
      <c r="AA970" s="4" t="str">
        <f t="shared" si="7"/>
        <v>mw</v>
      </c>
    </row>
    <row r="971">
      <c r="A971" s="3" t="s">
        <v>2196</v>
      </c>
      <c r="B971" s="3">
        <v>6.6</v>
      </c>
      <c r="C971" s="19">
        <f>Raw_Data!T971</f>
        <v>35065.41458</v>
      </c>
      <c r="D971" s="3">
        <v>0.0</v>
      </c>
      <c r="E971" s="3">
        <v>7.0</v>
      </c>
      <c r="F971" s="4"/>
      <c r="G971" s="3">
        <v>0.0</v>
      </c>
      <c r="H971" s="3">
        <v>670.0</v>
      </c>
      <c r="I971" s="3" t="s">
        <v>110</v>
      </c>
      <c r="J971" s="3">
        <v>0.0</v>
      </c>
      <c r="K971" s="3">
        <v>0.0</v>
      </c>
      <c r="L971" s="3">
        <v>0.0</v>
      </c>
      <c r="M971" s="4" t="str">
        <f>Raw_Data!X971</f>
        <v>ms</v>
      </c>
      <c r="N971" s="3">
        <v>33.0</v>
      </c>
      <c r="O971" s="3">
        <v>53.826</v>
      </c>
      <c r="P971" s="3">
        <v>159.586</v>
      </c>
      <c r="Q971" s="3" t="s">
        <v>2197</v>
      </c>
      <c r="R971" s="3" t="s">
        <v>164</v>
      </c>
      <c r="S971" s="3" t="s">
        <v>464</v>
      </c>
      <c r="T971" s="4" t="str">
        <f t="shared" si="2"/>
        <v>Valid</v>
      </c>
      <c r="U971" s="4">
        <f t="shared" si="3"/>
        <v>1</v>
      </c>
      <c r="V971" s="4" t="str">
        <f t="shared" si="4"/>
        <v>Unique</v>
      </c>
      <c r="W971" s="4" t="str">
        <f t="shared" si="5"/>
        <v>Unknown</v>
      </c>
      <c r="X971" s="4" t="str">
        <f t="shared" ref="X971:Z971" si="975">IF(Q971="","Unknown",Q971)</f>
        <v>Yelizovo, Russia</v>
      </c>
      <c r="Y971" s="4" t="str">
        <f t="shared" si="975"/>
        <v>Asia</v>
      </c>
      <c r="Z971" s="4" t="str">
        <f t="shared" si="975"/>
        <v>Russia</v>
      </c>
      <c r="AA971" s="4" t="str">
        <f t="shared" si="7"/>
        <v>ms</v>
      </c>
    </row>
    <row r="972">
      <c r="A972" s="3" t="s">
        <v>2198</v>
      </c>
      <c r="B972" s="3">
        <v>7.9</v>
      </c>
      <c r="C972" s="19">
        <f>Raw_Data!T972</f>
        <v>35065.33681</v>
      </c>
      <c r="D972" s="3">
        <v>0.0</v>
      </c>
      <c r="E972" s="3">
        <v>8.0</v>
      </c>
      <c r="F972" s="4"/>
      <c r="G972" s="3">
        <v>0.0</v>
      </c>
      <c r="H972" s="3">
        <v>960.0</v>
      </c>
      <c r="I972" s="3" t="s">
        <v>110</v>
      </c>
      <c r="J972" s="3">
        <v>0.0</v>
      </c>
      <c r="K972" s="3">
        <v>0.0</v>
      </c>
      <c r="L972" s="3">
        <v>0.0</v>
      </c>
      <c r="M972" s="4" t="str">
        <f>Raw_Data!X972</f>
        <v>mw</v>
      </c>
      <c r="N972" s="3">
        <v>24.0</v>
      </c>
      <c r="O972" s="3">
        <v>0.729</v>
      </c>
      <c r="P972" s="3">
        <v>119.931</v>
      </c>
      <c r="Q972" s="3" t="s">
        <v>590</v>
      </c>
      <c r="R972" s="4"/>
      <c r="S972" s="3" t="s">
        <v>153</v>
      </c>
      <c r="T972" s="4" t="str">
        <f t="shared" si="2"/>
        <v>Valid</v>
      </c>
      <c r="U972" s="4">
        <f t="shared" si="3"/>
        <v>1</v>
      </c>
      <c r="V972" s="4" t="str">
        <f t="shared" si="4"/>
        <v>Unique</v>
      </c>
      <c r="W972" s="4" t="str">
        <f t="shared" si="5"/>
        <v>Unknown</v>
      </c>
      <c r="X972" s="4" t="str">
        <f t="shared" ref="X972:Z972" si="976">IF(Q972="","Unknown",Q972)</f>
        <v>Palu, Indonesia</v>
      </c>
      <c r="Y972" s="4" t="str">
        <f t="shared" si="976"/>
        <v>Unknown</v>
      </c>
      <c r="Z972" s="4" t="str">
        <f t="shared" si="976"/>
        <v>Indonesia</v>
      </c>
      <c r="AA972" s="4" t="str">
        <f t="shared" si="7"/>
        <v>mw</v>
      </c>
    </row>
    <row r="973">
      <c r="A973" s="3" t="s">
        <v>2199</v>
      </c>
      <c r="B973" s="3">
        <v>7.1</v>
      </c>
      <c r="C973" s="19">
        <f>Raw_Data!T973</f>
        <v>35058.19653</v>
      </c>
      <c r="D973" s="3">
        <v>0.0</v>
      </c>
      <c r="E973" s="3">
        <v>6.0</v>
      </c>
      <c r="F973" s="4"/>
      <c r="G973" s="3">
        <v>0.0</v>
      </c>
      <c r="H973" s="3">
        <v>776.0</v>
      </c>
      <c r="I973" s="3" t="s">
        <v>110</v>
      </c>
      <c r="J973" s="3">
        <v>0.0</v>
      </c>
      <c r="K973" s="3">
        <v>0.0</v>
      </c>
      <c r="L973" s="3">
        <v>0.0</v>
      </c>
      <c r="M973" s="4" t="str">
        <f>Raw_Data!X973</f>
        <v>mw</v>
      </c>
      <c r="N973" s="3">
        <v>141.9</v>
      </c>
      <c r="O973" s="3">
        <v>-6.903</v>
      </c>
      <c r="P973" s="3">
        <v>129.151</v>
      </c>
      <c r="Q973" s="3" t="s">
        <v>307</v>
      </c>
      <c r="R973" s="4"/>
      <c r="S973" s="3" t="s">
        <v>153</v>
      </c>
      <c r="T973" s="4" t="str">
        <f t="shared" si="2"/>
        <v>Valid</v>
      </c>
      <c r="U973" s="4">
        <f t="shared" si="3"/>
        <v>1</v>
      </c>
      <c r="V973" s="4" t="str">
        <f t="shared" si="4"/>
        <v>Unique</v>
      </c>
      <c r="W973" s="4" t="str">
        <f t="shared" si="5"/>
        <v>Unknown</v>
      </c>
      <c r="X973" s="4" t="str">
        <f t="shared" ref="X973:Z973" si="977">IF(Q973="","Unknown",Q973)</f>
        <v>Lospalos, Timor Leste</v>
      </c>
      <c r="Y973" s="4" t="str">
        <f t="shared" si="977"/>
        <v>Unknown</v>
      </c>
      <c r="Z973" s="4" t="str">
        <f t="shared" si="977"/>
        <v>Indonesia</v>
      </c>
      <c r="AA973" s="4" t="str">
        <f t="shared" si="7"/>
        <v>mw</v>
      </c>
    </row>
    <row r="974">
      <c r="A974" s="3" t="s">
        <v>2201</v>
      </c>
      <c r="B974" s="3">
        <v>6.5</v>
      </c>
      <c r="C974" s="19">
        <f>Raw_Data!T974</f>
        <v>35052.97778</v>
      </c>
      <c r="D974" s="3">
        <v>0.0</v>
      </c>
      <c r="E974" s="3">
        <v>6.0</v>
      </c>
      <c r="F974" s="4"/>
      <c r="G974" s="3">
        <v>0.0</v>
      </c>
      <c r="H974" s="3">
        <v>650.0</v>
      </c>
      <c r="I974" s="3" t="s">
        <v>110</v>
      </c>
      <c r="J974" s="3">
        <v>0.0</v>
      </c>
      <c r="K974" s="3">
        <v>0.0</v>
      </c>
      <c r="L974" s="3">
        <v>0.0</v>
      </c>
      <c r="M974" s="4" t="str">
        <f>Raw_Data!X974</f>
        <v>mwb</v>
      </c>
      <c r="N974" s="3">
        <v>63.4</v>
      </c>
      <c r="O974" s="3">
        <v>-3.703</v>
      </c>
      <c r="P974" s="3">
        <v>140.233</v>
      </c>
      <c r="Q974" s="3" t="s">
        <v>892</v>
      </c>
      <c r="R974" s="4"/>
      <c r="S974" s="3" t="s">
        <v>153</v>
      </c>
      <c r="T974" s="4" t="str">
        <f t="shared" si="2"/>
        <v>Valid</v>
      </c>
      <c r="U974" s="4">
        <f t="shared" si="3"/>
        <v>1</v>
      </c>
      <c r="V974" s="4" t="str">
        <f t="shared" si="4"/>
        <v>Unique</v>
      </c>
      <c r="W974" s="4" t="str">
        <f t="shared" si="5"/>
        <v>Unknown</v>
      </c>
      <c r="X974" s="4" t="str">
        <f t="shared" ref="X974:Z974" si="978">IF(Q974="","Unknown",Q974)</f>
        <v>Abepura, Indonesia</v>
      </c>
      <c r="Y974" s="4" t="str">
        <f t="shared" si="978"/>
        <v>Unknown</v>
      </c>
      <c r="Z974" s="4" t="str">
        <f t="shared" si="978"/>
        <v>Indonesia</v>
      </c>
      <c r="AA974" s="4" t="str">
        <f t="shared" si="7"/>
        <v>mwb</v>
      </c>
    </row>
    <row r="975">
      <c r="A975" s="3" t="s">
        <v>2203</v>
      </c>
      <c r="B975" s="3">
        <v>7.9</v>
      </c>
      <c r="C975" s="19">
        <f>Raw_Data!T975</f>
        <v>35036.75069</v>
      </c>
      <c r="D975" s="3">
        <v>0.0</v>
      </c>
      <c r="E975" s="3">
        <v>6.0</v>
      </c>
      <c r="F975" s="4"/>
      <c r="G975" s="3">
        <v>0.0</v>
      </c>
      <c r="H975" s="3">
        <v>960.0</v>
      </c>
      <c r="I975" s="3" t="s">
        <v>110</v>
      </c>
      <c r="J975" s="3">
        <v>0.0</v>
      </c>
      <c r="K975" s="3">
        <v>0.0</v>
      </c>
      <c r="L975" s="3">
        <v>0.0</v>
      </c>
      <c r="M975" s="4" t="str">
        <f>Raw_Data!X975</f>
        <v>mw</v>
      </c>
      <c r="N975" s="3">
        <v>33.0</v>
      </c>
      <c r="O975" s="3">
        <v>44.663</v>
      </c>
      <c r="P975" s="3">
        <v>149.3</v>
      </c>
      <c r="Q975" s="3" t="s">
        <v>463</v>
      </c>
      <c r="R975" s="4"/>
      <c r="S975" s="4"/>
      <c r="T975" s="4" t="str">
        <f t="shared" si="2"/>
        <v>Valid</v>
      </c>
      <c r="U975" s="4">
        <f t="shared" si="3"/>
        <v>1</v>
      </c>
      <c r="V975" s="4" t="str">
        <f t="shared" si="4"/>
        <v>Unique</v>
      </c>
      <c r="W975" s="4" t="str">
        <f t="shared" si="5"/>
        <v>Unknown</v>
      </c>
      <c r="X975" s="4" t="str">
        <f t="shared" ref="X975:Z975" si="979">IF(Q975="","Unknown",Q975)</f>
        <v>Kuril’sk, Russia</v>
      </c>
      <c r="Y975" s="4" t="str">
        <f t="shared" si="979"/>
        <v>Unknown</v>
      </c>
      <c r="Z975" s="4" t="str">
        <f t="shared" si="979"/>
        <v>Unknown</v>
      </c>
      <c r="AA975" s="4" t="str">
        <f t="shared" si="7"/>
        <v>mw</v>
      </c>
    </row>
    <row r="976">
      <c r="A976" s="3" t="s">
        <v>2204</v>
      </c>
      <c r="B976" s="3">
        <v>7.2</v>
      </c>
      <c r="C976" s="19">
        <f>Raw_Data!T976</f>
        <v>35025.17708</v>
      </c>
      <c r="D976" s="3">
        <v>0.0</v>
      </c>
      <c r="E976" s="3">
        <v>9.0</v>
      </c>
      <c r="F976" s="4"/>
      <c r="G976" s="3">
        <v>0.0</v>
      </c>
      <c r="H976" s="3">
        <v>798.0</v>
      </c>
      <c r="I976" s="3" t="s">
        <v>110</v>
      </c>
      <c r="J976" s="3">
        <v>0.0</v>
      </c>
      <c r="K976" s="3">
        <v>0.0</v>
      </c>
      <c r="L976" s="3">
        <v>0.0</v>
      </c>
      <c r="M976" s="4" t="str">
        <f>Raw_Data!X976</f>
        <v>mw</v>
      </c>
      <c r="N976" s="3">
        <v>10.0</v>
      </c>
      <c r="O976" s="3">
        <v>28.826</v>
      </c>
      <c r="P976" s="3">
        <v>34.799</v>
      </c>
      <c r="Q976" s="3" t="s">
        <v>2206</v>
      </c>
      <c r="R976" s="3" t="s">
        <v>164</v>
      </c>
      <c r="S976" s="3" t="s">
        <v>2207</v>
      </c>
      <c r="T976" s="4" t="str">
        <f t="shared" si="2"/>
        <v>Valid</v>
      </c>
      <c r="U976" s="4">
        <f t="shared" si="3"/>
        <v>1</v>
      </c>
      <c r="V976" s="4" t="str">
        <f t="shared" si="4"/>
        <v>Unique</v>
      </c>
      <c r="W976" s="4" t="str">
        <f t="shared" si="5"/>
        <v>Unknown</v>
      </c>
      <c r="X976" s="4" t="str">
        <f t="shared" ref="X976:Z976" si="980">IF(Q976="","Unknown",Q976)</f>
        <v>Nuwaybi‘a, Egypt</v>
      </c>
      <c r="Y976" s="4" t="str">
        <f t="shared" si="980"/>
        <v>Asia</v>
      </c>
      <c r="Z976" s="4" t="str">
        <f t="shared" si="980"/>
        <v>Saudi Arabia</v>
      </c>
      <c r="AA976" s="4" t="str">
        <f t="shared" si="7"/>
        <v>mw</v>
      </c>
    </row>
    <row r="977">
      <c r="A977" s="3" t="s">
        <v>2208</v>
      </c>
      <c r="B977" s="3">
        <v>6.7</v>
      </c>
      <c r="C977" s="19">
        <f>Raw_Data!T977</f>
        <v>35004.02431</v>
      </c>
      <c r="D977" s="3">
        <v>0.0</v>
      </c>
      <c r="E977" s="3">
        <v>7.0</v>
      </c>
      <c r="F977" s="4"/>
      <c r="G977" s="3">
        <v>0.0</v>
      </c>
      <c r="H977" s="3">
        <v>691.0</v>
      </c>
      <c r="I977" s="3" t="s">
        <v>110</v>
      </c>
      <c r="J977" s="3">
        <v>0.0</v>
      </c>
      <c r="K977" s="3">
        <v>0.0</v>
      </c>
      <c r="L977" s="3">
        <v>0.0</v>
      </c>
      <c r="M977" s="4" t="str">
        <f>Raw_Data!X977</f>
        <v>mw</v>
      </c>
      <c r="N977" s="3">
        <v>19.9</v>
      </c>
      <c r="O977" s="3">
        <v>-28.906</v>
      </c>
      <c r="P977" s="3">
        <v>-71.417</v>
      </c>
      <c r="Q977" s="3" t="s">
        <v>412</v>
      </c>
      <c r="R977" s="4"/>
      <c r="S977" s="3" t="s">
        <v>414</v>
      </c>
      <c r="T977" s="4" t="str">
        <f t="shared" si="2"/>
        <v>Valid</v>
      </c>
      <c r="U977" s="4">
        <f t="shared" si="3"/>
        <v>1</v>
      </c>
      <c r="V977" s="4" t="str">
        <f t="shared" si="4"/>
        <v>Unique</v>
      </c>
      <c r="W977" s="4" t="str">
        <f t="shared" si="5"/>
        <v>Unknown</v>
      </c>
      <c r="X977" s="4" t="str">
        <f t="shared" ref="X977:Z977" si="981">IF(Q977="","Unknown",Q977)</f>
        <v>Vallenar, Chile</v>
      </c>
      <c r="Y977" s="4" t="str">
        <f t="shared" si="981"/>
        <v>Unknown</v>
      </c>
      <c r="Z977" s="4" t="str">
        <f t="shared" si="981"/>
        <v>Chile</v>
      </c>
      <c r="AA977" s="4" t="str">
        <f t="shared" si="7"/>
        <v>mw</v>
      </c>
    </row>
    <row r="978">
      <c r="A978" s="3" t="s">
        <v>2209</v>
      </c>
      <c r="B978" s="3">
        <v>7.2</v>
      </c>
      <c r="C978" s="19">
        <f>Raw_Data!T978</f>
        <v>34993.10972</v>
      </c>
      <c r="D978" s="3">
        <v>0.0</v>
      </c>
      <c r="E978" s="3">
        <v>6.0</v>
      </c>
      <c r="F978" s="4"/>
      <c r="G978" s="3">
        <v>0.0</v>
      </c>
      <c r="H978" s="3">
        <v>798.0</v>
      </c>
      <c r="I978" s="3" t="s">
        <v>110</v>
      </c>
      <c r="J978" s="3">
        <v>0.0</v>
      </c>
      <c r="K978" s="3">
        <v>0.0</v>
      </c>
      <c r="L978" s="3">
        <v>0.0</v>
      </c>
      <c r="M978" s="4" t="str">
        <f>Raw_Data!X978</f>
        <v>mw</v>
      </c>
      <c r="N978" s="3">
        <v>159.3</v>
      </c>
      <c r="O978" s="3">
        <v>16.84</v>
      </c>
      <c r="P978" s="3">
        <v>-93.469</v>
      </c>
      <c r="Q978" s="3" t="s">
        <v>2211</v>
      </c>
      <c r="R978" s="4"/>
      <c r="S978" s="3" t="s">
        <v>234</v>
      </c>
      <c r="T978" s="4" t="str">
        <f t="shared" si="2"/>
        <v>Valid</v>
      </c>
      <c r="U978" s="4">
        <f t="shared" si="3"/>
        <v>1</v>
      </c>
      <c r="V978" s="4" t="str">
        <f t="shared" si="4"/>
        <v>Unique</v>
      </c>
      <c r="W978" s="4" t="str">
        <f t="shared" si="5"/>
        <v>Unknown</v>
      </c>
      <c r="X978" s="4" t="str">
        <f t="shared" ref="X978:Z978" si="982">IF(Q978="","Unknown",Q978)</f>
        <v>Ocozocoautla de Espinosa, Mexico</v>
      </c>
      <c r="Y978" s="4" t="str">
        <f t="shared" si="982"/>
        <v>Unknown</v>
      </c>
      <c r="Z978" s="4" t="str">
        <f t="shared" si="982"/>
        <v>Mexico</v>
      </c>
      <c r="AA978" s="4" t="str">
        <f t="shared" si="7"/>
        <v>mw</v>
      </c>
    </row>
    <row r="979">
      <c r="A979" s="3" t="s">
        <v>2212</v>
      </c>
      <c r="B979" s="3">
        <v>6.8</v>
      </c>
      <c r="C979" s="19">
        <f>Raw_Data!T979</f>
        <v>34991.11181</v>
      </c>
      <c r="D979" s="3">
        <v>0.0</v>
      </c>
      <c r="E979" s="3">
        <v>6.0</v>
      </c>
      <c r="F979" s="4"/>
      <c r="G979" s="3">
        <v>0.0</v>
      </c>
      <c r="H979" s="3">
        <v>711.0</v>
      </c>
      <c r="I979" s="3" t="s">
        <v>110</v>
      </c>
      <c r="J979" s="3">
        <v>0.0</v>
      </c>
      <c r="K979" s="3">
        <v>0.0</v>
      </c>
      <c r="L979" s="3">
        <v>0.0</v>
      </c>
      <c r="M979" s="4" t="str">
        <f>Raw_Data!X979</f>
        <v>mw</v>
      </c>
      <c r="N979" s="3">
        <v>19.7</v>
      </c>
      <c r="O979" s="3">
        <v>28.094</v>
      </c>
      <c r="P979" s="3">
        <v>130.148</v>
      </c>
      <c r="Q979" s="3" t="s">
        <v>441</v>
      </c>
      <c r="R979" s="4"/>
      <c r="S979" s="4"/>
      <c r="T979" s="4" t="str">
        <f t="shared" si="2"/>
        <v>Valid</v>
      </c>
      <c r="U979" s="4">
        <f t="shared" si="3"/>
        <v>1</v>
      </c>
      <c r="V979" s="4" t="str">
        <f t="shared" si="4"/>
        <v>Unique</v>
      </c>
      <c r="W979" s="4" t="str">
        <f t="shared" si="5"/>
        <v>Unknown</v>
      </c>
      <c r="X979" s="4" t="str">
        <f t="shared" ref="X979:Z979" si="983">IF(Q979="","Unknown",Q979)</f>
        <v>Naze, Japan</v>
      </c>
      <c r="Y979" s="4" t="str">
        <f t="shared" si="983"/>
        <v>Unknown</v>
      </c>
      <c r="Z979" s="4" t="str">
        <f t="shared" si="983"/>
        <v>Unknown</v>
      </c>
      <c r="AA979" s="4" t="str">
        <f t="shared" si="7"/>
        <v>mw</v>
      </c>
    </row>
    <row r="980">
      <c r="A980" s="3" t="s">
        <v>2214</v>
      </c>
      <c r="B980" s="3">
        <v>7.1</v>
      </c>
      <c r="C980" s="19">
        <f>Raw_Data!T980</f>
        <v>34990.44236</v>
      </c>
      <c r="D980" s="3">
        <v>0.0</v>
      </c>
      <c r="E980" s="3">
        <v>6.0</v>
      </c>
      <c r="F980" s="4"/>
      <c r="G980" s="3">
        <v>0.0</v>
      </c>
      <c r="H980" s="3">
        <v>776.0</v>
      </c>
      <c r="I980" s="3" t="s">
        <v>110</v>
      </c>
      <c r="J980" s="3">
        <v>0.0</v>
      </c>
      <c r="K980" s="3">
        <v>0.0</v>
      </c>
      <c r="L980" s="3">
        <v>0.0</v>
      </c>
      <c r="M980" s="4" t="str">
        <f>Raw_Data!X980</f>
        <v>mw</v>
      </c>
      <c r="N980" s="3">
        <v>28.4</v>
      </c>
      <c r="O980" s="3">
        <v>27.929</v>
      </c>
      <c r="P980" s="3">
        <v>130.175</v>
      </c>
      <c r="Q980" s="3" t="s">
        <v>441</v>
      </c>
      <c r="R980" s="4"/>
      <c r="S980" s="4"/>
      <c r="T980" s="4" t="str">
        <f t="shared" si="2"/>
        <v>Valid</v>
      </c>
      <c r="U980" s="4">
        <f t="shared" si="3"/>
        <v>1</v>
      </c>
      <c r="V980" s="4" t="str">
        <f t="shared" si="4"/>
        <v>Unique</v>
      </c>
      <c r="W980" s="4" t="str">
        <f t="shared" si="5"/>
        <v>Unknown</v>
      </c>
      <c r="X980" s="4" t="str">
        <f t="shared" ref="X980:Z980" si="984">IF(Q980="","Unknown",Q980)</f>
        <v>Naze, Japan</v>
      </c>
      <c r="Y980" s="4" t="str">
        <f t="shared" si="984"/>
        <v>Unknown</v>
      </c>
      <c r="Z980" s="4" t="str">
        <f t="shared" si="984"/>
        <v>Unknown</v>
      </c>
      <c r="AA980" s="4" t="str">
        <f t="shared" si="7"/>
        <v>mw</v>
      </c>
    </row>
    <row r="981">
      <c r="A981" s="3" t="s">
        <v>2216</v>
      </c>
      <c r="B981" s="3">
        <v>8.0</v>
      </c>
      <c r="C981" s="19">
        <f>Raw_Data!T981</f>
        <v>34981.64931</v>
      </c>
      <c r="D981" s="3">
        <v>0.0</v>
      </c>
      <c r="E981" s="3">
        <v>8.0</v>
      </c>
      <c r="F981" s="4"/>
      <c r="G981" s="3">
        <v>0.0</v>
      </c>
      <c r="H981" s="3">
        <v>985.0</v>
      </c>
      <c r="I981" s="3" t="s">
        <v>110</v>
      </c>
      <c r="J981" s="3">
        <v>0.0</v>
      </c>
      <c r="K981" s="3">
        <v>0.0</v>
      </c>
      <c r="L981" s="3">
        <v>0.0</v>
      </c>
      <c r="M981" s="4" t="str">
        <f>Raw_Data!X981</f>
        <v>mw</v>
      </c>
      <c r="N981" s="3">
        <v>33.0</v>
      </c>
      <c r="O981" s="3">
        <v>19.055</v>
      </c>
      <c r="P981" s="3">
        <v>-104.205</v>
      </c>
      <c r="Q981" s="3" t="s">
        <v>2217</v>
      </c>
      <c r="R981" s="3" t="s">
        <v>233</v>
      </c>
      <c r="S981" s="3" t="s">
        <v>234</v>
      </c>
      <c r="T981" s="4" t="str">
        <f t="shared" si="2"/>
        <v>Valid</v>
      </c>
      <c r="U981" s="4">
        <f t="shared" si="3"/>
        <v>1</v>
      </c>
      <c r="V981" s="4" t="str">
        <f t="shared" si="4"/>
        <v>Unique</v>
      </c>
      <c r="W981" s="4" t="str">
        <f t="shared" si="5"/>
        <v>Unknown</v>
      </c>
      <c r="X981" s="4" t="str">
        <f t="shared" ref="X981:Z981" si="985">IF(Q981="","Unknown",Q981)</f>
        <v>El Colomo, Mexico</v>
      </c>
      <c r="Y981" s="4" t="str">
        <f t="shared" si="985"/>
        <v>North America</v>
      </c>
      <c r="Z981" s="4" t="str">
        <f t="shared" si="985"/>
        <v>Mexico</v>
      </c>
      <c r="AA981" s="4" t="str">
        <f t="shared" si="7"/>
        <v>mw</v>
      </c>
    </row>
    <row r="982">
      <c r="A982" s="3" t="s">
        <v>2218</v>
      </c>
      <c r="B982" s="3">
        <v>6.8</v>
      </c>
      <c r="C982" s="19">
        <f>Raw_Data!T982</f>
        <v>34978.75625</v>
      </c>
      <c r="D982" s="3">
        <v>0.0</v>
      </c>
      <c r="E982" s="3">
        <v>7.0</v>
      </c>
      <c r="F982" s="4"/>
      <c r="G982" s="3">
        <v>0.0</v>
      </c>
      <c r="H982" s="3">
        <v>711.0</v>
      </c>
      <c r="I982" s="3" t="s">
        <v>110</v>
      </c>
      <c r="J982" s="3">
        <v>0.0</v>
      </c>
      <c r="K982" s="3">
        <v>0.0</v>
      </c>
      <c r="L982" s="3">
        <v>0.0</v>
      </c>
      <c r="M982" s="4" t="str">
        <f>Raw_Data!X982</f>
        <v>mw</v>
      </c>
      <c r="N982" s="3">
        <v>33.0</v>
      </c>
      <c r="O982" s="3">
        <v>-2.045</v>
      </c>
      <c r="P982" s="3">
        <v>101.436</v>
      </c>
      <c r="Q982" s="3" t="s">
        <v>791</v>
      </c>
      <c r="R982" s="4"/>
      <c r="S982" s="3" t="s">
        <v>153</v>
      </c>
      <c r="T982" s="4" t="str">
        <f t="shared" si="2"/>
        <v>Valid</v>
      </c>
      <c r="U982" s="4">
        <f t="shared" si="3"/>
        <v>1</v>
      </c>
      <c r="V982" s="4" t="str">
        <f t="shared" si="4"/>
        <v>Unique</v>
      </c>
      <c r="W982" s="4" t="str">
        <f t="shared" si="5"/>
        <v>Unknown</v>
      </c>
      <c r="X982" s="4" t="str">
        <f t="shared" ref="X982:Z982" si="986">IF(Q982="","Unknown",Q982)</f>
        <v>Sungai Penuh, Indonesia</v>
      </c>
      <c r="Y982" s="4" t="str">
        <f t="shared" si="986"/>
        <v>Unknown</v>
      </c>
      <c r="Z982" s="4" t="str">
        <f t="shared" si="986"/>
        <v>Indonesia</v>
      </c>
      <c r="AA982" s="4" t="str">
        <f t="shared" si="7"/>
        <v>mw</v>
      </c>
    </row>
    <row r="983">
      <c r="A983" s="3" t="s">
        <v>2219</v>
      </c>
      <c r="B983" s="3">
        <v>6.5</v>
      </c>
      <c r="C983" s="19">
        <f>Raw_Data!T983</f>
        <v>34975.53056</v>
      </c>
      <c r="D983" s="3">
        <v>0.0</v>
      </c>
      <c r="E983" s="3">
        <v>7.0</v>
      </c>
      <c r="F983" s="4"/>
      <c r="G983" s="3">
        <v>0.0</v>
      </c>
      <c r="H983" s="3">
        <v>650.0</v>
      </c>
      <c r="I983" s="3" t="s">
        <v>110</v>
      </c>
      <c r="J983" s="3">
        <v>0.0</v>
      </c>
      <c r="K983" s="3">
        <v>0.0</v>
      </c>
      <c r="L983" s="3">
        <v>0.0</v>
      </c>
      <c r="M983" s="4" t="str">
        <f>Raw_Data!X983</f>
        <v>mw</v>
      </c>
      <c r="N983" s="3">
        <v>16.7</v>
      </c>
      <c r="O983" s="3">
        <v>-2.778</v>
      </c>
      <c r="P983" s="3">
        <v>-77.851</v>
      </c>
      <c r="Q983" s="3" t="s">
        <v>2220</v>
      </c>
      <c r="R983" s="3" t="s">
        <v>121</v>
      </c>
      <c r="S983" s="3" t="s">
        <v>179</v>
      </c>
      <c r="T983" s="4" t="str">
        <f t="shared" si="2"/>
        <v>Valid</v>
      </c>
      <c r="U983" s="4">
        <f t="shared" si="3"/>
        <v>1</v>
      </c>
      <c r="V983" s="4" t="str">
        <f t="shared" si="4"/>
        <v>Unique</v>
      </c>
      <c r="W983" s="4" t="str">
        <f t="shared" si="5"/>
        <v>Unknown</v>
      </c>
      <c r="X983" s="4" t="str">
        <f t="shared" ref="X983:Z983" si="987">IF(Q983="","Unknown",Q983)</f>
        <v>Sucúa, Ecuador</v>
      </c>
      <c r="Y983" s="4" t="str">
        <f t="shared" si="987"/>
        <v>South America</v>
      </c>
      <c r="Z983" s="4" t="str">
        <f t="shared" si="987"/>
        <v>Ecuador</v>
      </c>
      <c r="AA983" s="4" t="str">
        <f t="shared" si="7"/>
        <v>mw</v>
      </c>
    </row>
    <row r="984">
      <c r="A984" s="3" t="s">
        <v>2221</v>
      </c>
      <c r="B984" s="3">
        <v>7.0</v>
      </c>
      <c r="C984" s="19">
        <f>Raw_Data!T984</f>
        <v>34975.07708</v>
      </c>
      <c r="D984" s="3">
        <v>0.0</v>
      </c>
      <c r="E984" s="3">
        <v>7.0</v>
      </c>
      <c r="F984" s="4"/>
      <c r="G984" s="3">
        <v>0.0</v>
      </c>
      <c r="H984" s="3">
        <v>754.0</v>
      </c>
      <c r="I984" s="3" t="s">
        <v>110</v>
      </c>
      <c r="J984" s="3">
        <v>0.0</v>
      </c>
      <c r="K984" s="3">
        <v>0.0</v>
      </c>
      <c r="L984" s="3">
        <v>0.0</v>
      </c>
      <c r="M984" s="4" t="str">
        <f>Raw_Data!X984</f>
        <v>mw</v>
      </c>
      <c r="N984" s="3">
        <v>24.4</v>
      </c>
      <c r="O984" s="3">
        <v>-2.75</v>
      </c>
      <c r="P984" s="3">
        <v>-77.881</v>
      </c>
      <c r="Q984" s="3" t="s">
        <v>2220</v>
      </c>
      <c r="R984" s="3" t="s">
        <v>121</v>
      </c>
      <c r="S984" s="3" t="s">
        <v>179</v>
      </c>
      <c r="T984" s="4" t="str">
        <f t="shared" si="2"/>
        <v>Valid</v>
      </c>
      <c r="U984" s="4">
        <f t="shared" si="3"/>
        <v>1</v>
      </c>
      <c r="V984" s="4" t="str">
        <f t="shared" si="4"/>
        <v>Unique</v>
      </c>
      <c r="W984" s="4" t="str">
        <f t="shared" si="5"/>
        <v>Unknown</v>
      </c>
      <c r="X984" s="4" t="str">
        <f t="shared" ref="X984:Z984" si="988">IF(Q984="","Unknown",Q984)</f>
        <v>Sucúa, Ecuador</v>
      </c>
      <c r="Y984" s="4" t="str">
        <f t="shared" si="988"/>
        <v>South America</v>
      </c>
      <c r="Z984" s="4" t="str">
        <f t="shared" si="988"/>
        <v>Ecuador</v>
      </c>
      <c r="AA984" s="4" t="str">
        <f t="shared" si="7"/>
        <v>mw</v>
      </c>
    </row>
    <row r="985">
      <c r="A985" s="3" t="s">
        <v>2222</v>
      </c>
      <c r="B985" s="3">
        <v>6.5</v>
      </c>
      <c r="C985" s="19">
        <f>Raw_Data!T985</f>
        <v>34965.93819</v>
      </c>
      <c r="D985" s="3">
        <v>0.0</v>
      </c>
      <c r="E985" s="3">
        <v>5.0</v>
      </c>
      <c r="F985" s="4"/>
      <c r="G985" s="3">
        <v>0.0</v>
      </c>
      <c r="H985" s="3">
        <v>650.0</v>
      </c>
      <c r="I985" s="3" t="s">
        <v>110</v>
      </c>
      <c r="J985" s="3">
        <v>0.0</v>
      </c>
      <c r="K985" s="3">
        <v>0.0</v>
      </c>
      <c r="L985" s="3">
        <v>0.0</v>
      </c>
      <c r="M985" s="4" t="str">
        <f>Raw_Data!X985</f>
        <v>mwb</v>
      </c>
      <c r="N985" s="3">
        <v>59.9</v>
      </c>
      <c r="O985" s="3">
        <v>-10.68</v>
      </c>
      <c r="P985" s="3">
        <v>-78.581</v>
      </c>
      <c r="Q985" s="3" t="s">
        <v>2224</v>
      </c>
      <c r="R985" s="4"/>
      <c r="S985" s="3" t="s">
        <v>265</v>
      </c>
      <c r="T985" s="4" t="str">
        <f t="shared" si="2"/>
        <v>Valid</v>
      </c>
      <c r="U985" s="4">
        <f t="shared" si="3"/>
        <v>1</v>
      </c>
      <c r="V985" s="4" t="str">
        <f t="shared" si="4"/>
        <v>Unique</v>
      </c>
      <c r="W985" s="4" t="str">
        <f t="shared" si="5"/>
        <v>Unknown</v>
      </c>
      <c r="X985" s="4" t="str">
        <f t="shared" ref="X985:Z985" si="989">IF(Q985="","Unknown",Q985)</f>
        <v>Paramonga, Peru</v>
      </c>
      <c r="Y985" s="4" t="str">
        <f t="shared" si="989"/>
        <v>Unknown</v>
      </c>
      <c r="Z985" s="4" t="str">
        <f t="shared" si="989"/>
        <v>Peru</v>
      </c>
      <c r="AA985" s="4" t="str">
        <f t="shared" si="7"/>
        <v>mwb</v>
      </c>
    </row>
    <row r="986">
      <c r="A986" s="3" t="s">
        <v>2225</v>
      </c>
      <c r="B986" s="3">
        <v>7.4</v>
      </c>
      <c r="C986" s="19">
        <f>Raw_Data!T986</f>
        <v>34956.58611</v>
      </c>
      <c r="D986" s="3">
        <v>0.0</v>
      </c>
      <c r="E986" s="3">
        <v>7.0</v>
      </c>
      <c r="F986" s="4"/>
      <c r="G986" s="3">
        <v>0.0</v>
      </c>
      <c r="H986" s="3">
        <v>842.0</v>
      </c>
      <c r="I986" s="3" t="s">
        <v>110</v>
      </c>
      <c r="J986" s="3">
        <v>0.0</v>
      </c>
      <c r="K986" s="3">
        <v>0.0</v>
      </c>
      <c r="L986" s="3">
        <v>0.0</v>
      </c>
      <c r="M986" s="4" t="str">
        <f>Raw_Data!X986</f>
        <v>mwb</v>
      </c>
      <c r="N986" s="3">
        <v>23.0</v>
      </c>
      <c r="O986" s="3">
        <v>16.779</v>
      </c>
      <c r="P986" s="3">
        <v>-98.597</v>
      </c>
      <c r="Q986" s="3" t="s">
        <v>2227</v>
      </c>
      <c r="R986" s="3" t="s">
        <v>233</v>
      </c>
      <c r="S986" s="3" t="s">
        <v>234</v>
      </c>
      <c r="T986" s="4" t="str">
        <f t="shared" si="2"/>
        <v>Valid</v>
      </c>
      <c r="U986" s="4">
        <f t="shared" si="3"/>
        <v>1</v>
      </c>
      <c r="V986" s="4" t="str">
        <f t="shared" si="4"/>
        <v>Unique</v>
      </c>
      <c r="W986" s="4" t="str">
        <f t="shared" si="5"/>
        <v>Unknown</v>
      </c>
      <c r="X986" s="4" t="str">
        <f t="shared" ref="X986:Z986" si="990">IF(Q986="","Unknown",Q986)</f>
        <v>Azoyú, Mexico</v>
      </c>
      <c r="Y986" s="4" t="str">
        <f t="shared" si="990"/>
        <v>North America</v>
      </c>
      <c r="Z986" s="4" t="str">
        <f t="shared" si="990"/>
        <v>Mexico</v>
      </c>
      <c r="AA986" s="4" t="str">
        <f t="shared" si="7"/>
        <v>mwb</v>
      </c>
    </row>
    <row r="987">
      <c r="A987" s="3" t="s">
        <v>2228</v>
      </c>
      <c r="B987" s="3">
        <v>6.6</v>
      </c>
      <c r="C987" s="19">
        <f>Raw_Data!T987</f>
        <v>34939.44861</v>
      </c>
      <c r="D987" s="3">
        <v>0.0</v>
      </c>
      <c r="E987" s="3">
        <v>5.0</v>
      </c>
      <c r="F987" s="4"/>
      <c r="G987" s="3">
        <v>0.0</v>
      </c>
      <c r="H987" s="3">
        <v>670.0</v>
      </c>
      <c r="I987" s="3" t="s">
        <v>110</v>
      </c>
      <c r="J987" s="3">
        <v>0.0</v>
      </c>
      <c r="K987" s="3">
        <v>0.0</v>
      </c>
      <c r="L987" s="3">
        <v>0.0</v>
      </c>
      <c r="M987" s="4" t="str">
        <f>Raw_Data!X987</f>
        <v>mwb</v>
      </c>
      <c r="N987" s="3">
        <v>12.2</v>
      </c>
      <c r="O987" s="3">
        <v>26.092</v>
      </c>
      <c r="P987" s="3">
        <v>-110.284</v>
      </c>
      <c r="Q987" s="3" t="s">
        <v>1052</v>
      </c>
      <c r="R987" s="4"/>
      <c r="S987" s="4"/>
      <c r="T987" s="4" t="str">
        <f t="shared" si="2"/>
        <v>Valid</v>
      </c>
      <c r="U987" s="4">
        <f t="shared" si="3"/>
        <v>1</v>
      </c>
      <c r="V987" s="4" t="str">
        <f t="shared" si="4"/>
        <v>Unique</v>
      </c>
      <c r="W987" s="4" t="str">
        <f t="shared" si="5"/>
        <v>Unknown</v>
      </c>
      <c r="X987" s="4" t="str">
        <f t="shared" ref="X987:Z987" si="991">IF(Q987="","Unknown",Q987)</f>
        <v>Etchoropo, Mexico</v>
      </c>
      <c r="Y987" s="4" t="str">
        <f t="shared" si="991"/>
        <v>Unknown</v>
      </c>
      <c r="Z987" s="4" t="str">
        <f t="shared" si="991"/>
        <v>Unknown</v>
      </c>
      <c r="AA987" s="4" t="str">
        <f t="shared" si="7"/>
        <v>mwb</v>
      </c>
    </row>
    <row r="988">
      <c r="A988" s="3" t="s">
        <v>2230</v>
      </c>
      <c r="B988" s="3">
        <v>6.6</v>
      </c>
      <c r="C988" s="19">
        <f>Raw_Data!T988</f>
        <v>34930.90486</v>
      </c>
      <c r="D988" s="3">
        <v>0.0</v>
      </c>
      <c r="E988" s="3">
        <v>6.0</v>
      </c>
      <c r="F988" s="4"/>
      <c r="G988" s="3">
        <v>0.0</v>
      </c>
      <c r="H988" s="3">
        <v>670.0</v>
      </c>
      <c r="I988" s="3" t="s">
        <v>110</v>
      </c>
      <c r="J988" s="3">
        <v>0.0</v>
      </c>
      <c r="K988" s="3">
        <v>0.0</v>
      </c>
      <c r="L988" s="3">
        <v>0.0</v>
      </c>
      <c r="M988" s="4" t="str">
        <f>Raw_Data!X988</f>
        <v>mw</v>
      </c>
      <c r="N988" s="3">
        <v>119.6</v>
      </c>
      <c r="O988" s="3">
        <v>5.139</v>
      </c>
      <c r="P988" s="3">
        <v>-75.577</v>
      </c>
      <c r="Q988" s="3" t="s">
        <v>2232</v>
      </c>
      <c r="R988" s="3" t="s">
        <v>121</v>
      </c>
      <c r="S988" s="3" t="s">
        <v>140</v>
      </c>
      <c r="T988" s="4" t="str">
        <f t="shared" si="2"/>
        <v>Valid</v>
      </c>
      <c r="U988" s="4">
        <f t="shared" si="3"/>
        <v>1</v>
      </c>
      <c r="V988" s="4" t="str">
        <f t="shared" si="4"/>
        <v>Unique</v>
      </c>
      <c r="W988" s="4" t="str">
        <f t="shared" si="5"/>
        <v>Unknown</v>
      </c>
      <c r="X988" s="4" t="str">
        <f t="shared" ref="X988:Z988" si="992">IF(Q988="","Unknown",Q988)</f>
        <v>Neira, Colombia</v>
      </c>
      <c r="Y988" s="4" t="str">
        <f t="shared" si="992"/>
        <v>South America</v>
      </c>
      <c r="Z988" s="4" t="str">
        <f t="shared" si="992"/>
        <v>Colombia</v>
      </c>
      <c r="AA988" s="4" t="str">
        <f t="shared" si="7"/>
        <v>mw</v>
      </c>
    </row>
    <row r="989">
      <c r="A989" s="3" t="s">
        <v>2233</v>
      </c>
      <c r="B989" s="3">
        <v>7.2</v>
      </c>
      <c r="C989" s="19">
        <f>Raw_Data!T989</f>
        <v>34927.96528</v>
      </c>
      <c r="D989" s="3">
        <v>0.0</v>
      </c>
      <c r="E989" s="3">
        <v>6.0</v>
      </c>
      <c r="F989" s="4"/>
      <c r="G989" s="3">
        <v>0.0</v>
      </c>
      <c r="H989" s="3">
        <v>798.0</v>
      </c>
      <c r="I989" s="3" t="s">
        <v>110</v>
      </c>
      <c r="J989" s="3">
        <v>0.0</v>
      </c>
      <c r="K989" s="3">
        <v>0.0</v>
      </c>
      <c r="L989" s="3">
        <v>0.0</v>
      </c>
      <c r="M989" s="4" t="str">
        <f>Raw_Data!X989</f>
        <v>mw</v>
      </c>
      <c r="N989" s="3">
        <v>33.0</v>
      </c>
      <c r="O989" s="3">
        <v>-5.771</v>
      </c>
      <c r="P989" s="3">
        <v>154.347</v>
      </c>
      <c r="Q989" s="3" t="s">
        <v>728</v>
      </c>
      <c r="R989" s="4"/>
      <c r="S989" s="4"/>
      <c r="T989" s="4" t="str">
        <f t="shared" si="2"/>
        <v>Valid</v>
      </c>
      <c r="U989" s="4">
        <f t="shared" si="3"/>
        <v>1</v>
      </c>
      <c r="V989" s="4" t="str">
        <f t="shared" si="4"/>
        <v>Unique</v>
      </c>
      <c r="W989" s="4" t="str">
        <f t="shared" si="5"/>
        <v>Unknown</v>
      </c>
      <c r="X989" s="4" t="str">
        <f t="shared" ref="X989:Z989" si="993">IF(Q989="","Unknown",Q989)</f>
        <v>Panguna, Papua New Guinea</v>
      </c>
      <c r="Y989" s="4" t="str">
        <f t="shared" si="993"/>
        <v>Unknown</v>
      </c>
      <c r="Z989" s="4" t="str">
        <f t="shared" si="993"/>
        <v>Unknown</v>
      </c>
      <c r="AA989" s="4" t="str">
        <f t="shared" si="7"/>
        <v>mw</v>
      </c>
    </row>
    <row r="990">
      <c r="A990" s="3" t="s">
        <v>2235</v>
      </c>
      <c r="B990" s="3">
        <v>6.6</v>
      </c>
      <c r="C990" s="19">
        <f>Raw_Data!T990</f>
        <v>34927.68333</v>
      </c>
      <c r="D990" s="3">
        <v>0.0</v>
      </c>
      <c r="E990" s="3">
        <v>4.0</v>
      </c>
      <c r="F990" s="4"/>
      <c r="G990" s="3">
        <v>0.0</v>
      </c>
      <c r="H990" s="3">
        <v>670.0</v>
      </c>
      <c r="I990" s="3" t="s">
        <v>110</v>
      </c>
      <c r="J990" s="3">
        <v>0.0</v>
      </c>
      <c r="K990" s="3">
        <v>0.0</v>
      </c>
      <c r="L990" s="3">
        <v>0.0</v>
      </c>
      <c r="M990" s="4" t="str">
        <f>Raw_Data!X990</f>
        <v>mw</v>
      </c>
      <c r="N990" s="3">
        <v>18.7</v>
      </c>
      <c r="O990" s="3">
        <v>-5.429</v>
      </c>
      <c r="P990" s="3">
        <v>153.773</v>
      </c>
      <c r="Q990" s="3" t="s">
        <v>633</v>
      </c>
      <c r="R990" s="4"/>
      <c r="S990" s="4"/>
      <c r="T990" s="4" t="str">
        <f t="shared" si="2"/>
        <v>Valid</v>
      </c>
      <c r="U990" s="4">
        <f t="shared" si="3"/>
        <v>1</v>
      </c>
      <c r="V990" s="4" t="str">
        <f t="shared" si="4"/>
        <v>Unique</v>
      </c>
      <c r="W990" s="4" t="str">
        <f t="shared" si="5"/>
        <v>Unknown</v>
      </c>
      <c r="X990" s="4" t="str">
        <f t="shared" ref="X990:Z990" si="994">IF(Q990="","Unknown",Q990)</f>
        <v>Kokopo, Papua New Guinea</v>
      </c>
      <c r="Y990" s="4" t="str">
        <f t="shared" si="994"/>
        <v>Unknown</v>
      </c>
      <c r="Z990" s="4" t="str">
        <f t="shared" si="994"/>
        <v>Unknown</v>
      </c>
      <c r="AA990" s="4" t="str">
        <f t="shared" si="7"/>
        <v>mw</v>
      </c>
    </row>
    <row r="991">
      <c r="A991" s="3" t="s">
        <v>2237</v>
      </c>
      <c r="B991" s="3">
        <v>7.7</v>
      </c>
      <c r="C991" s="19">
        <f>Raw_Data!T991</f>
        <v>34927.43542</v>
      </c>
      <c r="D991" s="3">
        <v>0.0</v>
      </c>
      <c r="E991" s="3">
        <v>6.0</v>
      </c>
      <c r="F991" s="4"/>
      <c r="G991" s="3">
        <v>0.0</v>
      </c>
      <c r="H991" s="3">
        <v>912.0</v>
      </c>
      <c r="I991" s="3" t="s">
        <v>110</v>
      </c>
      <c r="J991" s="3">
        <v>0.0</v>
      </c>
      <c r="K991" s="3">
        <v>0.0</v>
      </c>
      <c r="L991" s="3">
        <v>0.0</v>
      </c>
      <c r="M991" s="4" t="str">
        <f>Raw_Data!X991</f>
        <v>mw</v>
      </c>
      <c r="N991" s="3">
        <v>30.1</v>
      </c>
      <c r="O991" s="3">
        <v>-5.799</v>
      </c>
      <c r="P991" s="3">
        <v>154.178</v>
      </c>
      <c r="Q991" s="3" t="s">
        <v>728</v>
      </c>
      <c r="R991" s="4"/>
      <c r="S991" s="4"/>
      <c r="T991" s="4" t="str">
        <f t="shared" si="2"/>
        <v>Valid</v>
      </c>
      <c r="U991" s="4">
        <f t="shared" si="3"/>
        <v>1</v>
      </c>
      <c r="V991" s="4" t="str">
        <f t="shared" si="4"/>
        <v>Unique</v>
      </c>
      <c r="W991" s="4" t="str">
        <f t="shared" si="5"/>
        <v>Unknown</v>
      </c>
      <c r="X991" s="4" t="str">
        <f t="shared" ref="X991:Z991" si="995">IF(Q991="","Unknown",Q991)</f>
        <v>Panguna, Papua New Guinea</v>
      </c>
      <c r="Y991" s="4" t="str">
        <f t="shared" si="995"/>
        <v>Unknown</v>
      </c>
      <c r="Z991" s="4" t="str">
        <f t="shared" si="995"/>
        <v>Unknown</v>
      </c>
      <c r="AA991" s="4" t="str">
        <f t="shared" si="7"/>
        <v>mw</v>
      </c>
    </row>
    <row r="992">
      <c r="A992" s="3" t="s">
        <v>2239</v>
      </c>
      <c r="B992" s="3">
        <v>6.7</v>
      </c>
      <c r="C992" s="19">
        <f>Raw_Data!T992</f>
        <v>34925.19236</v>
      </c>
      <c r="D992" s="3">
        <v>0.0</v>
      </c>
      <c r="E992" s="3">
        <v>6.0</v>
      </c>
      <c r="F992" s="4"/>
      <c r="G992" s="3">
        <v>0.0</v>
      </c>
      <c r="H992" s="3">
        <v>691.0</v>
      </c>
      <c r="I992" s="3" t="s">
        <v>110</v>
      </c>
      <c r="J992" s="3">
        <v>0.0</v>
      </c>
      <c r="K992" s="3">
        <v>0.0</v>
      </c>
      <c r="L992" s="3">
        <v>0.0</v>
      </c>
      <c r="M992" s="4" t="str">
        <f>Raw_Data!X992</f>
        <v>mw</v>
      </c>
      <c r="N992" s="3">
        <v>127.9</v>
      </c>
      <c r="O992" s="3">
        <v>-4.836</v>
      </c>
      <c r="P992" s="3">
        <v>151.515</v>
      </c>
      <c r="Q992" s="3" t="s">
        <v>633</v>
      </c>
      <c r="R992" s="4"/>
      <c r="S992" s="3" t="s">
        <v>168</v>
      </c>
      <c r="T992" s="4" t="str">
        <f t="shared" si="2"/>
        <v>Valid</v>
      </c>
      <c r="U992" s="4">
        <f t="shared" si="3"/>
        <v>1</v>
      </c>
      <c r="V992" s="4" t="str">
        <f t="shared" si="4"/>
        <v>Unique</v>
      </c>
      <c r="W992" s="4" t="str">
        <f t="shared" si="5"/>
        <v>Unknown</v>
      </c>
      <c r="X992" s="4" t="str">
        <f t="shared" ref="X992:Z992" si="996">IF(Q992="","Unknown",Q992)</f>
        <v>Kokopo, Papua New Guinea</v>
      </c>
      <c r="Y992" s="4" t="str">
        <f t="shared" si="996"/>
        <v>Unknown</v>
      </c>
      <c r="Z992" s="4" t="str">
        <f t="shared" si="996"/>
        <v>Papua New Guinea</v>
      </c>
      <c r="AA992" s="4" t="str">
        <f t="shared" si="7"/>
        <v>mw</v>
      </c>
    </row>
    <row r="993">
      <c r="A993" s="3" t="s">
        <v>2241</v>
      </c>
      <c r="B993" s="3">
        <v>8.0</v>
      </c>
      <c r="C993" s="19">
        <f>Raw_Data!T993</f>
        <v>34910.21597</v>
      </c>
      <c r="D993" s="3">
        <v>0.0</v>
      </c>
      <c r="E993" s="3">
        <v>8.0</v>
      </c>
      <c r="F993" s="4"/>
      <c r="G993" s="3">
        <v>0.0</v>
      </c>
      <c r="H993" s="3">
        <v>985.0</v>
      </c>
      <c r="I993" s="3" t="s">
        <v>110</v>
      </c>
      <c r="J993" s="3">
        <v>0.0</v>
      </c>
      <c r="K993" s="3">
        <v>0.0</v>
      </c>
      <c r="L993" s="3">
        <v>0.0</v>
      </c>
      <c r="M993" s="4" t="str">
        <f>Raw_Data!X993</f>
        <v>mw</v>
      </c>
      <c r="N993" s="3">
        <v>45.6</v>
      </c>
      <c r="O993" s="3">
        <v>-23.34</v>
      </c>
      <c r="P993" s="3">
        <v>-70.294</v>
      </c>
      <c r="Q993" s="3" t="s">
        <v>1468</v>
      </c>
      <c r="R993" s="3" t="s">
        <v>121</v>
      </c>
      <c r="S993" s="3" t="s">
        <v>414</v>
      </c>
      <c r="T993" s="4" t="str">
        <f t="shared" si="2"/>
        <v>Valid</v>
      </c>
      <c r="U993" s="4">
        <f t="shared" si="3"/>
        <v>1</v>
      </c>
      <c r="V993" s="4" t="str">
        <f t="shared" si="4"/>
        <v>Unique</v>
      </c>
      <c r="W993" s="4" t="str">
        <f t="shared" si="5"/>
        <v>Unknown</v>
      </c>
      <c r="X993" s="4" t="str">
        <f t="shared" ref="X993:Z993" si="997">IF(Q993="","Unknown",Q993)</f>
        <v>Ant</v>
      </c>
      <c r="Y993" s="4" t="str">
        <f t="shared" si="997"/>
        <v>South America</v>
      </c>
      <c r="Z993" s="4" t="str">
        <f t="shared" si="997"/>
        <v>Chile</v>
      </c>
      <c r="AA993" s="4" t="str">
        <f t="shared" si="7"/>
        <v>mw</v>
      </c>
    </row>
    <row r="994">
      <c r="A994" s="3" t="s">
        <v>2243</v>
      </c>
      <c r="B994" s="3">
        <v>6.8</v>
      </c>
      <c r="C994" s="19">
        <f>Raw_Data!T994</f>
        <v>34891.90694</v>
      </c>
      <c r="D994" s="3">
        <v>0.0</v>
      </c>
      <c r="E994" s="3">
        <v>8.0</v>
      </c>
      <c r="F994" s="4"/>
      <c r="G994" s="3">
        <v>0.0</v>
      </c>
      <c r="H994" s="3">
        <v>711.0</v>
      </c>
      <c r="I994" s="3" t="s">
        <v>110</v>
      </c>
      <c r="J994" s="3">
        <v>0.0</v>
      </c>
      <c r="K994" s="3">
        <v>0.0</v>
      </c>
      <c r="L994" s="3">
        <v>0.0</v>
      </c>
      <c r="M994" s="4" t="str">
        <f>Raw_Data!X994</f>
        <v>mw</v>
      </c>
      <c r="N994" s="3">
        <v>12.5</v>
      </c>
      <c r="O994" s="3">
        <v>21.966</v>
      </c>
      <c r="P994" s="3">
        <v>99.196</v>
      </c>
      <c r="Q994" s="3" t="s">
        <v>2244</v>
      </c>
      <c r="R994" s="3" t="s">
        <v>164</v>
      </c>
      <c r="S994" s="3" t="s">
        <v>785</v>
      </c>
      <c r="T994" s="4" t="str">
        <f t="shared" si="2"/>
        <v>Valid</v>
      </c>
      <c r="U994" s="4">
        <f t="shared" si="3"/>
        <v>1</v>
      </c>
      <c r="V994" s="4" t="str">
        <f t="shared" si="4"/>
        <v>Unique</v>
      </c>
      <c r="W994" s="4" t="str">
        <f t="shared" si="5"/>
        <v>Unknown</v>
      </c>
      <c r="X994" s="4" t="str">
        <f t="shared" ref="X994:Z994" si="998">IF(Q994="","Unknown",Q994)</f>
        <v>Jinghong, China</v>
      </c>
      <c r="Y994" s="4" t="str">
        <f t="shared" si="998"/>
        <v>Asia</v>
      </c>
      <c r="Z994" s="4" t="str">
        <f t="shared" si="998"/>
        <v>Myanmar</v>
      </c>
      <c r="AA994" s="4" t="str">
        <f t="shared" si="7"/>
        <v>mw</v>
      </c>
    </row>
    <row r="995">
      <c r="A995" s="3" t="s">
        <v>2245</v>
      </c>
      <c r="B995" s="3">
        <v>6.6</v>
      </c>
      <c r="C995" s="19">
        <f>Raw_Data!T995</f>
        <v>34879.51667</v>
      </c>
      <c r="D995" s="3">
        <v>0.0</v>
      </c>
      <c r="E995" s="3">
        <v>5.0</v>
      </c>
      <c r="F995" s="4"/>
      <c r="G995" s="3">
        <v>0.0</v>
      </c>
      <c r="H995" s="3">
        <v>670.0</v>
      </c>
      <c r="I995" s="3" t="s">
        <v>110</v>
      </c>
      <c r="J995" s="3">
        <v>0.0</v>
      </c>
      <c r="K995" s="3">
        <v>0.0</v>
      </c>
      <c r="L995" s="3">
        <v>0.0</v>
      </c>
      <c r="M995" s="4" t="str">
        <f>Raw_Data!X995</f>
        <v>mw</v>
      </c>
      <c r="N995" s="3">
        <v>139.4</v>
      </c>
      <c r="O995" s="3">
        <v>-19.544</v>
      </c>
      <c r="P995" s="3">
        <v>169.287</v>
      </c>
      <c r="Q995" s="3" t="s">
        <v>246</v>
      </c>
      <c r="R995" s="4"/>
      <c r="S995" s="3" t="s">
        <v>113</v>
      </c>
      <c r="T995" s="4" t="str">
        <f t="shared" si="2"/>
        <v>Valid</v>
      </c>
      <c r="U995" s="4">
        <f t="shared" si="3"/>
        <v>1</v>
      </c>
      <c r="V995" s="4" t="str">
        <f t="shared" si="4"/>
        <v>Unique</v>
      </c>
      <c r="W995" s="4" t="str">
        <f t="shared" si="5"/>
        <v>Unknown</v>
      </c>
      <c r="X995" s="4" t="str">
        <f t="shared" ref="X995:Z995" si="999">IF(Q995="","Unknown",Q995)</f>
        <v>Isangel, Vanuatu</v>
      </c>
      <c r="Y995" s="4" t="str">
        <f t="shared" si="999"/>
        <v>Unknown</v>
      </c>
      <c r="Z995" s="4" t="str">
        <f t="shared" si="999"/>
        <v>Vanuatu</v>
      </c>
      <c r="AA995" s="4" t="str">
        <f t="shared" si="7"/>
        <v>mw</v>
      </c>
    </row>
    <row r="996">
      <c r="A996" s="3" t="s">
        <v>2247</v>
      </c>
      <c r="B996" s="3">
        <v>6.5</v>
      </c>
      <c r="C996" s="19">
        <f>Raw_Data!T996</f>
        <v>34865.01042</v>
      </c>
      <c r="D996" s="3">
        <v>0.0</v>
      </c>
      <c r="E996" s="3">
        <v>7.0</v>
      </c>
      <c r="F996" s="4"/>
      <c r="G996" s="3">
        <v>0.0</v>
      </c>
      <c r="H996" s="3">
        <v>650.0</v>
      </c>
      <c r="I996" s="3" t="s">
        <v>110</v>
      </c>
      <c r="J996" s="3">
        <v>0.0</v>
      </c>
      <c r="K996" s="3">
        <v>0.0</v>
      </c>
      <c r="L996" s="3">
        <v>0.0</v>
      </c>
      <c r="M996" s="4" t="str">
        <f>Raw_Data!X996</f>
        <v>mw</v>
      </c>
      <c r="N996" s="3">
        <v>14.2</v>
      </c>
      <c r="O996" s="3">
        <v>38.401</v>
      </c>
      <c r="P996" s="3">
        <v>22.283</v>
      </c>
      <c r="Q996" s="3" t="s">
        <v>2249</v>
      </c>
      <c r="R996" s="3" t="s">
        <v>404</v>
      </c>
      <c r="S996" s="3" t="s">
        <v>405</v>
      </c>
      <c r="T996" s="4" t="str">
        <f t="shared" si="2"/>
        <v>Valid</v>
      </c>
      <c r="U996" s="4">
        <f t="shared" si="3"/>
        <v>1</v>
      </c>
      <c r="V996" s="4" t="str">
        <f t="shared" si="4"/>
        <v>Unique</v>
      </c>
      <c r="W996" s="4" t="str">
        <f t="shared" si="5"/>
        <v>Unknown</v>
      </c>
      <c r="X996" s="4" t="str">
        <f t="shared" ref="X996:Z996" si="1000">IF(Q996="","Unknown",Q996)</f>
        <v>Galaxídhion, Greece</v>
      </c>
      <c r="Y996" s="4" t="str">
        <f t="shared" si="1000"/>
        <v>Europe</v>
      </c>
      <c r="Z996" s="4" t="str">
        <f t="shared" si="1000"/>
        <v>Greece</v>
      </c>
      <c r="AA996" s="4" t="str">
        <f t="shared" si="7"/>
        <v>mw</v>
      </c>
    </row>
    <row r="997">
      <c r="A997" s="3" t="s">
        <v>2250</v>
      </c>
      <c r="B997" s="3">
        <v>7.1</v>
      </c>
      <c r="C997" s="19">
        <f>Raw_Data!T997</f>
        <v>34846.54375</v>
      </c>
      <c r="D997" s="3">
        <v>0.0</v>
      </c>
      <c r="E997" s="3">
        <v>9.0</v>
      </c>
      <c r="F997" s="4"/>
      <c r="G997" s="3">
        <v>0.0</v>
      </c>
      <c r="H997" s="3">
        <v>776.0</v>
      </c>
      <c r="I997" s="3" t="s">
        <v>110</v>
      </c>
      <c r="J997" s="3">
        <v>0.0</v>
      </c>
      <c r="K997" s="3">
        <v>0.0</v>
      </c>
      <c r="L997" s="3">
        <v>0.0</v>
      </c>
      <c r="M997" s="4" t="str">
        <f>Raw_Data!X997</f>
        <v>mwb</v>
      </c>
      <c r="N997" s="3">
        <v>11.0</v>
      </c>
      <c r="O997" s="3">
        <v>52.629</v>
      </c>
      <c r="P997" s="3">
        <v>142.827</v>
      </c>
      <c r="Q997" s="3" t="s">
        <v>2252</v>
      </c>
      <c r="R997" s="3" t="s">
        <v>164</v>
      </c>
      <c r="S997" s="3" t="s">
        <v>464</v>
      </c>
      <c r="T997" s="4" t="str">
        <f t="shared" si="2"/>
        <v>Valid</v>
      </c>
      <c r="U997" s="4">
        <f t="shared" si="3"/>
        <v>1</v>
      </c>
      <c r="V997" s="4" t="str">
        <f t="shared" si="4"/>
        <v>Unique</v>
      </c>
      <c r="W997" s="4" t="str">
        <f t="shared" si="5"/>
        <v>Unknown</v>
      </c>
      <c r="X997" s="4" t="str">
        <f t="shared" ref="X997:Z997" si="1001">IF(Q997="","Unknown",Q997)</f>
        <v>Tungor, Russia</v>
      </c>
      <c r="Y997" s="4" t="str">
        <f t="shared" si="1001"/>
        <v>Asia</v>
      </c>
      <c r="Z997" s="4" t="str">
        <f t="shared" si="1001"/>
        <v>Russia</v>
      </c>
      <c r="AA997" s="4" t="str">
        <f t="shared" si="7"/>
        <v>mwb</v>
      </c>
    </row>
    <row r="998">
      <c r="A998" s="3" t="s">
        <v>2253</v>
      </c>
      <c r="B998" s="3">
        <v>7.7</v>
      </c>
      <c r="C998" s="19">
        <f>Raw_Data!T998</f>
        <v>34835.84167</v>
      </c>
      <c r="D998" s="3">
        <v>0.0</v>
      </c>
      <c r="E998" s="3">
        <v>4.0</v>
      </c>
      <c r="F998" s="4"/>
      <c r="G998" s="3">
        <v>0.0</v>
      </c>
      <c r="H998" s="3">
        <v>912.0</v>
      </c>
      <c r="I998" s="3" t="s">
        <v>110</v>
      </c>
      <c r="J998" s="3">
        <v>0.0</v>
      </c>
      <c r="K998" s="3">
        <v>0.0</v>
      </c>
      <c r="L998" s="3">
        <v>0.0</v>
      </c>
      <c r="M998" s="4" t="str">
        <f>Raw_Data!X998</f>
        <v>mw</v>
      </c>
      <c r="N998" s="3">
        <v>20.2</v>
      </c>
      <c r="O998" s="3">
        <v>-23.008</v>
      </c>
      <c r="P998" s="3">
        <v>169.9</v>
      </c>
      <c r="Q998" s="3" t="s">
        <v>2255</v>
      </c>
      <c r="R998" s="4"/>
      <c r="S998" s="4"/>
      <c r="T998" s="4" t="str">
        <f t="shared" si="2"/>
        <v>Valid</v>
      </c>
      <c r="U998" s="4">
        <f t="shared" si="3"/>
        <v>1</v>
      </c>
      <c r="V998" s="4" t="str">
        <f t="shared" si="4"/>
        <v>Unique</v>
      </c>
      <c r="W998" s="4" t="str">
        <f t="shared" si="5"/>
        <v>Unknown</v>
      </c>
      <c r="X998" s="4" t="str">
        <f t="shared" ref="X998:Z998" si="1002">IF(Q998="","Unknown",Q998)</f>
        <v>Vao, New Caledonia</v>
      </c>
      <c r="Y998" s="4" t="str">
        <f t="shared" si="1002"/>
        <v>Unknown</v>
      </c>
      <c r="Z998" s="4" t="str">
        <f t="shared" si="1002"/>
        <v>Unknown</v>
      </c>
      <c r="AA998" s="4" t="str">
        <f t="shared" si="7"/>
        <v>mw</v>
      </c>
    </row>
    <row r="999">
      <c r="A999" s="3" t="s">
        <v>2256</v>
      </c>
      <c r="B999" s="3">
        <v>6.9</v>
      </c>
      <c r="C999" s="19">
        <f>Raw_Data!T999</f>
        <v>34833.48125</v>
      </c>
      <c r="D999" s="3">
        <v>0.0</v>
      </c>
      <c r="E999" s="3">
        <v>6.0</v>
      </c>
      <c r="F999" s="4"/>
      <c r="G999" s="3">
        <v>0.0</v>
      </c>
      <c r="H999" s="3">
        <v>732.0</v>
      </c>
      <c r="I999" s="3" t="s">
        <v>110</v>
      </c>
      <c r="J999" s="3">
        <v>0.0</v>
      </c>
      <c r="K999" s="3">
        <v>0.0</v>
      </c>
      <c r="L999" s="3">
        <v>0.0</v>
      </c>
      <c r="M999" s="4" t="str">
        <f>Raw_Data!X999</f>
        <v>mw</v>
      </c>
      <c r="N999" s="3">
        <v>11.2</v>
      </c>
      <c r="O999" s="3">
        <v>-8.378</v>
      </c>
      <c r="P999" s="3">
        <v>125.127</v>
      </c>
      <c r="Q999" s="3" t="s">
        <v>864</v>
      </c>
      <c r="R999" s="4"/>
      <c r="S999" s="3" t="s">
        <v>153</v>
      </c>
      <c r="T999" s="4" t="str">
        <f t="shared" si="2"/>
        <v>Valid</v>
      </c>
      <c r="U999" s="4">
        <f t="shared" si="3"/>
        <v>1</v>
      </c>
      <c r="V999" s="4" t="str">
        <f t="shared" si="4"/>
        <v>Unique</v>
      </c>
      <c r="W999" s="4" t="str">
        <f t="shared" si="5"/>
        <v>Unknown</v>
      </c>
      <c r="X999" s="4" t="str">
        <f t="shared" ref="X999:Z999" si="1003">IF(Q999="","Unknown",Q999)</f>
        <v>Maubara, Timor Leste</v>
      </c>
      <c r="Y999" s="4" t="str">
        <f t="shared" si="1003"/>
        <v>Unknown</v>
      </c>
      <c r="Z999" s="4" t="str">
        <f t="shared" si="1003"/>
        <v>Indonesia</v>
      </c>
      <c r="AA999" s="4" t="str">
        <f t="shared" si="7"/>
        <v>mw</v>
      </c>
    </row>
    <row r="1000">
      <c r="A1000" s="3" t="s">
        <v>2258</v>
      </c>
      <c r="B1000" s="3">
        <v>6.6</v>
      </c>
      <c r="C1000" s="19">
        <f>Raw_Data!T1000</f>
        <v>34832.36597</v>
      </c>
      <c r="D1000" s="3">
        <v>0.0</v>
      </c>
      <c r="E1000" s="3">
        <v>9.0</v>
      </c>
      <c r="F1000" s="4"/>
      <c r="G1000" s="3">
        <v>0.0</v>
      </c>
      <c r="H1000" s="3">
        <v>670.0</v>
      </c>
      <c r="I1000" s="3" t="s">
        <v>110</v>
      </c>
      <c r="J1000" s="3">
        <v>0.0</v>
      </c>
      <c r="K1000" s="3">
        <v>0.0</v>
      </c>
      <c r="L1000" s="3">
        <v>0.0</v>
      </c>
      <c r="M1000" s="4" t="str">
        <f>Raw_Data!X1000</f>
        <v>mw</v>
      </c>
      <c r="N1000" s="3">
        <v>14.0</v>
      </c>
      <c r="O1000" s="3">
        <v>40.149</v>
      </c>
      <c r="P1000" s="3">
        <v>21.695</v>
      </c>
      <c r="Q1000" s="3" t="s">
        <v>2260</v>
      </c>
      <c r="R1000" s="3" t="s">
        <v>404</v>
      </c>
      <c r="S1000" s="3" t="s">
        <v>405</v>
      </c>
      <c r="T1000" s="4" t="str">
        <f t="shared" si="2"/>
        <v>Valid</v>
      </c>
      <c r="U1000" s="4">
        <f t="shared" si="3"/>
        <v>1</v>
      </c>
      <c r="V1000" s="4" t="str">
        <f t="shared" si="4"/>
        <v>Unique</v>
      </c>
      <c r="W1000" s="4" t="str">
        <f t="shared" si="5"/>
        <v>Unknown</v>
      </c>
      <c r="X1000" s="4" t="str">
        <f t="shared" ref="X1000:Z1000" si="1004">IF(Q1000="","Unknown",Q1000)</f>
        <v>Aianí, Greece</v>
      </c>
      <c r="Y1000" s="4" t="str">
        <f t="shared" si="1004"/>
        <v>Europe</v>
      </c>
      <c r="Z1000" s="4" t="str">
        <f t="shared" si="1004"/>
        <v>Greece</v>
      </c>
      <c r="AA1000" s="4" t="str">
        <f t="shared" si="7"/>
        <v>mw</v>
      </c>
    </row>
    <row r="1001">
      <c r="A1001" s="3" t="s">
        <v>2261</v>
      </c>
      <c r="B1001" s="3">
        <v>7.1</v>
      </c>
      <c r="C1001" s="19">
        <f>Raw_Data!T1001</f>
        <v>34824.16181</v>
      </c>
      <c r="D1001" s="3">
        <v>0.0</v>
      </c>
      <c r="E1001" s="3">
        <v>7.0</v>
      </c>
      <c r="F1001" s="4"/>
      <c r="G1001" s="3">
        <v>0.0</v>
      </c>
      <c r="H1001" s="3">
        <v>776.0</v>
      </c>
      <c r="I1001" s="3" t="s">
        <v>110</v>
      </c>
      <c r="J1001" s="3">
        <v>0.0</v>
      </c>
      <c r="K1001" s="3">
        <v>0.0</v>
      </c>
      <c r="L1001" s="3">
        <v>0.0</v>
      </c>
      <c r="M1001" s="4" t="str">
        <f>Raw_Data!X1001</f>
        <v>mw</v>
      </c>
      <c r="N1001" s="3">
        <v>16.0</v>
      </c>
      <c r="O1001" s="3">
        <v>12.626</v>
      </c>
      <c r="P1001" s="3">
        <v>125.297</v>
      </c>
      <c r="Q1001" s="3" t="s">
        <v>2262</v>
      </c>
      <c r="R1001" s="4"/>
      <c r="S1001" s="3" t="s">
        <v>258</v>
      </c>
      <c r="T1001" s="4" t="str">
        <f t="shared" si="2"/>
        <v>Valid</v>
      </c>
      <c r="U1001" s="4">
        <f t="shared" si="3"/>
        <v>1</v>
      </c>
      <c r="V1001" s="4" t="str">
        <f t="shared" si="4"/>
        <v>Unique</v>
      </c>
      <c r="W1001" s="4" t="str">
        <f t="shared" si="5"/>
        <v>Unknown</v>
      </c>
      <c r="X1001" s="4" t="str">
        <f t="shared" ref="X1001:Z1001" si="1005">IF(Q1001="","Unknown",Q1001)</f>
        <v>Cabatuan, Philippines</v>
      </c>
      <c r="Y1001" s="4" t="str">
        <f t="shared" si="1005"/>
        <v>Unknown</v>
      </c>
      <c r="Z1001" s="4" t="str">
        <f t="shared" si="1005"/>
        <v>Philippines</v>
      </c>
      <c r="AA1001" s="4" t="str">
        <f t="shared" si="7"/>
        <v>mw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0"/>
    <col customWidth="1" min="2" max="2" width="28.13"/>
  </cols>
  <sheetData>
    <row r="1"/>
    <row r="2"/>
    <row r="3"/>
    <row r="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75"/>
    <col customWidth="1" min="2" max="2" width="2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6.75"/>
    <col customWidth="1" min="3" max="3" width="58.13"/>
  </cols>
  <sheetData>
    <row r="1">
      <c r="A1" s="25" t="s">
        <v>2302</v>
      </c>
      <c r="B1" s="25" t="s">
        <v>2303</v>
      </c>
      <c r="C1" s="25" t="s">
        <v>2304</v>
      </c>
    </row>
    <row r="2">
      <c r="A2" s="3" t="s">
        <v>2305</v>
      </c>
      <c r="B2" s="3" t="s">
        <v>2306</v>
      </c>
      <c r="C2" s="3" t="s">
        <v>2307</v>
      </c>
    </row>
    <row r="3">
      <c r="A3" s="3" t="s">
        <v>2308</v>
      </c>
      <c r="B3" s="3" t="s">
        <v>2309</v>
      </c>
      <c r="C3" s="3" t="s">
        <v>2310</v>
      </c>
    </row>
    <row r="4">
      <c r="A4" s="3" t="s">
        <v>2311</v>
      </c>
      <c r="B4" s="3" t="s">
        <v>2312</v>
      </c>
      <c r="C4" s="3" t="s">
        <v>2313</v>
      </c>
    </row>
    <row r="5">
      <c r="A5" s="3" t="s">
        <v>2314</v>
      </c>
      <c r="B5" s="3" t="s">
        <v>2315</v>
      </c>
      <c r="C5" s="3" t="s">
        <v>2316</v>
      </c>
    </row>
    <row r="6">
      <c r="A6" s="3" t="s">
        <v>2317</v>
      </c>
      <c r="B6" s="3" t="s">
        <v>2318</v>
      </c>
      <c r="C6" s="3" t="s">
        <v>2319</v>
      </c>
    </row>
    <row r="7">
      <c r="A7" s="3" t="s">
        <v>2320</v>
      </c>
      <c r="B7" s="3" t="s">
        <v>2321</v>
      </c>
      <c r="C7" s="3" t="s">
        <v>2322</v>
      </c>
    </row>
    <row r="8">
      <c r="A8" s="3" t="s">
        <v>2323</v>
      </c>
      <c r="B8" s="3" t="s">
        <v>2324</v>
      </c>
      <c r="C8" s="3" t="s">
        <v>2325</v>
      </c>
    </row>
    <row r="9">
      <c r="A9" s="3" t="s">
        <v>2326</v>
      </c>
      <c r="B9" s="3" t="s">
        <v>2327</v>
      </c>
      <c r="C9" s="3" t="s">
        <v>2328</v>
      </c>
    </row>
    <row r="12">
      <c r="A12" s="26" t="s">
        <v>2329</v>
      </c>
      <c r="B12" s="27"/>
    </row>
    <row r="13">
      <c r="A13" s="3" t="s">
        <v>2330</v>
      </c>
      <c r="B13" s="4">
        <f>COUNTA(Cleaned_Data!A2:A1001)</f>
        <v>1000</v>
      </c>
    </row>
    <row r="14">
      <c r="A14" s="3" t="s">
        <v>2331</v>
      </c>
      <c r="B14" s="4">
        <f>COUNTIF(Cleaned_Data!V2:V1001,"Duplicate")</f>
        <v>4</v>
      </c>
    </row>
    <row r="15">
      <c r="A15" s="3" t="s">
        <v>2332</v>
      </c>
      <c r="B15" s="4">
        <f>COUNTIF(Cleaned_Data!V2:V1001,"Unique")</f>
        <v>996</v>
      </c>
    </row>
  </sheetData>
  <mergeCells count="1">
    <mergeCell ref="A12:B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.25"/>
    <col customWidth="1" min="3" max="3" width="17.13"/>
    <col customWidth="1" min="5" max="5" width="18.38"/>
    <col customWidth="1" min="7" max="7" width="19.0"/>
  </cols>
  <sheetData>
    <row r="1">
      <c r="A1" s="28" t="s">
        <v>2333</v>
      </c>
    </row>
    <row r="2">
      <c r="G2" s="29"/>
    </row>
    <row r="3">
      <c r="A3" s="30" t="s">
        <v>2334</v>
      </c>
      <c r="B3" s="4">
        <f>COUNTA(Cleaned_Data!A2:A1001)</f>
        <v>1000</v>
      </c>
      <c r="C3" s="30" t="s">
        <v>2335</v>
      </c>
      <c r="D3" s="4">
        <f>MIN(Cleaned_Data!B2:B1001)</f>
        <v>6.5</v>
      </c>
      <c r="E3" s="30" t="s">
        <v>2336</v>
      </c>
      <c r="F3" s="4">
        <f>MAX(Cleaned_Data!B2:B1001)</f>
        <v>9.1</v>
      </c>
      <c r="G3" s="30" t="s">
        <v>2337</v>
      </c>
      <c r="H3" s="4">
        <f>AVERAGE(Cleaned_Data!B2:B1001)</f>
        <v>6.94015</v>
      </c>
    </row>
    <row r="4">
      <c r="A4" s="3"/>
    </row>
    <row r="6">
      <c r="A6" s="30" t="s">
        <v>2338</v>
      </c>
      <c r="B6" s="4">
        <f>MIN(Cleaned_Data!N2:N1001)</f>
        <v>2.7</v>
      </c>
      <c r="C6" s="30" t="s">
        <v>2339</v>
      </c>
      <c r="D6" s="4">
        <f>MAX(Cleaned_Data!N2:N1001)</f>
        <v>670.81</v>
      </c>
      <c r="E6" s="30" t="s">
        <v>2340</v>
      </c>
      <c r="F6" s="4">
        <f>AVERAGE(Cleaned_Data!N2:N1001)</f>
        <v>74.612541</v>
      </c>
    </row>
  </sheetData>
  <mergeCells count="1">
    <mergeCell ref="A1:H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37.6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7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